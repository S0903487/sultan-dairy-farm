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sharedStrings.xml" ContentType="application/vnd.openxmlformats-officedocument.spreadsheetml.sharedStrings+xml"/>
  <Override PartName="/xl/worksheets/_rels/sheet24.xml.rels" ContentType="application/vnd.openxmlformats-package.relationships+xml"/>
  <Override PartName="/xl/worksheets/_rels/sheet6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21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Ingredient Database" sheetId="3" state="visible" r:id="rId5"/>
    <sheet name="Ration Formulator" sheetId="4" state="visible" r:id="rId6"/>
    <sheet name="Animal Register" sheetId="5" state="visible" r:id="rId7"/>
    <sheet name="Animal Profile" sheetId="6" state="visible" r:id="rId8"/>
    <sheet name="Qurbani Module" sheetId="7" state="visible" r:id="rId9"/>
    <sheet name="Dairy Module" sheetId="8" state="visible" r:id="rId10"/>
    <sheet name="Milk Production Log" sheetId="9" state="visible" r:id="rId11"/>
    <sheet name="Milk Customers" sheetId="10" state="visible" r:id="rId12"/>
    <sheet name="Breeding Module" sheetId="11" state="visible" r:id="rId13"/>
    <sheet name="Breeding Log" sheetId="12" state="visible" r:id="rId14"/>
    <sheet name="Calving Log" sheetId="13" state="visible" r:id="rId15"/>
    <sheet name="Weaning Log" sheetId="14" state="visible" r:id="rId16"/>
    <sheet name="Daily Feeding" sheetId="15" state="visible" r:id="rId17"/>
    <sheet name="Weight Log" sheetId="16" state="visible" r:id="rId18"/>
    <sheet name="Weight &amp; Growth Tracker" sheetId="17" state="visible" r:id="rId19"/>
    <sheet name="Health Log" sheetId="18" state="visible" r:id="rId20"/>
    <sheet name="Feed Purchase Log" sheetId="19" state="visible" r:id="rId21"/>
    <sheet name="Cost Tracker" sheetId="20" state="visible" r:id="rId22"/>
    <sheet name="Feed Stock" sheetId="21" state="visible" r:id="rId23"/>
    <sheet name="General Inventory" sheetId="22" state="visible" r:id="rId24"/>
    <sheet name="Fattening Customers" sheetId="23" state="visible" r:id="rId25"/>
    <sheet name="Fattening Sales Log" sheetId="24" state="visible" r:id="rId26"/>
    <sheet name="Staff Module" sheetId="25" state="visible" r:id="rId27"/>
    <sheet name="Salary Payments" sheetId="26" state="visible" r:id="rId28"/>
    <sheet name="Ledger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Concentrates row 4-33, Roughages row 34-59. Dropdown lists isi block-wise range se aati hain — naya ingredient add karna ho to apni category ke block ke andar hi row insert karein.</t>
        </r>
      </text>
    </comment>
    <comment ref="I32" authorId="0">
      <text>
        <r>
          <rPr>
            <sz val="10"/>
            <rFont val="Arial"/>
            <family val="2"/>
          </rPr>
          <t xml:space="preserve">Urea NPN protein-equivalent ~262% CP, lekin ye Ration Formulator ke CP blend mein sirf tab include karein jab max 1-1.5% of concentrate mix ho aur energy source adequate ho — warna toxicity risk.</t>
        </r>
      </text>
    </comment>
    <comment ref="J3" authorId="0">
      <text>
        <r>
          <rPr>
            <sz val="10"/>
            <rFont val="Arial"/>
            <family val="2"/>
          </rPr>
          <t xml:space="preserve">Yahan apne local market rates daalein (per kg, Rs). Baaki poori workbook isi rate se cost calculate karti hai.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Qurbani animals bhi Fattening jaisi hi program-based feeding follow karte hain (Mandi se khareed → feed → Mandi mein sale) — isi liye Program Start/Duration/Target ADG unke liye bhi bharein.</t>
        </r>
      </text>
    </comment>
    <comment ref="L5" authorId="0">
      <text>
        <r>
          <rPr>
            <sz val="10"/>
            <rFont val="Arial"/>
            <family val="2"/>
          </rPr>
          <t xml:space="preserve">Fattening ~100 din, Qurbani ~90-120 din (Mandi se laane ke hisab se) — jo bhi program plan ho wahi duration daalein. Dairy/Breeding Stock animals ke liye Program Start Date aur Duration khali chhod sakte hain.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9" authorId="0">
      <text>
        <r>
          <rPr>
            <sz val="10"/>
            <rFont val="Arial"/>
            <family val="2"/>
          </rPr>
          <t xml:space="preserve">Ye sirf wo cost hai jo Cost Tracker mein isi Animal ID ke naam se likhi gayi ho — agar entries group-level (jaise 'Pen-1') ke naam se ki hain to wo yahan shamil nahi hongi.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Jab koi Qurbani animal Mandi mein bech dein, uska Animal ID yahan chunein aur sale details bharein — upar wali list mein khud reflect ho jayega, aur Profit/Loss bhi calculate ho jayega.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Ye Feed Purchase Log se khud aata hai — wahan entry karein, yahan type na karein.</t>
        </r>
      </text>
    </comment>
    <comment ref="F4" authorId="0">
      <text>
        <r>
          <rPr>
            <sz val="10"/>
            <rFont val="Arial"/>
            <family val="2"/>
          </rPr>
          <t xml:space="preserve">Reorder Level = wo minimum quantity jispe pahunchte hi naya order dena chahiye (apni consumption rate ke hisab se set karein).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Ye sirf wo feed cost hai jo Cost Tracker mein isi Animal ID ke naam se likhi gayi ho.</t>
        </r>
      </text>
    </comment>
  </commentList>
</comments>
</file>

<file path=xl/sharedStrings.xml><?xml version="1.0" encoding="utf-8"?>
<sst xmlns="http://schemas.openxmlformats.org/spreadsheetml/2006/main" count="683" uniqueCount="425">
  <si>
    <t xml:space="preserve">Cattle Fattening TMR Management Workbook</t>
  </si>
  <si>
    <t xml:space="preserve">100-Day TMR Based Fattening Program — Jahangir  (v2 — expanded)</t>
  </si>
  <si>
    <t xml:space="preserve">What this workbook does</t>
  </si>
  <si>
    <t xml:space="preserve">Ye Sultan Dairy ka poora Farm Management System hai — Fattening, Qurbani, Dairy, aur Breeding, sath hi Inventory, Staff aur Accounts, sab ek hi interconnected Excel file mein. Sab sheets aapas mein linked hain — ek jagah number badlein to poori file khud update ho jati hai.</t>
  </si>
  <si>
    <t xml:space="preserve">Color legend (har sheet mein)</t>
  </si>
  <si>
    <t xml:space="preserve">Blue text = aapko yahan number/rate daalna hai (hardcoded input)</t>
  </si>
  <si>
    <t xml:space="preserve">Yellow fill = ye cell zaroor fill karein (rate, weight, date waghera)</t>
  </si>
  <si>
    <t xml:space="preserve">Black text = formula hai, ise edit na karein</t>
  </si>
  <si>
    <t xml:space="preserve">Green text = doosri sheet se link hai</t>
  </si>
  <si>
    <t xml:space="preserve">Sheet order aur kya karna hai</t>
  </si>
  <si>
    <t xml:space="preserve">FOUNDATION</t>
  </si>
  <si>
    <t xml:space="preserve">1. Ingredient Database</t>
  </si>
  <si>
    <t xml:space="preserve">56 ingredients — Rate per kg (column J) yahan daalein.</t>
  </si>
  <si>
    <t xml:space="preserve">2. Ration Formulator</t>
  </si>
  <si>
    <t xml:space="preserve">Concentrate aur Roughage Mix dropdown se banate hain, jitne chahein ingredients.</t>
  </si>
  <si>
    <t xml:space="preserve">3. Animal Register</t>
  </si>
  <si>
    <t xml:space="preserve">Ek hi register — Fattening, Qurbani, Dairy, Breeding Stock sab. Purpose column se pehchana jata hai.</t>
  </si>
  <si>
    <t xml:space="preserve">4. Animal Profile</t>
  </si>
  <si>
    <t xml:space="preserve">Kisi bhi Animal ID ko dropdown se chunein — poora record ek jagah dikh jata hai.</t>
  </si>
  <si>
    <t xml:space="preserve">QURBANI</t>
  </si>
  <si>
    <t xml:space="preserve">5. Qurbani Module</t>
  </si>
  <si>
    <t xml:space="preserve">Qurbani animals khud yahan aa jate hain. Sale/Invoice Log (side mein) bharein to Profit/Loss khud nikalta hai.</t>
  </si>
  <si>
    <t xml:space="preserve">DAIRY</t>
  </si>
  <si>
    <t xml:space="preserve">6. Dairy Module</t>
  </si>
  <si>
    <t xml:space="preserve">Dairy animals khud yahan aa jate hain, milk average ke sath.</t>
  </si>
  <si>
    <t xml:space="preserve">7. Milk Production Log</t>
  </si>
  <si>
    <t xml:space="preserve">Roz ki milking (morning/evening) yahan likhein.</t>
  </si>
  <si>
    <t xml:space="preserve">8. Milk Customers</t>
  </si>
  <si>
    <t xml:space="preserve">Doodh ke regular customers aur unki daily order/rate.</t>
  </si>
  <si>
    <t xml:space="preserve">BREEDING</t>
  </si>
  <si>
    <t xml:space="preserve">9. Breeding Module</t>
  </si>
  <si>
    <t xml:space="preserve">Breeding Stock animals khud yahan aa jate hain, latest breeding status ke sath.</t>
  </si>
  <si>
    <t xml:space="preserve">10. Breeding Log</t>
  </si>
  <si>
    <t xml:space="preserve">Har breeding event — Expected Calving Date khud +283 din calculate hoti hai.</t>
  </si>
  <si>
    <t xml:space="preserve">11. Calving Log</t>
  </si>
  <si>
    <t xml:space="preserve">Naya calf paida hote hi yahan likhein, phir Animal Register mein bhi register karein.</t>
  </si>
  <si>
    <t xml:space="preserve">12. Weaning Log</t>
  </si>
  <si>
    <t xml:space="preserve">Calf ki weaning date aur weight.</t>
  </si>
  <si>
    <t xml:space="preserve">FATTENING (roz ka kaam)</t>
  </si>
  <si>
    <t xml:space="preserve">13. Daily Feeding</t>
  </si>
  <si>
    <t xml:space="preserve">Roz Animal ID aur current weight daalein — feed quantity aur energy khud calculate hoti hai.</t>
  </si>
  <si>
    <t xml:space="preserve">14. Weight Log</t>
  </si>
  <si>
    <t xml:space="preserve">Har weighing (daily/weekly/fortnightly) yahan record karein — kabhi delete na karein.</t>
  </si>
  <si>
    <t xml:space="preserve">15. Weight &amp; Growth Tracker</t>
  </si>
  <si>
    <t xml:space="preserve">Har animal ka latest weight, gain, ADG ek nazar mein.</t>
  </si>
  <si>
    <t xml:space="preserve">16. Health Log</t>
  </si>
  <si>
    <t xml:space="preserve">Vaccination, deworming, treatment — ek animal ya ek sath kai animals.</t>
  </si>
  <si>
    <t xml:space="preserve">17. Feed Purchase Log</t>
  </si>
  <si>
    <t xml:space="preserve">Ingredient khareedte waqt yahan likhein — Feed Stock khud update hota hai.</t>
  </si>
  <si>
    <t xml:space="preserve">18. Cost Tracker</t>
  </si>
  <si>
    <t xml:space="preserve">Roz jo ingredient use hua uski quantity — cost khud calculate hota hai.</t>
  </si>
  <si>
    <t xml:space="preserve">19. Feed Stock</t>
  </si>
  <si>
    <t xml:space="preserve">Godam ka stock, kam hone par alert.</t>
  </si>
  <si>
    <t xml:space="preserve">INVENTORY, STAFF, ACCOUNTS</t>
  </si>
  <si>
    <t xml:space="preserve">20. General Inventory</t>
  </si>
  <si>
    <t xml:space="preserve">Medicines, dairy equipment, farm tools.</t>
  </si>
  <si>
    <t xml:space="preserve">21. Fattening Customers</t>
  </si>
  <si>
    <t xml:space="preserve">Fattened cattle ke buyers (butchers/wholesalers).</t>
  </si>
  <si>
    <t xml:space="preserve">22. Fattening Sales Log</t>
  </si>
  <si>
    <t xml:space="preserve">Jab Fattening animal bike, yahan likhein — Profit/Loss khud nikalta hai.</t>
  </si>
  <si>
    <t xml:space="preserve">23. Staff Module</t>
  </si>
  <si>
    <t xml:space="preserve">Har mulazim ki details aur salary.</t>
  </si>
  <si>
    <t xml:space="preserve">24. Salary Payments</t>
  </si>
  <si>
    <t xml:space="preserve">Har mahine ki salary payment yahan likhein.</t>
  </si>
  <si>
    <t xml:space="preserve">25. Ledger</t>
  </si>
  <si>
    <t xml:space="preserve">Poori file ka Income/Expense summary — kuch type nahi karna, khud aata hai.</t>
  </si>
  <si>
    <t xml:space="preserve">26. Dashboard</t>
  </si>
  <si>
    <t xml:space="preserve">Fattening/Qurbani program ka live summary — status, cost, FCR.</t>
  </si>
  <si>
    <t xml:space="preserve">Body Condition Score (BCS)</t>
  </si>
  <si>
    <t xml:space="preserve">Weight Log mein 1 (bohat kamzor) se 5 (bohat mota) scale par score karein, 0.5 ke steps mein.</t>
  </si>
  <si>
    <t xml:space="preserve">Ehtiyaat — Sorghum/Sudan/Bajra fodder</t>
  </si>
  <si>
    <t xml:space="preserve">Choti umar ya sukhi/stress wali sorghum, sudan grass, ya bajra green fodder mein zeher (prussic acid) ban sakta hai — ehtiyaat rakhein.</t>
  </si>
  <si>
    <t xml:space="preserve">Important assumption</t>
  </si>
  <si>
    <t xml:space="preserve">Meat/Dressing % = 58% — Dashboard ke Planning Target box mein change kar sakte hain.</t>
  </si>
  <si>
    <t xml:space="preserve">FATTENING PROGRAM DASHBOARD</t>
  </si>
  <si>
    <t xml:space="preserve">100-Day TMR Fattening Program — Live Summary</t>
  </si>
  <si>
    <t xml:space="preserve">LIVE OPERATIONS SUMMARY</t>
  </si>
  <si>
    <t xml:space="preserve">ACTIVE ANIMALS</t>
  </si>
  <si>
    <t xml:space="preserve">AVG DAYS ON FEED</t>
  </si>
  <si>
    <t xml:space="preserve">AVG DAYS REMAINING</t>
  </si>
  <si>
    <t xml:space="preserve">FEED STOCK ALERTS</t>
  </si>
  <si>
    <t xml:space="preserve">AVG START WEIGHT (kg)</t>
  </si>
  <si>
    <t xml:space="preserve">AVG CURRENT WEIGHT (kg)</t>
  </si>
  <si>
    <t xml:space="preserve">AVG GAIN SO FAR (kg)</t>
  </si>
  <si>
    <t xml:space="preserve">TOTAL FEED COST (Rs)</t>
  </si>
  <si>
    <t xml:space="preserve">FCR (kg DM feed / kg gain)</t>
  </si>
  <si>
    <t xml:space="preserve">COST PER KG GAIN (Rs)</t>
  </si>
  <si>
    <t xml:space="preserve">AVG BCS (LATEST)</t>
  </si>
  <si>
    <t xml:space="preserve">ANIMALS SOLD</t>
  </si>
  <si>
    <t xml:space="preserve">PLANNING TARGET  (Editable — based on 58% dressing practice)</t>
  </si>
  <si>
    <t xml:space="preserve">Target Final Live Weight (kg)</t>
  </si>
  <si>
    <t xml:space="preserve">Dressing %</t>
  </si>
  <si>
    <t xml:space="preserve">Expected Meat Output (kg)</t>
  </si>
  <si>
    <t xml:space="preserve">Chart data (auto — do not edit)</t>
  </si>
  <si>
    <t xml:space="preserve">Stage</t>
  </si>
  <si>
    <t xml:space="preserve">Weight (kg)</t>
  </si>
  <si>
    <t xml:space="preserve">Start</t>
  </si>
  <si>
    <t xml:space="preserve">Current</t>
  </si>
  <si>
    <t xml:space="preserve">Target Final</t>
  </si>
  <si>
    <t xml:space="preserve">INGREDIENT MASTER DATABASE  (DM basis for CP / TDN / Energy / NDF)</t>
  </si>
  <si>
    <t xml:space="preserve">ID</t>
  </si>
  <si>
    <t xml:space="preserve">Ingredient Name</t>
  </si>
  <si>
    <t xml:space="preserve">Category</t>
  </si>
  <si>
    <t xml:space="preserve">Sub-Category</t>
  </si>
  <si>
    <t xml:space="preserve">DM %</t>
  </si>
  <si>
    <t xml:space="preserve">CP %</t>
  </si>
  <si>
    <t xml:space="preserve">TDN %</t>
  </si>
  <si>
    <t xml:space="preserve">Energy - ME (Mcal/kg)</t>
  </si>
  <si>
    <t xml:space="preserve">NDF (Fiber) %</t>
  </si>
  <si>
    <t xml:space="preserve">Rate per kg (Rs)</t>
  </si>
  <si>
    <t xml:space="preserve">Maize Grain (Crushed)</t>
  </si>
  <si>
    <t xml:space="preserve">Concentrate</t>
  </si>
  <si>
    <t xml:space="preserve">Grain</t>
  </si>
  <si>
    <t xml:space="preserve">Wheat Grain (Crushed)</t>
  </si>
  <si>
    <t xml:space="preserve">Barley Grain (Crushed)</t>
  </si>
  <si>
    <t xml:space="preserve">Sorghum Grain (Jowar)</t>
  </si>
  <si>
    <t xml:space="preserve">Pearl Millet Grain (Bajra)</t>
  </si>
  <si>
    <t xml:space="preserve">Broken Rice (Rice Kani)</t>
  </si>
  <si>
    <t xml:space="preserve">Cottonseed Cake (Banaula Khal)</t>
  </si>
  <si>
    <t xml:space="preserve">Oilseed Cake</t>
  </si>
  <si>
    <t xml:space="preserve">Cottonseed Meal (Solvent Extracted)</t>
  </si>
  <si>
    <t xml:space="preserve">Canola / Sarson Cake</t>
  </si>
  <si>
    <t xml:space="preserve">Sunflower Cake</t>
  </si>
  <si>
    <t xml:space="preserve">Sunflower Meal (Decorticated)</t>
  </si>
  <si>
    <t xml:space="preserve">Soybean Meal</t>
  </si>
  <si>
    <t xml:space="preserve">Groundnut Cake</t>
  </si>
  <si>
    <t xml:space="preserve">Guar Meal / Korma (Refined)</t>
  </si>
  <si>
    <t xml:space="preserve">Guar Churi (Coarse Grade)</t>
  </si>
  <si>
    <t xml:space="preserve">Maize Gluten Meal</t>
  </si>
  <si>
    <t xml:space="preserve">Maize Gluten Feed</t>
  </si>
  <si>
    <t xml:space="preserve">Sesame Cake (Til Khal)</t>
  </si>
  <si>
    <t xml:space="preserve">Wheat Bran (Chokar)</t>
  </si>
  <si>
    <t xml:space="preserve">Bran/Polish</t>
  </si>
  <si>
    <t xml:space="preserve">Rice Polish</t>
  </si>
  <si>
    <t xml:space="preserve">Rice Bran (Full-Fat)</t>
  </si>
  <si>
    <t xml:space="preserve">Deoiled Rice Bran (DORB)</t>
  </si>
  <si>
    <t xml:space="preserve">Molasses (Shakar)</t>
  </si>
  <si>
    <t xml:space="preserve">Molasses/Byproduct</t>
  </si>
  <si>
    <t xml:space="preserve">Bakery Waste (Meal)</t>
  </si>
  <si>
    <t xml:space="preserve">Mineral Mixture</t>
  </si>
  <si>
    <t xml:space="preserve">Mineral/Additive</t>
  </si>
  <si>
    <t xml:space="preserve">Salt</t>
  </si>
  <si>
    <t xml:space="preserve">Sodium Bicarbonate</t>
  </si>
  <si>
    <t xml:space="preserve">DCP (Di-Calcium Phosphate)</t>
  </si>
  <si>
    <t xml:space="preserve">Urea (NPN source)</t>
  </si>
  <si>
    <t xml:space="preserve">Yeast Culture</t>
  </si>
  <si>
    <t xml:space="preserve">Maize Green Fodder</t>
  </si>
  <si>
    <t xml:space="preserve">Roughage</t>
  </si>
  <si>
    <t xml:space="preserve">Green Fodder</t>
  </si>
  <si>
    <t xml:space="preserve">Sorghum / Jowar Green Fodder</t>
  </si>
  <si>
    <t xml:space="preserve">Bajra (Pearl Millet) Green Fodder</t>
  </si>
  <si>
    <t xml:space="preserve">Berseem (Green, Seasonal Nov-Apr)</t>
  </si>
  <si>
    <t xml:space="preserve">Lucerne / Alfalfa (Green)</t>
  </si>
  <si>
    <t xml:space="preserve">Oat Green Fodder</t>
  </si>
  <si>
    <t xml:space="preserve">Guar (Cluster Bean) Green Fodder</t>
  </si>
  <si>
    <t xml:space="preserve">Cowpea Green Fodder</t>
  </si>
  <si>
    <t xml:space="preserve">Sadabahar / Mott Grass</t>
  </si>
  <si>
    <t xml:space="preserve">Napier / Elephant Grass</t>
  </si>
  <si>
    <t xml:space="preserve">Sudan Grass (Green)</t>
  </si>
  <si>
    <t xml:space="preserve">Maize Silage</t>
  </si>
  <si>
    <t xml:space="preserve">Silage</t>
  </si>
  <si>
    <t xml:space="preserve">Sorghum Silage</t>
  </si>
  <si>
    <t xml:space="preserve">Berseem Hay</t>
  </si>
  <si>
    <t xml:space="preserve">Hay</t>
  </si>
  <si>
    <t xml:space="preserve">Lucerne Hay</t>
  </si>
  <si>
    <t xml:space="preserve">Oat Hay</t>
  </si>
  <si>
    <t xml:space="preserve">Wheat Straw (Bhoosa)</t>
  </si>
  <si>
    <t xml:space="preserve">Dry Straw/Stover</t>
  </si>
  <si>
    <t xml:space="preserve">Rice Straw</t>
  </si>
  <si>
    <t xml:space="preserve">Maize Stover (Karbi)</t>
  </si>
  <si>
    <t xml:space="preserve">Sorghum Stover</t>
  </si>
  <si>
    <t xml:space="preserve">Millet Stover</t>
  </si>
  <si>
    <t xml:space="preserve">Corn Cobs (Ground)</t>
  </si>
  <si>
    <t xml:space="preserve">Gram / Chickpea Straw (Chana Bhoosa)</t>
  </si>
  <si>
    <t xml:space="preserve">Cotton Stalks (Ground)</t>
  </si>
  <si>
    <t xml:space="preserve">Sugarcane Tops</t>
  </si>
  <si>
    <t xml:space="preserve">Sugarcane Bagasse</t>
  </si>
  <si>
    <t xml:space="preserve">RATION FORMULATOR</t>
  </si>
  <si>
    <t xml:space="preserve">A) PHASE REFERENCE — Day Range &amp; Concentrate:Roughage Ratio</t>
  </si>
  <si>
    <t xml:space="preserve">Phase</t>
  </si>
  <si>
    <t xml:space="preserve">Day From</t>
  </si>
  <si>
    <t xml:space="preserve">Day To</t>
  </si>
  <si>
    <t xml:space="preserve">Concentrate % (of DM)</t>
  </si>
  <si>
    <t xml:space="preserve">Roughage % (of DM)</t>
  </si>
  <si>
    <t xml:space="preserve">Phase 1 - Adaptation</t>
  </si>
  <si>
    <t xml:space="preserve">Phase 2 - Growth</t>
  </si>
  <si>
    <t xml:space="preserve">Phase 3 - Finishing</t>
  </si>
  <si>
    <t xml:space="preserve">B) CONCENTRATE MIX — Blend Composition (constant across all phases, dropdown se chunein)</t>
  </si>
  <si>
    <t xml:space="preserve">Ingredient (dropdown)</t>
  </si>
  <si>
    <t xml:space="preserve">% Inclusion in Mix</t>
  </si>
  <si>
    <t xml:space="preserve">CP Contribution</t>
  </si>
  <si>
    <t xml:space="preserve">TDN Contribution</t>
  </si>
  <si>
    <t xml:space="preserve">DM Contribution</t>
  </si>
  <si>
    <t xml:space="preserve">Energy Contribution (Mcal)</t>
  </si>
  <si>
    <t xml:space="preserve">TOTAL / BLEND VALUE</t>
  </si>
  <si>
    <t xml:space="preserve">C) ROUGHAGE MIX — Flexible Blend per Phase (dropdown se jitne chahein ingredients mix karein)</t>
  </si>
  <si>
    <t xml:space="preserve">% of Total Roughage</t>
  </si>
  <si>
    <t xml:space="preserve">TOTAL</t>
  </si>
  <si>
    <t xml:space="preserve">C-Summary) Roughage Blend Value by Phase (auto, from tables above)</t>
  </si>
  <si>
    <t xml:space="preserve">Roughage CP %</t>
  </si>
  <si>
    <t xml:space="preserve">Roughage TDN %</t>
  </si>
  <si>
    <t xml:space="preserve">Roughage DM %</t>
  </si>
  <si>
    <t xml:space="preserve">Roughage Energy (Mcal/kg)</t>
  </si>
  <si>
    <t xml:space="preserve">D) FULL TMR RATION — Combined Nutrient Value vs Target (by Phase)</t>
  </si>
  <si>
    <t xml:space="preserve">Concentrate % of DM</t>
  </si>
  <si>
    <t xml:space="preserve">Roughage % of DM</t>
  </si>
  <si>
    <t xml:space="preserve">Ration CP %</t>
  </si>
  <si>
    <t xml:space="preserve">Ration TDN %</t>
  </si>
  <si>
    <t xml:space="preserve">Ration DM %</t>
  </si>
  <si>
    <t xml:space="preserve">Ration Energy (Mcal/kg)</t>
  </si>
  <si>
    <t xml:space="preserve">Target CP %</t>
  </si>
  <si>
    <t xml:space="preserve">Target TDN %</t>
  </si>
  <si>
    <t xml:space="preserve">Status</t>
  </si>
  <si>
    <t xml:space="preserve">Note: Target CP/TDN yellow cells mein aap apna desired target daal sakte hain — Status column khud bata dega. Roughage Mix tables mein har phase ka % Total 100% hona chahiye (agar nahi hai to us row ka Total cell laal ho jayega).</t>
  </si>
  <si>
    <t xml:space="preserve">ANIMAL REGISTER</t>
  </si>
  <si>
    <t xml:space="preserve">Ek hi register — Purpose column se Fattening/Qurbani/Dairy/Breeding Stock decide hota hai. Apna tag-number convention (jaise MB66, MC217) Animal ID mein use kar sakte hain.</t>
  </si>
  <si>
    <t xml:space="preserve">Animal ID</t>
  </si>
  <si>
    <t xml:space="preserve">Purpose</t>
  </si>
  <si>
    <t xml:space="preserve">Breed</t>
  </si>
  <si>
    <t xml:space="preserve">Sex</t>
  </si>
  <si>
    <t xml:space="preserve">Source</t>
  </si>
  <si>
    <t xml:space="preserve">Date of Birth / Acquired</t>
  </si>
  <si>
    <t xml:space="preserve">Sire ID</t>
  </si>
  <si>
    <t xml:space="preserve">Dam ID</t>
  </si>
  <si>
    <t xml:space="preserve">Acquisition / Birth Weight (kg)</t>
  </si>
  <si>
    <t xml:space="preserve">Acquisition Cost (Rs)</t>
  </si>
  <si>
    <t xml:space="preserve">Program Start Date</t>
  </si>
  <si>
    <t xml:space="preserve">Program Duration (days)</t>
  </si>
  <si>
    <t xml:space="preserve">Target ADG (g/day)</t>
  </si>
  <si>
    <t xml:space="preserve">Program End Date</t>
  </si>
  <si>
    <t xml:space="preserve">Days on Feed</t>
  </si>
  <si>
    <t xml:space="preserve">Current Phase</t>
  </si>
  <si>
    <t xml:space="preserve">Notes</t>
  </si>
  <si>
    <t xml:space="preserve">Current Weight (kg)</t>
  </si>
  <si>
    <t xml:space="preserve">Gain So Far (kg)</t>
  </si>
  <si>
    <t xml:space="preserve">Qurbani Rank</t>
  </si>
  <si>
    <t xml:space="preserve">Dairy Rank</t>
  </si>
  <si>
    <t xml:space="preserve">Breeding Rank</t>
  </si>
  <si>
    <t xml:space="preserve">A-01</t>
  </si>
  <si>
    <t xml:space="preserve">Fattening</t>
  </si>
  <si>
    <t xml:space="preserve">Mix Breed</t>
  </si>
  <si>
    <t xml:space="preserve">Male</t>
  </si>
  <si>
    <t xml:space="preserve">Purchased - Mandi</t>
  </si>
  <si>
    <t xml:space="preserve">Active</t>
  </si>
  <si>
    <t xml:space="preserve">Example row - apna data yahan se neeche likhna shuru karein</t>
  </si>
  <si>
    <t xml:space="preserve">ANIMAL PROFILE</t>
  </si>
  <si>
    <t xml:space="preserve">Neeche dropdown se Animal ID chunein — is animal ka poora record khud aa jayega.</t>
  </si>
  <si>
    <t xml:space="preserve">Select Animal ID:</t>
  </si>
  <si>
    <t xml:space="preserve">BASIC INFO</t>
  </si>
  <si>
    <t xml:space="preserve">FATTENING / QURBANI PROGRAM  (Dairy/Breeding Stock ke liye khali rahega)</t>
  </si>
  <si>
    <t xml:space="preserve">WEIGHT SUMMARY</t>
  </si>
  <si>
    <t xml:space="preserve">Total Gain (kg)</t>
  </si>
  <si>
    <t xml:space="preserve">Overall ADG (g/day)</t>
  </si>
  <si>
    <t xml:space="preserve">Last Weighing Date</t>
  </si>
  <si>
    <t xml:space="preserve">Latest BCS</t>
  </si>
  <si>
    <t xml:space="preserve">Growth Status</t>
  </si>
  <si>
    <t xml:space="preserve">FEEDING SUMMARY</t>
  </si>
  <si>
    <t xml:space="preserve">Total Days Fed (entries logged)</t>
  </si>
  <si>
    <t xml:space="preserve">Total DM Feed Consumed (kg)</t>
  </si>
  <si>
    <t xml:space="preserve">Avg Daily Energy Intake (Mcal)</t>
  </si>
  <si>
    <t xml:space="preserve">Total Feed Cost - this animal (Rs)</t>
  </si>
  <si>
    <t xml:space="preserve">HEALTH SUMMARY</t>
  </si>
  <si>
    <t xml:space="preserve">Total Treatments (count)</t>
  </si>
  <si>
    <t xml:space="preserve">Last Treatment Date</t>
  </si>
  <si>
    <t xml:space="preserve">Last Treatment Type</t>
  </si>
  <si>
    <t xml:space="preserve">Last Product / Medicine Used</t>
  </si>
  <si>
    <t xml:space="preserve">Overdue Reminders (count)</t>
  </si>
  <si>
    <t xml:space="preserve">QURBANI MODULE</t>
  </si>
  <si>
    <t xml:space="preserve">Animal Register mein jo bhi Purpose='Qurbani' likha jayega, wo yahan khud aa jayega. Naye Qurbani animals hamesha Animal Register ke aakhir mein add karein (beech mein insert na karein).</t>
  </si>
  <si>
    <t xml:space="preserve">SALE / INVOICE LOG  (yahan input karein)</t>
  </si>
  <si>
    <t xml:space="preserve">Purchase Date</t>
  </si>
  <si>
    <t xml:space="preserve">Purchase Weight (kg)</t>
  </si>
  <si>
    <t xml:space="preserve">Purchase Cost (Rs)</t>
  </si>
  <si>
    <t xml:space="preserve">Target Sale Date</t>
  </si>
  <si>
    <t xml:space="preserve">Sale Date</t>
  </si>
  <si>
    <t xml:space="preserve">Sale Weight (kg)</t>
  </si>
  <si>
    <t xml:space="preserve">Sale Price (Rs)</t>
  </si>
  <si>
    <t xml:space="preserve">Invoice No.</t>
  </si>
  <si>
    <t xml:space="preserve">Profit / Loss (Rs)</t>
  </si>
  <si>
    <t xml:space="preserve">DAIRY MODULE</t>
  </si>
  <si>
    <t xml:space="preserve">Animal Register mein jo bhi Purpose='Dairy' likha jayega, wo yahan khud aa jayega.</t>
  </si>
  <si>
    <t xml:space="preserve">Avg Daily Milk Yield (L)</t>
  </si>
  <si>
    <t xml:space="preserve">Last Milking Date</t>
  </si>
  <si>
    <t xml:space="preserve">Total Milk - Lifetime (L)</t>
  </si>
  <si>
    <t xml:space="preserve">MILK PRODUCTION LOG</t>
  </si>
  <si>
    <t xml:space="preserve">Har cow/buffalo ki roz ki milking yahan likhein — Dairy Module mein average khud aa jayega.</t>
  </si>
  <si>
    <t xml:space="preserve">Date</t>
  </si>
  <si>
    <t xml:space="preserve">Morning Yield (L)</t>
  </si>
  <si>
    <t xml:space="preserve">Evening Yield (L)</t>
  </si>
  <si>
    <t xml:space="preserve">Total Yield (L)</t>
  </si>
  <si>
    <t xml:space="preserve">Fat %</t>
  </si>
  <si>
    <t xml:space="preserve">SNF %</t>
  </si>
  <si>
    <t xml:space="preserve">Example row</t>
  </si>
  <si>
    <t xml:space="preserve">MILK CUSTOMERS</t>
  </si>
  <si>
    <t xml:space="preserve">Customer Name</t>
  </si>
  <si>
    <t xml:space="preserve">Phone</t>
  </si>
  <si>
    <t xml:space="preserve">Address</t>
  </si>
  <si>
    <t xml:space="preserve">Daily Order Qty (L)</t>
  </si>
  <si>
    <t xml:space="preserve">Rate per L (Rs)</t>
  </si>
  <si>
    <t xml:space="preserve">Delivery Route/Time</t>
  </si>
  <si>
    <t xml:space="preserve">Total Daily Milk Sold (L)</t>
  </si>
  <si>
    <t xml:space="preserve">Total Daily Revenue (Rs)</t>
  </si>
  <si>
    <t xml:space="preserve">BREEDING MODULE</t>
  </si>
  <si>
    <t xml:space="preserve">Animal Register mein jo bhi Purpose='Breeding Stock' likha jayega, wo yahan khud aa jayega.</t>
  </si>
  <si>
    <t xml:space="preserve">Last Breeding Date</t>
  </si>
  <si>
    <t xml:space="preserve">Expected Calving Date</t>
  </si>
  <si>
    <t xml:space="preserve">Pregnancy Status</t>
  </si>
  <si>
    <t xml:space="preserve">Total Calvings</t>
  </si>
  <si>
    <t xml:space="preserve">BREEDING LOG</t>
  </si>
  <si>
    <t xml:space="preserve">Har breeding event yahan likhein — Expected Calving Date khud +283 din calculate hogi.</t>
  </si>
  <si>
    <t xml:space="preserve">Dam ID (Cow/Buffalo)</t>
  </si>
  <si>
    <t xml:space="preserve">Breeding Date</t>
  </si>
  <si>
    <t xml:space="preserve">Bull / AI Source</t>
  </si>
  <si>
    <t xml:space="preserve">Method</t>
  </si>
  <si>
    <t xml:space="preserve">Pregnancy Check Date</t>
  </si>
  <si>
    <t xml:space="preserve">Pregnancy Result</t>
  </si>
  <si>
    <t xml:space="preserve">CALVING LOG</t>
  </si>
  <si>
    <t xml:space="preserve">Naya calf paida hote hi yahan likhein, phir Animal Register mein bhi register kar dein (Sire/Dam ID ke sath).</t>
  </si>
  <si>
    <t xml:space="preserve">Calving Date</t>
  </si>
  <si>
    <t xml:space="preserve">New Calf ID</t>
  </si>
  <si>
    <t xml:space="preserve">Calf Sex</t>
  </si>
  <si>
    <t xml:space="preserve">Birth Weight (kg)</t>
  </si>
  <si>
    <t xml:space="preserve">Calving Ease</t>
  </si>
  <si>
    <t xml:space="preserve">Colostrum Given</t>
  </si>
  <si>
    <t xml:space="preserve">WEANING LOG</t>
  </si>
  <si>
    <t xml:space="preserve">Calf ID</t>
  </si>
  <si>
    <t xml:space="preserve">Weaning Date</t>
  </si>
  <si>
    <t xml:space="preserve">Weaning Weight (kg)</t>
  </si>
  <si>
    <t xml:space="preserve">Weaning Age (days)</t>
  </si>
  <si>
    <t xml:space="preserve">DAILY FEEDING SHEET</t>
  </si>
  <si>
    <t xml:space="preserve">Sirf Date aur Animal ID daalein — weight khud Weight Log se aa jayega (agar entry nahi to Start Weight use hoga). Roughage ka ingredient-wise breakdown Ration Formulator ke Section C mein us phase ke % ke hisab se dekhein.</t>
  </si>
  <si>
    <t xml:space="preserve">DMI @ 3% (kg DM)</t>
  </si>
  <si>
    <t xml:space="preserve">Concentrate % (DM)</t>
  </si>
  <si>
    <t xml:space="preserve">Roughage % (DM)</t>
  </si>
  <si>
    <t xml:space="preserve">Concentrate (kg DM)</t>
  </si>
  <si>
    <t xml:space="preserve">Roughage (kg DM)</t>
  </si>
  <si>
    <t xml:space="preserve">Concentrate As-Fed (kg)</t>
  </si>
  <si>
    <t xml:space="preserve">Roughage As-Fed (kg)</t>
  </si>
  <si>
    <t xml:space="preserve">Total Energy Intake (Mcal/day)</t>
  </si>
  <si>
    <t xml:space="preserve">Notes / Observations</t>
  </si>
  <si>
    <t xml:space="preserve">Example - neeche apni daily entries likhein</t>
  </si>
  <si>
    <t xml:space="preserve">WEIGHT LOG</t>
  </si>
  <si>
    <t xml:space="preserve">Har animal ki entries neeche taareekh ke hisab se ek ke baad ek (consecutive rows) mein likhein — formulas isi tarteeb par depend karte hain. Ye raw record hai — purani entries kabhi delete na karein, bas neeche nayi entry add karte jayein. Effect Animal Register aur Weight &amp; Growth Tracker mein khud dikhega.</t>
  </si>
  <si>
    <t xml:space="preserve">Weighing Type</t>
  </si>
  <si>
    <t xml:space="preserve">Days Since Last Weighing</t>
  </si>
  <si>
    <t xml:space="preserve">ADG Since Last Weighing (g/day)</t>
  </si>
  <si>
    <t xml:space="preserve">Days Since Start</t>
  </si>
  <si>
    <t xml:space="preserve">Cumulative ADG (g/day)</t>
  </si>
  <si>
    <t xml:space="preserve">Weekly</t>
  </si>
  <si>
    <t xml:space="preserve">WEIGHT &amp; GROWTH TRACKER  (per-animal summary — auto from Weight Log)</t>
  </si>
  <si>
    <t xml:space="preserve">Ye sheet Animal Register aur Weight Log se khud banti hai — kuch bhi type karne ki zaroorat nahi.</t>
  </si>
  <si>
    <t xml:space="preserve">Start Weight (kg)</t>
  </si>
  <si>
    <t xml:space="preserve">Latest Weight (kg)</t>
  </si>
  <si>
    <t xml:space="preserve">HEALTH &amp; VACCINATION LOG</t>
  </si>
  <si>
    <t xml:space="preserve">Type</t>
  </si>
  <si>
    <t xml:space="preserve">Product / Medicine Used</t>
  </si>
  <si>
    <t xml:space="preserve">Dose</t>
  </si>
  <si>
    <t xml:space="preserve">Next Due Date</t>
  </si>
  <si>
    <t xml:space="preserve">Administered By</t>
  </si>
  <si>
    <t xml:space="preserve">Deworming</t>
  </si>
  <si>
    <t xml:space="preserve">Example - apna medicine naam likhein</t>
  </si>
  <si>
    <t xml:space="preserve">FEED PURCHASE / SUPPLIER LOG</t>
  </si>
  <si>
    <t xml:space="preserve">Jab bhi ingredient kharidein yahan likhein — Feed Stock ka 'Purchased' column yahan se khud aata hai.</t>
  </si>
  <si>
    <t xml:space="preserve">Total Purchases to Date (Rs)</t>
  </si>
  <si>
    <t xml:space="preserve">Supplier Name</t>
  </si>
  <si>
    <t xml:space="preserve">Ingredient</t>
  </si>
  <si>
    <t xml:space="preserve">Quantity Purchased (kg)</t>
  </si>
  <si>
    <t xml:space="preserve">Total Cost (Rs)</t>
  </si>
  <si>
    <t xml:space="preserve">Example Supplier</t>
  </si>
  <si>
    <t xml:space="preserve">COST TRACKER</t>
  </si>
  <si>
    <t xml:space="preserve">Animal ID / Group</t>
  </si>
  <si>
    <t xml:space="preserve">Quantity Used (kg, as-fed)</t>
  </si>
  <si>
    <t xml:space="preserve">Cost (Rs)</t>
  </si>
  <si>
    <t xml:space="preserve">SUMMARY</t>
  </si>
  <si>
    <t xml:space="preserve">Total Feed Cost to Date (Rs)</t>
  </si>
  <si>
    <t xml:space="preserve">COST BY INGREDIENT</t>
  </si>
  <si>
    <t xml:space="preserve">FEED STOCK INVENTORY</t>
  </si>
  <si>
    <t xml:space="preserve">Opening Stock (kg)</t>
  </si>
  <si>
    <t xml:space="preserve">Purchased (kg)</t>
  </si>
  <si>
    <t xml:space="preserve">Used (kg)</t>
  </si>
  <si>
    <t xml:space="preserve">Closing Stock (kg)</t>
  </si>
  <si>
    <t xml:space="preserve">Reorder Level (kg)</t>
  </si>
  <si>
    <t xml:space="preserve">GENERAL INVENTORY</t>
  </si>
  <si>
    <t xml:space="preserve">Medicines, dairy equipment, aur farm tools yahan track karein (feed ke ilawa sab kuch).</t>
  </si>
  <si>
    <t xml:space="preserve">Item Name</t>
  </si>
  <si>
    <t xml:space="preserve">Unit</t>
  </si>
  <si>
    <t xml:space="preserve">Opening Qty</t>
  </si>
  <si>
    <t xml:space="preserve">Purchased Qty</t>
  </si>
  <si>
    <t xml:space="preserve">Used / Consumed Qty</t>
  </si>
  <si>
    <t xml:space="preserve">Closing Qty</t>
  </si>
  <si>
    <t xml:space="preserve">Reorder Level</t>
  </si>
  <si>
    <t xml:space="preserve">Example - Oxytetracycline Injection</t>
  </si>
  <si>
    <t xml:space="preserve">Medicine</t>
  </si>
  <si>
    <t xml:space="preserve">Bottle</t>
  </si>
  <si>
    <t xml:space="preserve">FATTENING CUSTOMERS</t>
  </si>
  <si>
    <t xml:space="preserve">Business Type</t>
  </si>
  <si>
    <t xml:space="preserve">FATTENING SALES LOG</t>
  </si>
  <si>
    <t xml:space="preserve">Jab Fattening animal bik jaye, yahan likhein — Profit/Loss khud calculate hoga.</t>
  </si>
  <si>
    <t xml:space="preserve">Total Feed Cost (Rs)</t>
  </si>
  <si>
    <t xml:space="preserve">STAFF / EMPLOYEE MODULE</t>
  </si>
  <si>
    <t xml:space="preserve">Staff Name</t>
  </si>
  <si>
    <t xml:space="preserve">Role / Position</t>
  </si>
  <si>
    <t xml:space="preserve">Join Date</t>
  </si>
  <si>
    <t xml:space="preserve">Monthly Salary (Rs)</t>
  </si>
  <si>
    <t xml:space="preserve">Total Paid to Date (Rs)</t>
  </si>
  <si>
    <t xml:space="preserve">SALARY PAYMENTS</t>
  </si>
  <si>
    <t xml:space="preserve">Payment Date / Month</t>
  </si>
  <si>
    <t xml:space="preserve">Amount Paid (Rs)</t>
  </si>
  <si>
    <t xml:space="preserve">Payment Method</t>
  </si>
  <si>
    <t xml:space="preserve">LEDGER — Income &amp; Expense Summary</t>
  </si>
  <si>
    <t xml:space="preserve">Ye poori file ke baaki modules se khud aata hai — kuch bhi type karne ki zaroorat nahi.</t>
  </si>
  <si>
    <t xml:space="preserve">INCOME</t>
  </si>
  <si>
    <t xml:space="preserve">Qurbani Sales (Total, Rs)</t>
  </si>
  <si>
    <t xml:space="preserve">Fattening Sales (Total, Rs)</t>
  </si>
  <si>
    <t xml:space="preserve">Milk Sales (Est., Rs/month, active customers)</t>
  </si>
  <si>
    <t xml:space="preserve">TOTAL INCOME (Rs)</t>
  </si>
  <si>
    <t xml:space="preserve">EXPENSE</t>
  </si>
  <si>
    <t xml:space="preserve">Feed Purchases (Total, Rs)</t>
  </si>
  <si>
    <t xml:space="preserve">Feed Cost Logged - Daily Use (Total, Rs)</t>
  </si>
  <si>
    <t xml:space="preserve">Salary Paid (Total, Rs)</t>
  </si>
  <si>
    <t xml:space="preserve">Animal Acquisition Cost - Qurbani (Total, Rs)</t>
  </si>
  <si>
    <t xml:space="preserve">TOTAL EXPENSE (Rs)</t>
  </si>
  <si>
    <t xml:space="preserve">NET</t>
  </si>
  <si>
    <t xml:space="preserve">NET (Income - Expense, Rs)</t>
  </si>
  <si>
    <t xml:space="preserve">Note: Milk Sales estimate hai (daily order x 30) — General Inventory (medicine/equipment/tools) abhi is total mein shamil nahi, agar unki purchase cost bhi track karni ho to bata dein.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</si>
</sst>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&quot;Rs &quot;#,##0"/>
    <numFmt numFmtId="168" formatCode="0.00"/>
    <numFmt numFmtId="169" formatCode="0.0%"/>
    <numFmt numFmtId="170" formatCode="&quot;Rs &quot;#,##0.00"/>
    <numFmt numFmtId="171" formatCode="dd\-mmm\-yyyy"/>
    <numFmt numFmtId="172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B3C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2E5B3C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8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2E5B3C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8"/>
      <color rgb="FFCCCCC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4DC"/>
        <bgColor rgb="FFD7DBD3"/>
      </patternFill>
    </fill>
    <fill>
      <patternFill patternType="solid">
        <fgColor rgb="FFFFE1E1"/>
        <bgColor rgb="FFE8DEF5"/>
      </patternFill>
    </fill>
    <fill>
      <patternFill patternType="solid">
        <fgColor rgb="FFDCE9F5"/>
        <bgColor rgb="FFD9E4DC"/>
      </patternFill>
    </fill>
    <fill>
      <patternFill patternType="solid">
        <fgColor rgb="FFFFF2CC"/>
        <bgColor rgb="FFFFFFCC"/>
      </patternFill>
    </fill>
    <fill>
      <patternFill patternType="solid">
        <fgColor rgb="FFE8DEF5"/>
        <bgColor rgb="FFDCE9F5"/>
      </patternFill>
    </fill>
    <fill>
      <patternFill patternType="solid">
        <fgColor rgb="FFFFFFCC"/>
        <bgColor rgb="FFFFF2CC"/>
      </patternFill>
    </fill>
    <fill>
      <patternFill patternType="solid">
        <fgColor rgb="FF2E5B3C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88A44E"/>
      <rgbColor rgb="FF0000FF"/>
      <rgbColor rgb="FFBDD09B"/>
      <rgbColor rgb="FFD39796"/>
      <rgbColor rgb="FFB7B7B7"/>
      <rgbColor rgb="FF9C0006"/>
      <rgbColor rgb="FF008000"/>
      <rgbColor rgb="FFE8DEF5"/>
      <rgbColor rgb="FF71893F"/>
      <rgbColor rgb="FF7030A0"/>
      <rgbColor rgb="FF387294"/>
      <rgbColor rgb="FFC0BFC2"/>
      <rgbColor rgb="FF88848D"/>
      <rgbColor rgb="FF96BBD3"/>
      <rgbColor rgb="FF8C3937"/>
      <rgbColor rgb="FFFFFFCC"/>
      <rgbColor rgb="FFDCE9F5"/>
      <rgbColor rgb="FFE4C6C6"/>
      <rgbColor rgb="FFF79F62"/>
      <rgbColor rgb="FF385E8A"/>
      <rgbColor rgb="FFC6D6E4"/>
      <rgbColor rgb="FFFFE1E1"/>
      <rgbColor rgb="FFFFC7CE"/>
      <rgbColor rgb="FFF9BFA2"/>
      <rgbColor rgb="FFCCCCCC"/>
      <rgbColor rgb="FF777777"/>
      <rgbColor rgb="FFDD833C"/>
      <rgbColor rgb="FF4A79B2"/>
      <rgbColor rgb="FFD7DBD3"/>
      <rgbColor rgb="FF5383BE"/>
      <rgbColor rgb="FFD9E4DC"/>
      <rgbColor rgb="FFC6EFCE"/>
      <rgbColor rgb="FFFFF2CC"/>
      <rgbColor rgb="FFAEC9DC"/>
      <rgbColor rgb="FFF8B087"/>
      <rgbColor rgb="FFACAAB2"/>
      <rgbColor rgb="FFFACDB8"/>
      <rgbColor rgb="FF4472C4"/>
      <rgbColor rgb="FF50A7C3"/>
      <rgbColor rgb="FF9DBC62"/>
      <rgbColor rgb="FFFFC000"/>
      <rgbColor rgb="FFF09144"/>
      <rgbColor rgb="FFED7D31"/>
      <rgbColor rgb="FF745B93"/>
      <rgbColor rgb="FF969BC5"/>
      <rgbColor rgb="FF555555"/>
      <rgbColor rgb="FF3C8BA0"/>
      <rgbColor rgb="FF006100"/>
      <rgbColor rgb="FF2E5B3C"/>
      <rgbColor rgb="FFBD6C3C"/>
      <rgbColor rgb="FFAF4846"/>
      <rgbColor rgb="FF5E497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Progress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Dashboard!L22</c:f>
              <c:strCache>
                <c:ptCount val="1"/>
                <c:pt idx="0">
                  <c:v>Weight (kg)</c:v>
                </c:pt>
              </c:strCache>
            </c:strRef>
          </c:tx>
          <c:spPr>
            <a:solidFill>
              <a:srgbClr val="2e5b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Dashboard!$K$23:$K$25</c:f>
              <c:strCache>
                <c:ptCount val="3"/>
                <c:pt idx="0">
                  <c:v>Start</c:v>
                </c:pt>
                <c:pt idx="1">
                  <c:v>Current</c:v>
                </c:pt>
                <c:pt idx="2">
                  <c:v>Target Final</c:v>
                </c:pt>
              </c:strCache>
            </c:strRef>
          </c:cat>
          <c:val>
            <c:numRef>
              <c:f>Dashboard!$L$23:$L$25</c:f>
              <c:numCache>
                <c:formatCode>0.0</c:formatCode>
                <c:ptCount val="3"/>
                <c:pt idx="0">
                  <c:v>212</c:v>
                </c:pt>
                <c:pt idx="1">
                  <c:v>212</c:v>
                </c:pt>
                <c:pt idx="2">
                  <c:v>328</c:v>
                </c:pt>
              </c:numCache>
            </c:numRef>
          </c:val>
        </c:ser>
        <c:gapWidth val="150"/>
        <c:overlap val="0"/>
        <c:axId val="22858154"/>
        <c:axId val="53021388"/>
      </c:barChart>
      <c:catAx>
        <c:axId val="22858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21388"/>
        <c:crosses val="autoZero"/>
        <c:auto val="1"/>
        <c:lblAlgn val="ctr"/>
        <c:lblOffset val="100"/>
        <c:noMultiLvlLbl val="0"/>
      </c:catAx>
      <c:valAx>
        <c:axId val="53021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58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Weight by Animal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'Weight &amp; Growth Tracker'!E4</c:f>
              <c:strCache>
                <c:ptCount val="1"/>
                <c:pt idx="0">
                  <c:v>Latest Weight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'Weight &amp; Growth Tracker'!$A$5:$A$74</c:f>
              <c:strCache>
                <c:ptCount val="70"/>
                <c:pt idx="0">
                  <c:v>A-01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</c:strCache>
            </c:strRef>
          </c:cat>
          <c:val>
            <c:numRef>
              <c:f>'Weight &amp; Growth Tracker'!$E$5:$E$74</c:f>
              <c:numCache>
                <c:formatCode>0.0</c:formatCode>
                <c:ptCount val="70"/>
                <c:pt idx="0">
                  <c:v>212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124361"/>
        <c:axId val="49899586"/>
      </c:lineChart>
      <c:catAx>
        <c:axId val="89124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Animal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99586"/>
        <c:crosses val="autoZero"/>
        <c:auto val="1"/>
        <c:lblAlgn val="ctr"/>
        <c:lblOffset val="100"/>
        <c:noMultiLvlLbl val="0"/>
      </c:catAx>
      <c:valAx>
        <c:axId val="49899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24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Feed Cost Share by Ingredient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'Cost Tracker'!J7</c:f>
              <c:strCache>
                <c:ptCount val="1"/>
                <c:pt idx="0">
                  <c:v>Total Cost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659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84373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b813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8456f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37688"/>
              </a:solidFill>
              <a:ln w="0">
                <a:noFill/>
              </a:ln>
            </c:spPr>
          </c:dPt>
          <c:dPt>
            <c:idx val="5"/>
            <c:spPr>
              <a:solidFill>
                <a:srgbClr val="aa673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d6392"/>
              </a:solidFill>
              <a:ln w="0">
                <a:noFill/>
              </a:ln>
            </c:spPr>
          </c:dPt>
          <c:dPt>
            <c:idx val="7"/>
            <c:spPr>
              <a:solidFill>
                <a:srgbClr val="943d3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779044"/>
              </a:solidFill>
              <a:ln w="0">
                <a:noFill/>
              </a:ln>
            </c:spPr>
          </c:dPt>
          <c:dPt>
            <c:idx val="9"/>
            <c:spPr>
              <a:solidFill>
                <a:srgbClr val="634d7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3a8599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bf743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426da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a24341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839e4b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6c5489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3f91a7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d17e3b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4875ac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f4846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8daa51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745b93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449cb4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e1883f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4c7db7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ba4d4a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96b556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7c619d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48a7c0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f09144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678dc2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c46866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a3c06e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8c76a9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65b2ca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f79f62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8aa3cb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ce8a89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b3ca8e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a293b8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88bfd2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f8b087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a4b6d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d6a4a3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c2d3a7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b5aac5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a3cbda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f9bfa2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b9c6dd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deb9b9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cfdcbb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c6bed2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b9d6e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facdb8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ccd5e5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e6ccc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'Cost Tracker'!$I$8:$I$63</c:f>
              <c:strCache>
                <c:ptCount val="56"/>
                <c:pt idx="0">
                  <c:v>Maize Grain (Crushed)</c:v>
                </c:pt>
                <c:pt idx="1">
                  <c:v>Wheat Grain (Crushed)</c:v>
                </c:pt>
                <c:pt idx="2">
                  <c:v>Barley Grain (Crushed)</c:v>
                </c:pt>
                <c:pt idx="3">
                  <c:v>Sorghum Grain (Jowar)</c:v>
                </c:pt>
                <c:pt idx="4">
                  <c:v>Pearl Millet Grain (Bajra)</c:v>
                </c:pt>
                <c:pt idx="5">
                  <c:v>Broken Rice (Rice Kani)</c:v>
                </c:pt>
                <c:pt idx="6">
                  <c:v>Cottonseed Cake (Banaula Khal)</c:v>
                </c:pt>
                <c:pt idx="7">
                  <c:v>Cottonseed Meal (Solvent Extracted)</c:v>
                </c:pt>
                <c:pt idx="8">
                  <c:v>Canola / Sarson Cake</c:v>
                </c:pt>
                <c:pt idx="9">
                  <c:v>Sunflower Cake</c:v>
                </c:pt>
                <c:pt idx="10">
                  <c:v>Sunflower Meal (Decorticated)</c:v>
                </c:pt>
                <c:pt idx="11">
                  <c:v>Soybean Meal</c:v>
                </c:pt>
                <c:pt idx="12">
                  <c:v>Groundnut Cake</c:v>
                </c:pt>
                <c:pt idx="13">
                  <c:v>Guar Meal / Korma (Refined)</c:v>
                </c:pt>
                <c:pt idx="14">
                  <c:v>Guar Churi (Coarse Grade)</c:v>
                </c:pt>
                <c:pt idx="15">
                  <c:v>Maize Gluten Meal</c:v>
                </c:pt>
                <c:pt idx="16">
                  <c:v>Maize Gluten Feed</c:v>
                </c:pt>
                <c:pt idx="17">
                  <c:v>Sesame Cake (Til Khal)</c:v>
                </c:pt>
                <c:pt idx="18">
                  <c:v>Wheat Bran (Chokar)</c:v>
                </c:pt>
                <c:pt idx="19">
                  <c:v>Rice Polish</c:v>
                </c:pt>
                <c:pt idx="20">
                  <c:v>Rice Bran (Full-Fat)</c:v>
                </c:pt>
                <c:pt idx="21">
                  <c:v>Deoiled Rice Bran (DORB)</c:v>
                </c:pt>
                <c:pt idx="22">
                  <c:v>Molasses (Shakar)</c:v>
                </c:pt>
                <c:pt idx="23">
                  <c:v>Bakery Waste (Meal)</c:v>
                </c:pt>
                <c:pt idx="24">
                  <c:v>Mineral Mixture</c:v>
                </c:pt>
                <c:pt idx="25">
                  <c:v>Salt</c:v>
                </c:pt>
                <c:pt idx="26">
                  <c:v>Sodium Bicarbonate</c:v>
                </c:pt>
                <c:pt idx="27">
                  <c:v>DCP (Di-Calcium Phosphate)</c:v>
                </c:pt>
                <c:pt idx="28">
                  <c:v>Urea (NPN source)</c:v>
                </c:pt>
                <c:pt idx="29">
                  <c:v>Yeast Culture</c:v>
                </c:pt>
                <c:pt idx="30">
                  <c:v>Maize Green Fodder</c:v>
                </c:pt>
                <c:pt idx="31">
                  <c:v>Sorghum / Jowar Green Fodder</c:v>
                </c:pt>
                <c:pt idx="32">
                  <c:v>Bajra (Pearl Millet) Green Fodder</c:v>
                </c:pt>
                <c:pt idx="33">
                  <c:v>Berseem (Green, Seasonal Nov-Apr)</c:v>
                </c:pt>
                <c:pt idx="34">
                  <c:v>Lucerne / Alfalfa (Green)</c:v>
                </c:pt>
                <c:pt idx="35">
                  <c:v>Oat Green Fodder</c:v>
                </c:pt>
                <c:pt idx="36">
                  <c:v>Guar (Cluster Bean) Green Fodder</c:v>
                </c:pt>
                <c:pt idx="37">
                  <c:v>Cowpea Green Fodder</c:v>
                </c:pt>
                <c:pt idx="38">
                  <c:v>Sadabahar / Mott Grass</c:v>
                </c:pt>
                <c:pt idx="39">
                  <c:v>Napier / Elephant Grass</c:v>
                </c:pt>
                <c:pt idx="40">
                  <c:v>Sudan Grass (Green)</c:v>
                </c:pt>
                <c:pt idx="41">
                  <c:v>Maize Silage</c:v>
                </c:pt>
                <c:pt idx="42">
                  <c:v>Sorghum Silage</c:v>
                </c:pt>
                <c:pt idx="43">
                  <c:v>Berseem Hay</c:v>
                </c:pt>
                <c:pt idx="44">
                  <c:v>Lucerne Hay</c:v>
                </c:pt>
                <c:pt idx="45">
                  <c:v>Oat Hay</c:v>
                </c:pt>
                <c:pt idx="46">
                  <c:v>Wheat Straw (Bhoosa)</c:v>
                </c:pt>
                <c:pt idx="47">
                  <c:v>Rice Straw</c:v>
                </c:pt>
                <c:pt idx="48">
                  <c:v>Maize Stover (Karbi)</c:v>
                </c:pt>
                <c:pt idx="49">
                  <c:v>Sorghum Stover</c:v>
                </c:pt>
                <c:pt idx="50">
                  <c:v>Millet Stover</c:v>
                </c:pt>
                <c:pt idx="51">
                  <c:v>Corn Cobs (Ground)</c:v>
                </c:pt>
                <c:pt idx="52">
                  <c:v>Gram / Chickpea Straw (Chana Bhoosa)</c:v>
                </c:pt>
                <c:pt idx="53">
                  <c:v>Cotton Stalks (Ground)</c:v>
                </c:pt>
                <c:pt idx="54">
                  <c:v>Sugarcane Tops</c:v>
                </c:pt>
                <c:pt idx="55">
                  <c:v>Sugarcane Bagasse</c:v>
                </c:pt>
              </c:strCache>
            </c:strRef>
          </c:cat>
          <c:val>
            <c:numRef>
              <c:f>'Cost Tracker'!$J$8:$J$63</c:f>
              <c:numCache>
                <c:formatCode>"Rs "#,##0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Stock by Ingredient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'Feed Stock'!E3</c:f>
              <c:strCache>
                <c:ptCount val="1"/>
                <c:pt idx="0">
                  <c:v>Closing Stock (kg)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'Feed Stock'!$A$4:$A$59</c:f>
              <c:strCache>
                <c:ptCount val="56"/>
                <c:pt idx="0">
                  <c:v>Maize Grain (Crushed)</c:v>
                </c:pt>
                <c:pt idx="1">
                  <c:v>Wheat Grain (Crushed)</c:v>
                </c:pt>
                <c:pt idx="2">
                  <c:v>Barley Grain (Crushed)</c:v>
                </c:pt>
                <c:pt idx="3">
                  <c:v>Sorghum Grain (Jowar)</c:v>
                </c:pt>
                <c:pt idx="4">
                  <c:v>Pearl Millet Grain (Bajra)</c:v>
                </c:pt>
                <c:pt idx="5">
                  <c:v>Broken Rice (Rice Kani)</c:v>
                </c:pt>
                <c:pt idx="6">
                  <c:v>Cottonseed Cake (Banaula Khal)</c:v>
                </c:pt>
                <c:pt idx="7">
                  <c:v>Cottonseed Meal (Solvent Extracted)</c:v>
                </c:pt>
                <c:pt idx="8">
                  <c:v>Canola / Sarson Cake</c:v>
                </c:pt>
                <c:pt idx="9">
                  <c:v>Sunflower Cake</c:v>
                </c:pt>
                <c:pt idx="10">
                  <c:v>Sunflower Meal (Decorticated)</c:v>
                </c:pt>
                <c:pt idx="11">
                  <c:v>Soybean Meal</c:v>
                </c:pt>
                <c:pt idx="12">
                  <c:v>Groundnut Cake</c:v>
                </c:pt>
                <c:pt idx="13">
                  <c:v>Guar Meal / Korma (Refined)</c:v>
                </c:pt>
                <c:pt idx="14">
                  <c:v>Guar Churi (Coarse Grade)</c:v>
                </c:pt>
                <c:pt idx="15">
                  <c:v>Maize Gluten Meal</c:v>
                </c:pt>
                <c:pt idx="16">
                  <c:v>Maize Gluten Feed</c:v>
                </c:pt>
                <c:pt idx="17">
                  <c:v>Sesame Cake (Til Khal)</c:v>
                </c:pt>
                <c:pt idx="18">
                  <c:v>Wheat Bran (Chokar)</c:v>
                </c:pt>
                <c:pt idx="19">
                  <c:v>Rice Polish</c:v>
                </c:pt>
                <c:pt idx="20">
                  <c:v>Rice Bran (Full-Fat)</c:v>
                </c:pt>
                <c:pt idx="21">
                  <c:v>Deoiled Rice Bran (DORB)</c:v>
                </c:pt>
                <c:pt idx="22">
                  <c:v>Molasses (Shakar)</c:v>
                </c:pt>
                <c:pt idx="23">
                  <c:v>Bakery Waste (Meal)</c:v>
                </c:pt>
                <c:pt idx="24">
                  <c:v>Mineral Mixture</c:v>
                </c:pt>
                <c:pt idx="25">
                  <c:v>Salt</c:v>
                </c:pt>
                <c:pt idx="26">
                  <c:v>Sodium Bicarbonate</c:v>
                </c:pt>
                <c:pt idx="27">
                  <c:v>DCP (Di-Calcium Phosphate)</c:v>
                </c:pt>
                <c:pt idx="28">
                  <c:v>Urea (NPN source)</c:v>
                </c:pt>
                <c:pt idx="29">
                  <c:v>Yeast Culture</c:v>
                </c:pt>
                <c:pt idx="30">
                  <c:v>Maize Green Fodder</c:v>
                </c:pt>
                <c:pt idx="31">
                  <c:v>Sorghum / Jowar Green Fodder</c:v>
                </c:pt>
                <c:pt idx="32">
                  <c:v>Bajra (Pearl Millet) Green Fodder</c:v>
                </c:pt>
                <c:pt idx="33">
                  <c:v>Berseem (Green, Seasonal Nov-Apr)</c:v>
                </c:pt>
                <c:pt idx="34">
                  <c:v>Lucerne / Alfalfa (Green)</c:v>
                </c:pt>
                <c:pt idx="35">
                  <c:v>Oat Green Fodder</c:v>
                </c:pt>
                <c:pt idx="36">
                  <c:v>Guar (Cluster Bean) Green Fodder</c:v>
                </c:pt>
                <c:pt idx="37">
                  <c:v>Cowpea Green Fodder</c:v>
                </c:pt>
                <c:pt idx="38">
                  <c:v>Sadabahar / Mott Grass</c:v>
                </c:pt>
                <c:pt idx="39">
                  <c:v>Napier / Elephant Grass</c:v>
                </c:pt>
                <c:pt idx="40">
                  <c:v>Sudan Grass (Green)</c:v>
                </c:pt>
                <c:pt idx="41">
                  <c:v>Maize Silage</c:v>
                </c:pt>
                <c:pt idx="42">
                  <c:v>Sorghum Silage</c:v>
                </c:pt>
                <c:pt idx="43">
                  <c:v>Berseem Hay</c:v>
                </c:pt>
                <c:pt idx="44">
                  <c:v>Lucerne Hay</c:v>
                </c:pt>
                <c:pt idx="45">
                  <c:v>Oat Hay</c:v>
                </c:pt>
                <c:pt idx="46">
                  <c:v>Wheat Straw (Bhoosa)</c:v>
                </c:pt>
                <c:pt idx="47">
                  <c:v>Rice Straw</c:v>
                </c:pt>
                <c:pt idx="48">
                  <c:v>Maize Stover (Karbi)</c:v>
                </c:pt>
                <c:pt idx="49">
                  <c:v>Sorghum Stover</c:v>
                </c:pt>
                <c:pt idx="50">
                  <c:v>Millet Stover</c:v>
                </c:pt>
                <c:pt idx="51">
                  <c:v>Corn Cobs (Ground)</c:v>
                </c:pt>
                <c:pt idx="52">
                  <c:v>Gram / Chickpea Straw (Chana Bhoosa)</c:v>
                </c:pt>
                <c:pt idx="53">
                  <c:v>Cotton Stalks (Ground)</c:v>
                </c:pt>
                <c:pt idx="54">
                  <c:v>Sugarcane Tops</c:v>
                </c:pt>
                <c:pt idx="55">
                  <c:v>Sugarcane Bagasse</c:v>
                </c:pt>
              </c:strCache>
            </c:strRef>
          </c:cat>
          <c:val>
            <c:numRef>
              <c:f>'Feed Stock'!$E$4:$E$59</c:f>
              <c:numCache>
                <c:formatCode>0.0</c:formatCode>
                <c:ptCount val="56"/>
                <c:pt idx="0">
                  <c:v>47.5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gapWidth val="150"/>
        <c:overlap val="0"/>
        <c:axId val="38613464"/>
        <c:axId val="73657420"/>
      </c:barChart>
      <c:catAx>
        <c:axId val="3861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57420"/>
        <c:crosses val="autoZero"/>
        <c:auto val="1"/>
        <c:lblAlgn val="ctr"/>
        <c:lblOffset val="100"/>
        <c:noMultiLvlLbl val="0"/>
      </c:catAx>
      <c:valAx>
        <c:axId val="73657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13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130680</xdr:rowOff>
    </xdr:from>
    <xdr:to>
      <xdr:col>6</xdr:col>
      <xdr:colOff>473400</xdr:colOff>
      <xdr:row>33</xdr:row>
      <xdr:rowOff>153000</xdr:rowOff>
    </xdr:to>
    <xdr:graphicFrame>
      <xdr:nvGraphicFramePr>
        <xdr:cNvPr id="0" name="Chart 1"/>
        <xdr:cNvGraphicFramePr/>
      </xdr:nvGraphicFramePr>
      <xdr:xfrm>
        <a:off x="1057320" y="4238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364680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1078416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160560</xdr:rowOff>
    </xdr:from>
    <xdr:to>
      <xdr:col>21</xdr:col>
      <xdr:colOff>255960</xdr:colOff>
      <xdr:row>19</xdr:row>
      <xdr:rowOff>19440</xdr:rowOff>
    </xdr:to>
    <xdr:graphicFrame>
      <xdr:nvGraphicFramePr>
        <xdr:cNvPr id="2" name="Chart 1"/>
        <xdr:cNvGraphicFramePr/>
      </xdr:nvGraphicFramePr>
      <xdr:xfrm>
        <a:off x="13839840" y="380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25</xdr:col>
      <xdr:colOff>403920</xdr:colOff>
      <xdr:row>19</xdr:row>
      <xdr:rowOff>180720</xdr:rowOff>
    </xdr:to>
    <xdr:graphicFrame>
      <xdr:nvGraphicFramePr>
        <xdr:cNvPr id="3" name="Chart 1"/>
        <xdr:cNvGraphicFramePr/>
      </xdr:nvGraphicFramePr>
      <xdr:xfrm>
        <a:off x="928116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B2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C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C9" s="4" t="s">
        <v>5</v>
      </c>
    </row>
    <row r="10" customFormat="false" ht="15" hidden="false" customHeight="false" outlineLevel="0" collapsed="false">
      <c r="C10" s="4" t="s">
        <v>6</v>
      </c>
    </row>
    <row r="11" customFormat="false" ht="15" hidden="false" customHeight="false" outlineLevel="0" collapsed="false">
      <c r="C11" s="4" t="s">
        <v>7</v>
      </c>
    </row>
    <row r="12" customFormat="false" ht="15" hidden="false" customHeight="false" outlineLevel="0" collapsed="false">
      <c r="C12" s="4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31.5" hidden="false" customHeight="true" outlineLevel="0" collapsed="false">
      <c r="B16" s="5" t="s">
        <v>11</v>
      </c>
      <c r="C16" s="6" t="s">
        <v>12</v>
      </c>
    </row>
    <row r="17" customFormat="false" ht="31.5" hidden="false" customHeight="true" outlineLevel="0" collapsed="false">
      <c r="B17" s="5" t="s">
        <v>13</v>
      </c>
      <c r="C17" s="6" t="s">
        <v>14</v>
      </c>
    </row>
    <row r="18" customFormat="false" ht="31.5" hidden="false" customHeight="true" outlineLevel="0" collapsed="false">
      <c r="B18" s="5" t="s">
        <v>15</v>
      </c>
      <c r="C18" s="6" t="s">
        <v>16</v>
      </c>
    </row>
    <row r="19" customFormat="false" ht="31.5" hidden="false" customHeight="true" outlineLevel="0" collapsed="false">
      <c r="B19" s="5" t="s">
        <v>17</v>
      </c>
      <c r="C19" s="6" t="s">
        <v>18</v>
      </c>
    </row>
    <row r="20" customFormat="false" ht="15" hidden="false" customHeight="false" outlineLevel="0" collapsed="false">
      <c r="B20" s="3" t="s">
        <v>19</v>
      </c>
    </row>
    <row r="21" customFormat="false" ht="31.5" hidden="false" customHeight="true" outlineLevel="0" collapsed="false">
      <c r="B21" s="5" t="s">
        <v>20</v>
      </c>
      <c r="C21" s="6" t="s">
        <v>21</v>
      </c>
    </row>
    <row r="22" customFormat="false" ht="15" hidden="false" customHeight="false" outlineLevel="0" collapsed="false">
      <c r="B22" s="3" t="s">
        <v>22</v>
      </c>
    </row>
    <row r="23" customFormat="false" ht="31.5" hidden="false" customHeight="true" outlineLevel="0" collapsed="false">
      <c r="B23" s="5" t="s">
        <v>23</v>
      </c>
      <c r="C23" s="6" t="s">
        <v>24</v>
      </c>
    </row>
    <row r="24" customFormat="false" ht="31.5" hidden="false" customHeight="true" outlineLevel="0" collapsed="false">
      <c r="B24" s="5" t="s">
        <v>25</v>
      </c>
      <c r="C24" s="6" t="s">
        <v>26</v>
      </c>
    </row>
    <row r="25" customFormat="false" ht="31.5" hidden="false" customHeight="true" outlineLevel="0" collapsed="false">
      <c r="B25" s="5" t="s">
        <v>27</v>
      </c>
      <c r="C25" s="6" t="s">
        <v>28</v>
      </c>
    </row>
    <row r="26" customFormat="false" ht="15" hidden="false" customHeight="false" outlineLevel="0" collapsed="false">
      <c r="B26" s="3" t="s">
        <v>29</v>
      </c>
    </row>
    <row r="27" customFormat="false" ht="31.5" hidden="false" customHeight="true" outlineLevel="0" collapsed="false">
      <c r="B27" s="5" t="s">
        <v>30</v>
      </c>
      <c r="C27" s="6" t="s">
        <v>31</v>
      </c>
    </row>
    <row r="28" customFormat="false" ht="31.5" hidden="false" customHeight="true" outlineLevel="0" collapsed="false">
      <c r="B28" s="5" t="s">
        <v>32</v>
      </c>
      <c r="C28" s="6" t="s">
        <v>33</v>
      </c>
    </row>
    <row r="29" customFormat="false" ht="31.5" hidden="false" customHeight="true" outlineLevel="0" collapsed="false">
      <c r="B29" s="5" t="s">
        <v>34</v>
      </c>
      <c r="C29" s="6" t="s">
        <v>35</v>
      </c>
    </row>
    <row r="30" customFormat="false" ht="31.5" hidden="false" customHeight="true" outlineLevel="0" collapsed="false">
      <c r="B30" s="5" t="s">
        <v>36</v>
      </c>
      <c r="C30" s="6" t="s">
        <v>37</v>
      </c>
    </row>
    <row r="31" customFormat="false" ht="15" hidden="false" customHeight="false" outlineLevel="0" collapsed="false">
      <c r="B31" s="3" t="s">
        <v>38</v>
      </c>
    </row>
    <row r="32" customFormat="false" ht="31.5" hidden="false" customHeight="true" outlineLevel="0" collapsed="false">
      <c r="B32" s="5" t="s">
        <v>39</v>
      </c>
      <c r="C32" s="6" t="s">
        <v>40</v>
      </c>
    </row>
    <row r="33" customFormat="false" ht="31.5" hidden="false" customHeight="true" outlineLevel="0" collapsed="false">
      <c r="B33" s="5" t="s">
        <v>41</v>
      </c>
      <c r="C33" s="6" t="s">
        <v>42</v>
      </c>
    </row>
    <row r="34" customFormat="false" ht="31.5" hidden="false" customHeight="true" outlineLevel="0" collapsed="false">
      <c r="B34" s="5" t="s">
        <v>43</v>
      </c>
      <c r="C34" s="6" t="s">
        <v>44</v>
      </c>
    </row>
    <row r="35" customFormat="false" ht="31.5" hidden="false" customHeight="true" outlineLevel="0" collapsed="false">
      <c r="B35" s="5" t="s">
        <v>45</v>
      </c>
      <c r="C35" s="6" t="s">
        <v>46</v>
      </c>
    </row>
    <row r="36" customFormat="false" ht="31.5" hidden="false" customHeight="true" outlineLevel="0" collapsed="false">
      <c r="B36" s="5" t="s">
        <v>47</v>
      </c>
      <c r="C36" s="6" t="s">
        <v>48</v>
      </c>
    </row>
    <row r="37" customFormat="false" ht="31.5" hidden="false" customHeight="true" outlineLevel="0" collapsed="false">
      <c r="B37" s="5" t="s">
        <v>49</v>
      </c>
      <c r="C37" s="6" t="s">
        <v>50</v>
      </c>
    </row>
    <row r="38" customFormat="false" ht="31.5" hidden="false" customHeight="true" outlineLevel="0" collapsed="false">
      <c r="B38" s="5" t="s">
        <v>51</v>
      </c>
      <c r="C38" s="6" t="s">
        <v>52</v>
      </c>
    </row>
    <row r="39" customFormat="false" ht="15" hidden="false" customHeight="false" outlineLevel="0" collapsed="false">
      <c r="B39" s="3" t="s">
        <v>53</v>
      </c>
    </row>
    <row r="40" customFormat="false" ht="31.5" hidden="false" customHeight="true" outlineLevel="0" collapsed="false">
      <c r="B40" s="5" t="s">
        <v>54</v>
      </c>
      <c r="C40" s="6" t="s">
        <v>55</v>
      </c>
    </row>
    <row r="41" customFormat="false" ht="31.5" hidden="false" customHeight="true" outlineLevel="0" collapsed="false">
      <c r="B41" s="5" t="s">
        <v>56</v>
      </c>
      <c r="C41" s="6" t="s">
        <v>57</v>
      </c>
    </row>
    <row r="42" customFormat="false" ht="31.5" hidden="false" customHeight="true" outlineLevel="0" collapsed="false">
      <c r="B42" s="5" t="s">
        <v>58</v>
      </c>
      <c r="C42" s="6" t="s">
        <v>59</v>
      </c>
    </row>
    <row r="43" customFormat="false" ht="31.5" hidden="false" customHeight="true" outlineLevel="0" collapsed="false">
      <c r="B43" s="5" t="s">
        <v>60</v>
      </c>
      <c r="C43" s="6" t="s">
        <v>61</v>
      </c>
    </row>
    <row r="44" customFormat="false" ht="31.5" hidden="false" customHeight="true" outlineLevel="0" collapsed="false">
      <c r="B44" s="5" t="s">
        <v>62</v>
      </c>
      <c r="C44" s="6" t="s">
        <v>63</v>
      </c>
    </row>
    <row r="45" customFormat="false" ht="31.5" hidden="false" customHeight="true" outlineLevel="0" collapsed="false">
      <c r="B45" s="5" t="s">
        <v>64</v>
      </c>
      <c r="C45" s="6" t="s">
        <v>65</v>
      </c>
    </row>
    <row r="46" customFormat="false" ht="31.5" hidden="false" customHeight="true" outlineLevel="0" collapsed="false">
      <c r="B46" s="5" t="s">
        <v>66</v>
      </c>
      <c r="C46" s="6" t="s">
        <v>67</v>
      </c>
    </row>
    <row r="48" customFormat="false" ht="31.5" hidden="false" customHeight="true" outlineLevel="0" collapsed="false">
      <c r="B48" s="5" t="s">
        <v>68</v>
      </c>
      <c r="C48" s="6" t="s">
        <v>69</v>
      </c>
    </row>
    <row r="49" customFormat="false" ht="31.5" hidden="false" customHeight="true" outlineLevel="0" collapsed="false">
      <c r="B49" s="5" t="s">
        <v>70</v>
      </c>
      <c r="C49" s="6" t="s">
        <v>71</v>
      </c>
    </row>
    <row r="50" customFormat="false" ht="31.5" hidden="false" customHeight="true" outlineLevel="0" collapsed="false">
      <c r="B50" s="5" t="s">
        <v>72</v>
      </c>
      <c r="C50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B3C"/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  <col collapsed="false" customWidth="true" hidden="false" outlineLevel="0" max="10" min="10" style="0" width="2"/>
    <col collapsed="false" customWidth="true" hidden="false" outlineLevel="0" max="12" min="11" style="0" width="13"/>
  </cols>
  <sheetData>
    <row r="1" customFormat="false" ht="19.7" hidden="false" customHeight="false" outlineLevel="0" collapsed="false">
      <c r="A1" s="7" t="s">
        <v>74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75</v>
      </c>
      <c r="B2" s="8"/>
      <c r="C2" s="8"/>
      <c r="D2" s="8"/>
      <c r="E2" s="8"/>
      <c r="F2" s="8"/>
      <c r="G2" s="8"/>
      <c r="H2" s="8"/>
      <c r="I2" s="8"/>
    </row>
    <row r="4" customFormat="false" ht="15" hidden="false" customHeight="false" outlineLevel="0" collapsed="false">
      <c r="A4" s="9" t="s">
        <v>76</v>
      </c>
      <c r="B4" s="9"/>
      <c r="C4" s="9"/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10" t="s">
        <v>77</v>
      </c>
      <c r="B5" s="10"/>
      <c r="C5" s="10" t="s">
        <v>78</v>
      </c>
      <c r="D5" s="10"/>
      <c r="E5" s="10" t="s">
        <v>79</v>
      </c>
      <c r="F5" s="10"/>
      <c r="G5" s="11" t="s">
        <v>80</v>
      </c>
      <c r="H5" s="11"/>
      <c r="I5" s="11"/>
    </row>
    <row r="6" customFormat="false" ht="27.75" hidden="false" customHeight="true" outlineLevel="0" collapsed="false">
      <c r="A6" s="12" t="n">
        <f aca="false">COUNTIF('Animal Register'!Q:Q,"Active")</f>
        <v>1</v>
      </c>
      <c r="B6" s="12"/>
      <c r="C6" s="12" t="n">
        <f aca="false">IF(COUNTIF('Animal Register'!Q:Q,"Active")=0,"-",ROUND(AVERAGEIF('Animal Register'!Q:Q,"Active",'Animal Register'!O:O),0))</f>
        <v>9</v>
      </c>
      <c r="D6" s="12"/>
      <c r="E6" s="12" t="n">
        <f aca="false">IF(ISNUMBER(C6),100-C6,"-")</f>
        <v>91</v>
      </c>
      <c r="F6" s="12"/>
      <c r="G6" s="13" t="n">
        <f aca="false">COUNTIF('Feed Stock'!G:G,"Reorder Now")</f>
        <v>0</v>
      </c>
      <c r="H6" s="13"/>
      <c r="I6" s="13"/>
    </row>
    <row r="8" customFormat="false" ht="15" hidden="false" customHeight="false" outlineLevel="0" collapsed="false">
      <c r="A8" s="14" t="s">
        <v>81</v>
      </c>
      <c r="B8" s="14"/>
      <c r="C8" s="14" t="s">
        <v>82</v>
      </c>
      <c r="D8" s="14"/>
      <c r="E8" s="14" t="s">
        <v>83</v>
      </c>
      <c r="F8" s="14"/>
      <c r="G8" s="15" t="s">
        <v>84</v>
      </c>
      <c r="H8" s="15"/>
      <c r="I8" s="15"/>
    </row>
    <row r="9" customFormat="false" ht="27.75" hidden="false" customHeight="true" outlineLevel="0" collapsed="false">
      <c r="A9" s="16" t="n">
        <f aca="false">IF(COUNTIF('Animal Register'!Q:Q,"Active")=0,"-",ROUND(AVERAGEIF('Animal Register'!Q:Q,"Active",'Animal Register'!I:I),1))</f>
        <v>212</v>
      </c>
      <c r="B9" s="16"/>
      <c r="C9" s="16" t="n">
        <f aca="false">IF(COUNTIF('Animal Register'!Q:Q,"Active")=0,"-",ROUND(AVERAGEIF('Animal Register'!Q:Q,"Active",'Animal Register'!S:S),1))</f>
        <v>212</v>
      </c>
      <c r="D9" s="16"/>
      <c r="E9" s="16" t="n">
        <f aca="false">IF(AND(ISNUMBER(A9),ISNUMBER(C9)),ROUND(C9-A9,1),"-")</f>
        <v>0</v>
      </c>
      <c r="F9" s="16"/>
      <c r="G9" s="17" t="n">
        <f aca="false">'Cost Tracker'!J4</f>
        <v>0</v>
      </c>
      <c r="H9" s="17"/>
      <c r="I9" s="17"/>
    </row>
    <row r="11" customFormat="false" ht="15" hidden="false" customHeight="false" outlineLevel="0" collapsed="false">
      <c r="A11" s="18" t="s">
        <v>85</v>
      </c>
      <c r="B11" s="18"/>
      <c r="C11" s="18" t="s">
        <v>86</v>
      </c>
      <c r="D11" s="18"/>
      <c r="E11" s="18" t="s">
        <v>87</v>
      </c>
      <c r="F11" s="18"/>
      <c r="G11" s="18" t="s">
        <v>88</v>
      </c>
      <c r="H11" s="18"/>
      <c r="I11" s="18"/>
    </row>
    <row r="12" customFormat="false" ht="27.75" hidden="false" customHeight="true" outlineLevel="0" collapsed="false">
      <c r="A12" s="19" t="str">
        <f aca="false">IF(SUM('Weight &amp; Growth Tracker'!I5:I74)=0,"-",ROUND(SUM('Daily Feeding'!F5:F104)/SUM('Weight &amp; Growth Tracker'!I5:I74),2))</f>
        <v>-</v>
      </c>
      <c r="B12" s="19"/>
      <c r="C12" s="20" t="str">
        <f aca="false">IF(SUM('Weight &amp; Growth Tracker'!I5:I74)=0,"-",ROUND('Cost Tracker'!J4/SUM('Weight &amp; Growth Tracker'!I5:I74),0))</f>
        <v>-</v>
      </c>
      <c r="D12" s="20"/>
      <c r="E12" s="21" t="n">
        <f aca="false">IFERROR(ROUND(AVERAGEIF('Weight &amp; Growth Tracker'!G5:G74,"&lt;&gt;-"),1),"-")</f>
        <v>2.5</v>
      </c>
      <c r="F12" s="21"/>
      <c r="G12" s="22" t="n">
        <f aca="false">COUNTIF('Animal Register'!Q:Q,"Sold")</f>
        <v>0</v>
      </c>
      <c r="H12" s="22"/>
      <c r="I12" s="22"/>
    </row>
    <row r="15" customFormat="false" ht="15" hidden="false" customHeight="false" outlineLevel="0" collapsed="false">
      <c r="A15" s="9" t="s">
        <v>89</v>
      </c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23" t="s">
        <v>90</v>
      </c>
      <c r="B16" s="23"/>
      <c r="C16" s="23"/>
      <c r="D16" s="23" t="s">
        <v>91</v>
      </c>
      <c r="E16" s="23"/>
      <c r="F16" s="23" t="s">
        <v>92</v>
      </c>
      <c r="G16" s="23"/>
    </row>
    <row r="17" customFormat="false" ht="25.5" hidden="false" customHeight="true" outlineLevel="0" collapsed="false">
      <c r="A17" s="24" t="n">
        <v>328</v>
      </c>
      <c r="B17" s="24"/>
      <c r="C17" s="24"/>
      <c r="D17" s="25" t="n">
        <v>0.58</v>
      </c>
      <c r="E17" s="25"/>
      <c r="F17" s="26" t="n">
        <f aca="false">IF(AND(ISNUMBER(A17),ISNUMBER(D17)),ROUND(A17*D17,1),"-")</f>
        <v>190.2</v>
      </c>
      <c r="G17" s="26"/>
    </row>
    <row r="21" customFormat="false" ht="15" hidden="false" customHeight="false" outlineLevel="0" collapsed="false">
      <c r="K21" s="27" t="s">
        <v>93</v>
      </c>
    </row>
    <row r="22" customFormat="false" ht="15" hidden="false" customHeight="false" outlineLevel="0" collapsed="false">
      <c r="K22" s="28" t="s">
        <v>94</v>
      </c>
      <c r="L22" s="28" t="s">
        <v>95</v>
      </c>
    </row>
    <row r="23" customFormat="false" ht="15" hidden="false" customHeight="false" outlineLevel="0" collapsed="false">
      <c r="K23" s="0" t="s">
        <v>96</v>
      </c>
      <c r="L23" s="29" t="n">
        <f aca="false">A9</f>
        <v>212</v>
      </c>
    </row>
    <row r="24" customFormat="false" ht="15" hidden="false" customHeight="false" outlineLevel="0" collapsed="false">
      <c r="K24" s="0" t="s">
        <v>97</v>
      </c>
      <c r="L24" s="29" t="n">
        <f aca="false">C9</f>
        <v>212</v>
      </c>
    </row>
    <row r="25" customFormat="false" ht="15" hidden="false" customHeight="false" outlineLevel="0" collapsed="false">
      <c r="K25" s="0" t="s">
        <v>98</v>
      </c>
      <c r="L25" s="29" t="n">
        <f aca="false">A17</f>
        <v>328</v>
      </c>
    </row>
  </sheetData>
  <mergeCells count="34">
    <mergeCell ref="A1:I1"/>
    <mergeCell ref="A2:I2"/>
    <mergeCell ref="A4:I4"/>
    <mergeCell ref="A5:B5"/>
    <mergeCell ref="C5:D5"/>
    <mergeCell ref="E5:F5"/>
    <mergeCell ref="G5:I5"/>
    <mergeCell ref="A6:B6"/>
    <mergeCell ref="C6:D6"/>
    <mergeCell ref="E6:F6"/>
    <mergeCell ref="G6:I6"/>
    <mergeCell ref="A8:B8"/>
    <mergeCell ref="C8:D8"/>
    <mergeCell ref="E8:F8"/>
    <mergeCell ref="G8:I8"/>
    <mergeCell ref="A9:B9"/>
    <mergeCell ref="C9:D9"/>
    <mergeCell ref="E9:F9"/>
    <mergeCell ref="G9:I9"/>
    <mergeCell ref="A11:B11"/>
    <mergeCell ref="C11:D11"/>
    <mergeCell ref="E11:F11"/>
    <mergeCell ref="G11:I11"/>
    <mergeCell ref="A12:B12"/>
    <mergeCell ref="C12:D12"/>
    <mergeCell ref="E12:F12"/>
    <mergeCell ref="G12:I12"/>
    <mergeCell ref="A15:I15"/>
    <mergeCell ref="A16:C16"/>
    <mergeCell ref="D16:E16"/>
    <mergeCell ref="F16:G16"/>
    <mergeCell ref="A17:C17"/>
    <mergeCell ref="D17:E17"/>
    <mergeCell ref="F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7" min="5" style="0" width="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30" t="s">
        <v>99</v>
      </c>
      <c r="B1" s="30"/>
      <c r="C1" s="30"/>
      <c r="D1" s="30"/>
      <c r="E1" s="30"/>
      <c r="F1" s="30"/>
      <c r="G1" s="30"/>
      <c r="H1" s="30"/>
      <c r="I1" s="30"/>
      <c r="J1" s="30"/>
    </row>
    <row r="3" customFormat="false" ht="26.85" hidden="false" customHeight="false" outlineLevel="0" collapsed="false">
      <c r="A3" s="31" t="s">
        <v>100</v>
      </c>
      <c r="B3" s="31" t="s">
        <v>101</v>
      </c>
      <c r="C3" s="31" t="s">
        <v>102</v>
      </c>
      <c r="D3" s="31" t="s">
        <v>103</v>
      </c>
      <c r="E3" s="31" t="s">
        <v>104</v>
      </c>
      <c r="F3" s="31" t="s">
        <v>105</v>
      </c>
      <c r="G3" s="31" t="s">
        <v>106</v>
      </c>
      <c r="H3" s="31" t="s">
        <v>107</v>
      </c>
      <c r="I3" s="31" t="s">
        <v>108</v>
      </c>
      <c r="J3" s="31" t="s">
        <v>109</v>
      </c>
    </row>
    <row r="4" customFormat="false" ht="15" hidden="false" customHeight="false" outlineLevel="0" collapsed="false">
      <c r="A4" s="32" t="n">
        <v>1</v>
      </c>
      <c r="B4" s="32" t="s">
        <v>110</v>
      </c>
      <c r="C4" s="32" t="s">
        <v>111</v>
      </c>
      <c r="D4" s="32" t="s">
        <v>112</v>
      </c>
      <c r="E4" s="33" t="n">
        <v>0.88</v>
      </c>
      <c r="F4" s="33" t="n">
        <v>0.09</v>
      </c>
      <c r="G4" s="33" t="n">
        <v>0.82</v>
      </c>
      <c r="H4" s="34" t="n">
        <f aca="false">IF($D4="Dry Straw/Stover",$G4*2.65,IF($C4="Roughage",$G4*3.31,$G4*3.62))</f>
        <v>2.9684</v>
      </c>
      <c r="I4" s="33" t="n">
        <v>0.1</v>
      </c>
      <c r="J4" s="35"/>
    </row>
    <row r="5" customFormat="false" ht="15" hidden="false" customHeight="false" outlineLevel="0" collapsed="false">
      <c r="A5" s="32" t="n">
        <v>2</v>
      </c>
      <c r="B5" s="32" t="s">
        <v>113</v>
      </c>
      <c r="C5" s="32" t="s">
        <v>111</v>
      </c>
      <c r="D5" s="32" t="s">
        <v>112</v>
      </c>
      <c r="E5" s="33" t="n">
        <v>0.88</v>
      </c>
      <c r="F5" s="33" t="n">
        <v>0.12</v>
      </c>
      <c r="G5" s="33" t="n">
        <v>0.82</v>
      </c>
      <c r="H5" s="34" t="n">
        <f aca="false">IF($D5="Dry Straw/Stover",$G5*2.65,IF($C5="Roughage",$G5*3.31,$G5*3.62))</f>
        <v>2.9684</v>
      </c>
      <c r="I5" s="33" t="n">
        <v>0.12</v>
      </c>
      <c r="J5" s="35"/>
    </row>
    <row r="6" customFormat="false" ht="15" hidden="false" customHeight="false" outlineLevel="0" collapsed="false">
      <c r="A6" s="32" t="n">
        <v>3</v>
      </c>
      <c r="B6" s="32" t="s">
        <v>114</v>
      </c>
      <c r="C6" s="32" t="s">
        <v>111</v>
      </c>
      <c r="D6" s="32" t="s">
        <v>112</v>
      </c>
      <c r="E6" s="33" t="n">
        <v>0.88</v>
      </c>
      <c r="F6" s="33" t="n">
        <v>0.115</v>
      </c>
      <c r="G6" s="33" t="n">
        <v>0.75</v>
      </c>
      <c r="H6" s="34" t="n">
        <f aca="false">IF($D6="Dry Straw/Stover",$G6*2.65,IF($C6="Roughage",$G6*3.31,$G6*3.62))</f>
        <v>2.715</v>
      </c>
      <c r="I6" s="33" t="n">
        <v>0.18</v>
      </c>
      <c r="J6" s="35"/>
    </row>
    <row r="7" customFormat="false" ht="15" hidden="false" customHeight="false" outlineLevel="0" collapsed="false">
      <c r="A7" s="32" t="n">
        <v>4</v>
      </c>
      <c r="B7" s="32" t="s">
        <v>115</v>
      </c>
      <c r="C7" s="32" t="s">
        <v>111</v>
      </c>
      <c r="D7" s="32" t="s">
        <v>112</v>
      </c>
      <c r="E7" s="33" t="n">
        <v>0.88</v>
      </c>
      <c r="F7" s="33" t="n">
        <v>0.1</v>
      </c>
      <c r="G7" s="33" t="n">
        <v>0.78</v>
      </c>
      <c r="H7" s="34" t="n">
        <f aca="false">IF($D7="Dry Straw/Stover",$G7*2.65,IF($C7="Roughage",$G7*3.31,$G7*3.62))</f>
        <v>2.8236</v>
      </c>
      <c r="I7" s="33" t="n">
        <v>0.12</v>
      </c>
      <c r="J7" s="35"/>
    </row>
    <row r="8" customFormat="false" ht="15" hidden="false" customHeight="false" outlineLevel="0" collapsed="false">
      <c r="A8" s="32" t="n">
        <v>5</v>
      </c>
      <c r="B8" s="32" t="s">
        <v>116</v>
      </c>
      <c r="C8" s="32" t="s">
        <v>111</v>
      </c>
      <c r="D8" s="32" t="s">
        <v>112</v>
      </c>
      <c r="E8" s="33" t="n">
        <v>0.88</v>
      </c>
      <c r="F8" s="33" t="n">
        <v>0.115</v>
      </c>
      <c r="G8" s="33" t="n">
        <v>0.75</v>
      </c>
      <c r="H8" s="34" t="n">
        <f aca="false">IF($D8="Dry Straw/Stover",$G8*2.65,IF($C8="Roughage",$G8*3.31,$G8*3.62))</f>
        <v>2.715</v>
      </c>
      <c r="I8" s="33" t="n">
        <v>0.15</v>
      </c>
      <c r="J8" s="35"/>
    </row>
    <row r="9" customFormat="false" ht="15" hidden="false" customHeight="false" outlineLevel="0" collapsed="false">
      <c r="A9" s="32" t="n">
        <v>6</v>
      </c>
      <c r="B9" s="32" t="s">
        <v>117</v>
      </c>
      <c r="C9" s="32" t="s">
        <v>111</v>
      </c>
      <c r="D9" s="32" t="s">
        <v>112</v>
      </c>
      <c r="E9" s="33" t="n">
        <v>0.88</v>
      </c>
      <c r="F9" s="33" t="n">
        <v>0.08</v>
      </c>
      <c r="G9" s="33" t="n">
        <v>0.8</v>
      </c>
      <c r="H9" s="34" t="n">
        <f aca="false">IF($D9="Dry Straw/Stover",$G9*2.65,IF($C9="Roughage",$G9*3.31,$G9*3.62))</f>
        <v>2.896</v>
      </c>
      <c r="I9" s="33" t="n">
        <v>0.08</v>
      </c>
      <c r="J9" s="35"/>
    </row>
    <row r="10" customFormat="false" ht="15" hidden="false" customHeight="false" outlineLevel="0" collapsed="false">
      <c r="A10" s="32" t="n">
        <v>7</v>
      </c>
      <c r="B10" s="32" t="s">
        <v>118</v>
      </c>
      <c r="C10" s="32" t="s">
        <v>111</v>
      </c>
      <c r="D10" s="32" t="s">
        <v>119</v>
      </c>
      <c r="E10" s="33" t="n">
        <v>0.9</v>
      </c>
      <c r="F10" s="33" t="n">
        <v>0.22</v>
      </c>
      <c r="G10" s="33" t="n">
        <v>0.68</v>
      </c>
      <c r="H10" s="34" t="n">
        <f aca="false">IF($D10="Dry Straw/Stover",$G10*2.65,IF($C10="Roughage",$G10*3.31,$G10*3.62))</f>
        <v>2.4616</v>
      </c>
      <c r="I10" s="33" t="n">
        <v>0.35</v>
      </c>
      <c r="J10" s="35"/>
    </row>
    <row r="11" customFormat="false" ht="15" hidden="false" customHeight="false" outlineLevel="0" collapsed="false">
      <c r="A11" s="32" t="n">
        <v>8</v>
      </c>
      <c r="B11" s="32" t="s">
        <v>120</v>
      </c>
      <c r="C11" s="32" t="s">
        <v>111</v>
      </c>
      <c r="D11" s="32" t="s">
        <v>119</v>
      </c>
      <c r="E11" s="33" t="n">
        <v>0.9</v>
      </c>
      <c r="F11" s="33" t="n">
        <v>0.28</v>
      </c>
      <c r="G11" s="33" t="n">
        <v>0.65</v>
      </c>
      <c r="H11" s="34" t="n">
        <f aca="false">IF($D11="Dry Straw/Stover",$G11*2.65,IF($C11="Roughage",$G11*3.31,$G11*3.62))</f>
        <v>2.353</v>
      </c>
      <c r="I11" s="33" t="n">
        <v>0.3</v>
      </c>
      <c r="J11" s="35"/>
    </row>
    <row r="12" customFormat="false" ht="15" hidden="false" customHeight="false" outlineLevel="0" collapsed="false">
      <c r="A12" s="32" t="n">
        <v>9</v>
      </c>
      <c r="B12" s="32" t="s">
        <v>121</v>
      </c>
      <c r="C12" s="32" t="s">
        <v>111</v>
      </c>
      <c r="D12" s="32" t="s">
        <v>119</v>
      </c>
      <c r="E12" s="33" t="n">
        <v>0.9</v>
      </c>
      <c r="F12" s="33" t="n">
        <v>0.36</v>
      </c>
      <c r="G12" s="33" t="n">
        <v>0.7</v>
      </c>
      <c r="H12" s="34" t="n">
        <f aca="false">IF($D12="Dry Straw/Stover",$G12*2.65,IF($C12="Roughage",$G12*3.31,$G12*3.62))</f>
        <v>2.534</v>
      </c>
      <c r="I12" s="33" t="n">
        <v>0.25</v>
      </c>
      <c r="J12" s="35"/>
    </row>
    <row r="13" customFormat="false" ht="15" hidden="false" customHeight="false" outlineLevel="0" collapsed="false">
      <c r="A13" s="32" t="n">
        <v>10</v>
      </c>
      <c r="B13" s="32" t="s">
        <v>122</v>
      </c>
      <c r="C13" s="32" t="s">
        <v>111</v>
      </c>
      <c r="D13" s="32" t="s">
        <v>119</v>
      </c>
      <c r="E13" s="33" t="n">
        <v>0.9</v>
      </c>
      <c r="F13" s="33" t="n">
        <v>0.3</v>
      </c>
      <c r="G13" s="33" t="n">
        <v>0.65</v>
      </c>
      <c r="H13" s="34" t="n">
        <f aca="false">IF($D13="Dry Straw/Stover",$G13*2.65,IF($C13="Roughage",$G13*3.31,$G13*3.62))</f>
        <v>2.353</v>
      </c>
      <c r="I13" s="33" t="n">
        <v>0.38</v>
      </c>
      <c r="J13" s="35"/>
    </row>
    <row r="14" customFormat="false" ht="15" hidden="false" customHeight="false" outlineLevel="0" collapsed="false">
      <c r="A14" s="32" t="n">
        <v>11</v>
      </c>
      <c r="B14" s="32" t="s">
        <v>123</v>
      </c>
      <c r="C14" s="32" t="s">
        <v>111</v>
      </c>
      <c r="D14" s="32" t="s">
        <v>119</v>
      </c>
      <c r="E14" s="33" t="n">
        <v>0.9</v>
      </c>
      <c r="F14" s="33" t="n">
        <v>0.36</v>
      </c>
      <c r="G14" s="33" t="n">
        <v>0.68</v>
      </c>
      <c r="H14" s="34" t="n">
        <f aca="false">IF($D14="Dry Straw/Stover",$G14*2.65,IF($C14="Roughage",$G14*3.31,$G14*3.62))</f>
        <v>2.4616</v>
      </c>
      <c r="I14" s="33" t="n">
        <v>0.28</v>
      </c>
      <c r="J14" s="35"/>
    </row>
    <row r="15" customFormat="false" ht="15" hidden="false" customHeight="false" outlineLevel="0" collapsed="false">
      <c r="A15" s="32" t="n">
        <v>12</v>
      </c>
      <c r="B15" s="32" t="s">
        <v>124</v>
      </c>
      <c r="C15" s="32" t="s">
        <v>111</v>
      </c>
      <c r="D15" s="32" t="s">
        <v>119</v>
      </c>
      <c r="E15" s="33" t="n">
        <v>0.89</v>
      </c>
      <c r="F15" s="33" t="n">
        <v>0.46</v>
      </c>
      <c r="G15" s="33" t="n">
        <v>0.82</v>
      </c>
      <c r="H15" s="34" t="n">
        <f aca="false">IF($D15="Dry Straw/Stover",$G15*2.65,IF($C15="Roughage",$G15*3.31,$G15*3.62))</f>
        <v>2.9684</v>
      </c>
      <c r="I15" s="33" t="n">
        <v>0.12</v>
      </c>
      <c r="J15" s="35"/>
    </row>
    <row r="16" customFormat="false" ht="15" hidden="false" customHeight="false" outlineLevel="0" collapsed="false">
      <c r="A16" s="32" t="n">
        <v>13</v>
      </c>
      <c r="B16" s="32" t="s">
        <v>125</v>
      </c>
      <c r="C16" s="32" t="s">
        <v>111</v>
      </c>
      <c r="D16" s="32" t="s">
        <v>119</v>
      </c>
      <c r="E16" s="33" t="n">
        <v>0.9</v>
      </c>
      <c r="F16" s="33" t="n">
        <v>0.42</v>
      </c>
      <c r="G16" s="33" t="n">
        <v>0.75</v>
      </c>
      <c r="H16" s="34" t="n">
        <f aca="false">IF($D16="Dry Straw/Stover",$G16*2.65,IF($C16="Roughage",$G16*3.31,$G16*3.62))</f>
        <v>2.715</v>
      </c>
      <c r="I16" s="33" t="n">
        <v>0.2</v>
      </c>
      <c r="J16" s="35"/>
    </row>
    <row r="17" customFormat="false" ht="15" hidden="false" customHeight="false" outlineLevel="0" collapsed="false">
      <c r="A17" s="32" t="n">
        <v>14</v>
      </c>
      <c r="B17" s="32" t="s">
        <v>126</v>
      </c>
      <c r="C17" s="32" t="s">
        <v>111</v>
      </c>
      <c r="D17" s="32" t="s">
        <v>119</v>
      </c>
      <c r="E17" s="33" t="n">
        <v>0.9</v>
      </c>
      <c r="F17" s="33" t="n">
        <v>0.48</v>
      </c>
      <c r="G17" s="33" t="n">
        <v>0.77</v>
      </c>
      <c r="H17" s="34" t="n">
        <f aca="false">IF($D17="Dry Straw/Stover",$G17*2.65,IF($C17="Roughage",$G17*3.31,$G17*3.62))</f>
        <v>2.7874</v>
      </c>
      <c r="I17" s="33" t="n">
        <v>0.2</v>
      </c>
      <c r="J17" s="35"/>
    </row>
    <row r="18" customFormat="false" ht="15" hidden="false" customHeight="false" outlineLevel="0" collapsed="false">
      <c r="A18" s="32" t="n">
        <v>15</v>
      </c>
      <c r="B18" s="32" t="s">
        <v>127</v>
      </c>
      <c r="C18" s="32" t="s">
        <v>111</v>
      </c>
      <c r="D18" s="32" t="s">
        <v>119</v>
      </c>
      <c r="E18" s="33" t="n">
        <v>0.9</v>
      </c>
      <c r="F18" s="33" t="n">
        <v>0.32</v>
      </c>
      <c r="G18" s="33" t="n">
        <v>0.6</v>
      </c>
      <c r="H18" s="34" t="n">
        <f aca="false">IF($D18="Dry Straw/Stover",$G18*2.65,IF($C18="Roughage",$G18*3.31,$G18*3.62))</f>
        <v>2.172</v>
      </c>
      <c r="I18" s="33" t="n">
        <v>0.35</v>
      </c>
      <c r="J18" s="35"/>
    </row>
    <row r="19" customFormat="false" ht="15" hidden="false" customHeight="false" outlineLevel="0" collapsed="false">
      <c r="A19" s="32" t="n">
        <v>16</v>
      </c>
      <c r="B19" s="32" t="s">
        <v>128</v>
      </c>
      <c r="C19" s="32" t="s">
        <v>111</v>
      </c>
      <c r="D19" s="32" t="s">
        <v>119</v>
      </c>
      <c r="E19" s="33" t="n">
        <v>0.9</v>
      </c>
      <c r="F19" s="33" t="n">
        <v>0.46</v>
      </c>
      <c r="G19" s="33" t="n">
        <v>0.8</v>
      </c>
      <c r="H19" s="34" t="n">
        <f aca="false">IF($D19="Dry Straw/Stover",$G19*2.65,IF($C19="Roughage",$G19*3.31,$G19*3.62))</f>
        <v>2.896</v>
      </c>
      <c r="I19" s="33" t="n">
        <v>0.1</v>
      </c>
      <c r="J19" s="35"/>
    </row>
    <row r="20" customFormat="false" ht="15" hidden="false" customHeight="false" outlineLevel="0" collapsed="false">
      <c r="A20" s="32" t="n">
        <v>17</v>
      </c>
      <c r="B20" s="32" t="s">
        <v>129</v>
      </c>
      <c r="C20" s="32" t="s">
        <v>111</v>
      </c>
      <c r="D20" s="32" t="s">
        <v>119</v>
      </c>
      <c r="E20" s="33" t="n">
        <v>0.88</v>
      </c>
      <c r="F20" s="33" t="n">
        <v>0.21</v>
      </c>
      <c r="G20" s="33" t="n">
        <v>0.72</v>
      </c>
      <c r="H20" s="34" t="n">
        <f aca="false">IF($D20="Dry Straw/Stover",$G20*2.65,IF($C20="Roughage",$G20*3.31,$G20*3.62))</f>
        <v>2.6064</v>
      </c>
      <c r="I20" s="33" t="n">
        <v>0.32</v>
      </c>
      <c r="J20" s="35"/>
    </row>
    <row r="21" customFormat="false" ht="15" hidden="false" customHeight="false" outlineLevel="0" collapsed="false">
      <c r="A21" s="32" t="n">
        <v>18</v>
      </c>
      <c r="B21" s="32" t="s">
        <v>130</v>
      </c>
      <c r="C21" s="32" t="s">
        <v>111</v>
      </c>
      <c r="D21" s="32" t="s">
        <v>119</v>
      </c>
      <c r="E21" s="33" t="n">
        <v>0.92</v>
      </c>
      <c r="F21" s="33" t="n">
        <v>0.38</v>
      </c>
      <c r="G21" s="33" t="n">
        <v>0.68</v>
      </c>
      <c r="H21" s="34" t="n">
        <f aca="false">IF($D21="Dry Straw/Stover",$G21*2.65,IF($C21="Roughage",$G21*3.31,$G21*3.62))</f>
        <v>2.4616</v>
      </c>
      <c r="I21" s="33" t="n">
        <v>0.22</v>
      </c>
      <c r="J21" s="35"/>
    </row>
    <row r="22" customFormat="false" ht="15" hidden="false" customHeight="false" outlineLevel="0" collapsed="false">
      <c r="A22" s="32" t="n">
        <v>19</v>
      </c>
      <c r="B22" s="32" t="s">
        <v>131</v>
      </c>
      <c r="C22" s="32" t="s">
        <v>111</v>
      </c>
      <c r="D22" s="32" t="s">
        <v>132</v>
      </c>
      <c r="E22" s="33" t="n">
        <v>0.88</v>
      </c>
      <c r="F22" s="33" t="n">
        <v>0.15</v>
      </c>
      <c r="G22" s="33" t="n">
        <v>0.68</v>
      </c>
      <c r="H22" s="34" t="n">
        <f aca="false">IF($D22="Dry Straw/Stover",$G22*2.65,IF($C22="Roughage",$G22*3.31,$G22*3.62))</f>
        <v>2.4616</v>
      </c>
      <c r="I22" s="33" t="n">
        <v>0.4</v>
      </c>
      <c r="J22" s="35"/>
    </row>
    <row r="23" customFormat="false" ht="15" hidden="false" customHeight="false" outlineLevel="0" collapsed="false">
      <c r="A23" s="32" t="n">
        <v>20</v>
      </c>
      <c r="B23" s="32" t="s">
        <v>133</v>
      </c>
      <c r="C23" s="32" t="s">
        <v>111</v>
      </c>
      <c r="D23" s="32" t="s">
        <v>132</v>
      </c>
      <c r="E23" s="33" t="n">
        <v>0.9</v>
      </c>
      <c r="F23" s="33" t="n">
        <v>0.125</v>
      </c>
      <c r="G23" s="33" t="n">
        <v>0.72</v>
      </c>
      <c r="H23" s="34" t="n">
        <f aca="false">IF($D23="Dry Straw/Stover",$G23*2.65,IF($C23="Roughage",$G23*3.31,$G23*3.62))</f>
        <v>2.6064</v>
      </c>
      <c r="I23" s="33" t="n">
        <v>0.25</v>
      </c>
      <c r="J23" s="35"/>
    </row>
    <row r="24" customFormat="false" ht="15" hidden="false" customHeight="false" outlineLevel="0" collapsed="false">
      <c r="A24" s="32" t="n">
        <v>21</v>
      </c>
      <c r="B24" s="32" t="s">
        <v>134</v>
      </c>
      <c r="C24" s="32" t="s">
        <v>111</v>
      </c>
      <c r="D24" s="32" t="s">
        <v>132</v>
      </c>
      <c r="E24" s="33" t="n">
        <v>0.9</v>
      </c>
      <c r="F24" s="33" t="n">
        <v>0.13</v>
      </c>
      <c r="G24" s="33" t="n">
        <v>0.7</v>
      </c>
      <c r="H24" s="34" t="n">
        <f aca="false">IF($D24="Dry Straw/Stover",$G24*2.65,IF($C24="Roughage",$G24*3.31,$G24*3.62))</f>
        <v>2.534</v>
      </c>
      <c r="I24" s="33" t="n">
        <v>0.28</v>
      </c>
      <c r="J24" s="35"/>
    </row>
    <row r="25" customFormat="false" ht="15" hidden="false" customHeight="false" outlineLevel="0" collapsed="false">
      <c r="A25" s="32" t="n">
        <v>22</v>
      </c>
      <c r="B25" s="32" t="s">
        <v>135</v>
      </c>
      <c r="C25" s="32" t="s">
        <v>111</v>
      </c>
      <c r="D25" s="32" t="s">
        <v>132</v>
      </c>
      <c r="E25" s="33" t="n">
        <v>0.9</v>
      </c>
      <c r="F25" s="33" t="n">
        <v>0.135</v>
      </c>
      <c r="G25" s="33" t="n">
        <v>0.6</v>
      </c>
      <c r="H25" s="34" t="n">
        <f aca="false">IF($D25="Dry Straw/Stover",$G25*2.65,IF($C25="Roughage",$G25*3.31,$G25*3.62))</f>
        <v>2.172</v>
      </c>
      <c r="I25" s="33" t="n">
        <v>0.35</v>
      </c>
      <c r="J25" s="35"/>
    </row>
    <row r="26" customFormat="false" ht="15" hidden="false" customHeight="false" outlineLevel="0" collapsed="false">
      <c r="A26" s="32" t="n">
        <v>23</v>
      </c>
      <c r="B26" s="32" t="s">
        <v>136</v>
      </c>
      <c r="C26" s="32" t="s">
        <v>111</v>
      </c>
      <c r="D26" s="32" t="s">
        <v>137</v>
      </c>
      <c r="E26" s="33" t="n">
        <v>0.75</v>
      </c>
      <c r="F26" s="33" t="n">
        <v>0.04</v>
      </c>
      <c r="G26" s="33" t="n">
        <v>0.72</v>
      </c>
      <c r="H26" s="34" t="n">
        <f aca="false">IF($D26="Dry Straw/Stover",$G26*2.65,IF($C26="Roughage",$G26*3.31,$G26*3.62))</f>
        <v>2.6064</v>
      </c>
      <c r="I26" s="33" t="n">
        <v>0</v>
      </c>
      <c r="J26" s="35"/>
    </row>
    <row r="27" customFormat="false" ht="15" hidden="false" customHeight="false" outlineLevel="0" collapsed="false">
      <c r="A27" s="32" t="n">
        <v>24</v>
      </c>
      <c r="B27" s="32" t="s">
        <v>138</v>
      </c>
      <c r="C27" s="32" t="s">
        <v>111</v>
      </c>
      <c r="D27" s="32" t="s">
        <v>137</v>
      </c>
      <c r="E27" s="33" t="n">
        <v>0.9</v>
      </c>
      <c r="F27" s="33" t="n">
        <v>0.11</v>
      </c>
      <c r="G27" s="33" t="n">
        <v>0.85</v>
      </c>
      <c r="H27" s="34" t="n">
        <f aca="false">IF($D27="Dry Straw/Stover",$G27*2.65,IF($C27="Roughage",$G27*3.31,$G27*3.62))</f>
        <v>3.077</v>
      </c>
      <c r="I27" s="33" t="n">
        <v>0.05</v>
      </c>
      <c r="J27" s="35"/>
    </row>
    <row r="28" customFormat="false" ht="15" hidden="false" customHeight="false" outlineLevel="0" collapsed="false">
      <c r="A28" s="32" t="n">
        <v>25</v>
      </c>
      <c r="B28" s="32" t="s">
        <v>139</v>
      </c>
      <c r="C28" s="32" t="s">
        <v>111</v>
      </c>
      <c r="D28" s="32" t="s">
        <v>140</v>
      </c>
      <c r="E28" s="33" t="n">
        <v>0.98</v>
      </c>
      <c r="F28" s="33" t="n">
        <v>0</v>
      </c>
      <c r="G28" s="33" t="n">
        <v>0</v>
      </c>
      <c r="H28" s="34" t="n">
        <f aca="false">IF($D28="Dry Straw/Stover",$G28*2.65,IF($C28="Roughage",$G28*3.31,$G28*3.62))</f>
        <v>0</v>
      </c>
      <c r="I28" s="33" t="n">
        <v>0</v>
      </c>
      <c r="J28" s="35"/>
    </row>
    <row r="29" customFormat="false" ht="15" hidden="false" customHeight="false" outlineLevel="0" collapsed="false">
      <c r="A29" s="32" t="n">
        <v>26</v>
      </c>
      <c r="B29" s="32" t="s">
        <v>141</v>
      </c>
      <c r="C29" s="32" t="s">
        <v>111</v>
      </c>
      <c r="D29" s="32" t="s">
        <v>140</v>
      </c>
      <c r="E29" s="33" t="n">
        <v>0.99</v>
      </c>
      <c r="F29" s="33" t="n">
        <v>0</v>
      </c>
      <c r="G29" s="33" t="n">
        <v>0</v>
      </c>
      <c r="H29" s="34" t="n">
        <f aca="false">IF($D29="Dry Straw/Stover",$G29*2.65,IF($C29="Roughage",$G29*3.31,$G29*3.62))</f>
        <v>0</v>
      </c>
      <c r="I29" s="33" t="n">
        <v>0</v>
      </c>
      <c r="J29" s="35"/>
    </row>
    <row r="30" customFormat="false" ht="15" hidden="false" customHeight="false" outlineLevel="0" collapsed="false">
      <c r="A30" s="32" t="n">
        <v>27</v>
      </c>
      <c r="B30" s="32" t="s">
        <v>142</v>
      </c>
      <c r="C30" s="32" t="s">
        <v>111</v>
      </c>
      <c r="D30" s="32" t="s">
        <v>140</v>
      </c>
      <c r="E30" s="33" t="n">
        <v>0.99</v>
      </c>
      <c r="F30" s="33" t="n">
        <v>0</v>
      </c>
      <c r="G30" s="33" t="n">
        <v>0</v>
      </c>
      <c r="H30" s="34" t="n">
        <f aca="false">IF($D30="Dry Straw/Stover",$G30*2.65,IF($C30="Roughage",$G30*3.31,$G30*3.62))</f>
        <v>0</v>
      </c>
      <c r="I30" s="33" t="n">
        <v>0</v>
      </c>
      <c r="J30" s="35"/>
    </row>
    <row r="31" customFormat="false" ht="15" hidden="false" customHeight="false" outlineLevel="0" collapsed="false">
      <c r="A31" s="32" t="n">
        <v>28</v>
      </c>
      <c r="B31" s="32" t="s">
        <v>143</v>
      </c>
      <c r="C31" s="32" t="s">
        <v>111</v>
      </c>
      <c r="D31" s="32" t="s">
        <v>140</v>
      </c>
      <c r="E31" s="33" t="n">
        <v>0.99</v>
      </c>
      <c r="F31" s="33" t="n">
        <v>0</v>
      </c>
      <c r="G31" s="33" t="n">
        <v>0</v>
      </c>
      <c r="H31" s="34" t="n">
        <f aca="false">IF($D31="Dry Straw/Stover",$G31*2.65,IF($C31="Roughage",$G31*3.31,$G31*3.62))</f>
        <v>0</v>
      </c>
      <c r="I31" s="33" t="n">
        <v>0</v>
      </c>
      <c r="J31" s="35"/>
    </row>
    <row r="32" customFormat="false" ht="15" hidden="false" customHeight="false" outlineLevel="0" collapsed="false">
      <c r="A32" s="32" t="n">
        <v>29</v>
      </c>
      <c r="B32" s="32" t="s">
        <v>144</v>
      </c>
      <c r="C32" s="32" t="s">
        <v>111</v>
      </c>
      <c r="D32" s="32" t="s">
        <v>140</v>
      </c>
      <c r="E32" s="33" t="n">
        <v>0.99</v>
      </c>
      <c r="F32" s="33" t="n">
        <v>2.62</v>
      </c>
      <c r="G32" s="33" t="n">
        <v>0</v>
      </c>
      <c r="H32" s="34" t="n">
        <f aca="false">IF($D32="Dry Straw/Stover",$G32*2.65,IF($C32="Roughage",$G32*3.31,$G32*3.62))</f>
        <v>0</v>
      </c>
      <c r="I32" s="33" t="n">
        <v>0</v>
      </c>
      <c r="J32" s="35"/>
    </row>
    <row r="33" customFormat="false" ht="15" hidden="false" customHeight="false" outlineLevel="0" collapsed="false">
      <c r="A33" s="32" t="n">
        <v>30</v>
      </c>
      <c r="B33" s="32" t="s">
        <v>145</v>
      </c>
      <c r="C33" s="32" t="s">
        <v>111</v>
      </c>
      <c r="D33" s="32" t="s">
        <v>140</v>
      </c>
      <c r="E33" s="33" t="n">
        <v>0.95</v>
      </c>
      <c r="F33" s="33" t="n">
        <v>0.3</v>
      </c>
      <c r="G33" s="33" t="n">
        <v>0</v>
      </c>
      <c r="H33" s="34" t="n">
        <f aca="false">IF($D33="Dry Straw/Stover",$G33*2.65,IF($C33="Roughage",$G33*3.31,$G33*3.62))</f>
        <v>0</v>
      </c>
      <c r="I33" s="33" t="n">
        <v>0</v>
      </c>
      <c r="J33" s="35"/>
    </row>
    <row r="34" customFormat="false" ht="15" hidden="false" customHeight="false" outlineLevel="0" collapsed="false">
      <c r="A34" s="32" t="n">
        <v>31</v>
      </c>
      <c r="B34" s="32" t="s">
        <v>146</v>
      </c>
      <c r="C34" s="32" t="s">
        <v>147</v>
      </c>
      <c r="D34" s="32" t="s">
        <v>148</v>
      </c>
      <c r="E34" s="33" t="n">
        <v>0.29</v>
      </c>
      <c r="F34" s="33" t="n">
        <v>0.07</v>
      </c>
      <c r="G34" s="33" t="n">
        <v>0.6</v>
      </c>
      <c r="H34" s="34" t="n">
        <f aca="false">IF($D34="Dry Straw/Stover",$G34*2.65,IF($C34="Roughage",$G34*3.31,$G34*3.62))</f>
        <v>1.986</v>
      </c>
      <c r="I34" s="33" t="n">
        <v>0.55</v>
      </c>
      <c r="J34" s="35"/>
    </row>
    <row r="35" customFormat="false" ht="15" hidden="false" customHeight="false" outlineLevel="0" collapsed="false">
      <c r="A35" s="32" t="n">
        <v>32</v>
      </c>
      <c r="B35" s="32" t="s">
        <v>149</v>
      </c>
      <c r="C35" s="32" t="s">
        <v>147</v>
      </c>
      <c r="D35" s="32" t="s">
        <v>148</v>
      </c>
      <c r="E35" s="33" t="n">
        <v>0.3</v>
      </c>
      <c r="F35" s="33" t="n">
        <v>0.062</v>
      </c>
      <c r="G35" s="33" t="n">
        <v>0.55</v>
      </c>
      <c r="H35" s="34" t="n">
        <f aca="false">IF($D35="Dry Straw/Stover",$G35*2.65,IF($C35="Roughage",$G35*3.31,$G35*3.62))</f>
        <v>1.8205</v>
      </c>
      <c r="I35" s="33" t="n">
        <v>0.6</v>
      </c>
      <c r="J35" s="35"/>
    </row>
    <row r="36" customFormat="false" ht="15" hidden="false" customHeight="false" outlineLevel="0" collapsed="false">
      <c r="A36" s="32" t="n">
        <v>33</v>
      </c>
      <c r="B36" s="32" t="s">
        <v>150</v>
      </c>
      <c r="C36" s="32" t="s">
        <v>147</v>
      </c>
      <c r="D36" s="32" t="s">
        <v>148</v>
      </c>
      <c r="E36" s="33" t="n">
        <v>0.295</v>
      </c>
      <c r="F36" s="33" t="n">
        <v>0.061</v>
      </c>
      <c r="G36" s="33" t="n">
        <v>0.58</v>
      </c>
      <c r="H36" s="34" t="n">
        <f aca="false">IF($D36="Dry Straw/Stover",$G36*2.65,IF($C36="Roughage",$G36*3.31,$G36*3.62))</f>
        <v>1.9198</v>
      </c>
      <c r="I36" s="33" t="n">
        <v>0.58</v>
      </c>
      <c r="J36" s="35"/>
    </row>
    <row r="37" customFormat="false" ht="15" hidden="false" customHeight="false" outlineLevel="0" collapsed="false">
      <c r="A37" s="32" t="n">
        <v>34</v>
      </c>
      <c r="B37" s="32" t="s">
        <v>151</v>
      </c>
      <c r="C37" s="32" t="s">
        <v>147</v>
      </c>
      <c r="D37" s="32" t="s">
        <v>148</v>
      </c>
      <c r="E37" s="33" t="n">
        <v>0.156</v>
      </c>
      <c r="F37" s="33" t="n">
        <v>0.199</v>
      </c>
      <c r="G37" s="33" t="n">
        <v>0.62</v>
      </c>
      <c r="H37" s="34" t="n">
        <f aca="false">IF($D37="Dry Straw/Stover",$G37*2.65,IF($C37="Roughage",$G37*3.31,$G37*3.62))</f>
        <v>2.0522</v>
      </c>
      <c r="I37" s="33" t="n">
        <v>0.4</v>
      </c>
      <c r="J37" s="35"/>
    </row>
    <row r="38" customFormat="false" ht="15" hidden="false" customHeight="false" outlineLevel="0" collapsed="false">
      <c r="A38" s="32" t="n">
        <v>35</v>
      </c>
      <c r="B38" s="32" t="s">
        <v>152</v>
      </c>
      <c r="C38" s="32" t="s">
        <v>147</v>
      </c>
      <c r="D38" s="32" t="s">
        <v>148</v>
      </c>
      <c r="E38" s="33" t="n">
        <v>0.243</v>
      </c>
      <c r="F38" s="33" t="n">
        <v>0.228</v>
      </c>
      <c r="G38" s="33" t="n">
        <v>0.6</v>
      </c>
      <c r="H38" s="34" t="n">
        <f aca="false">IF($D38="Dry Straw/Stover",$G38*2.65,IF($C38="Roughage",$G38*3.31,$G38*3.62))</f>
        <v>1.986</v>
      </c>
      <c r="I38" s="33" t="n">
        <v>0.38</v>
      </c>
      <c r="J38" s="35"/>
    </row>
    <row r="39" customFormat="false" ht="15" hidden="false" customHeight="false" outlineLevel="0" collapsed="false">
      <c r="A39" s="32" t="n">
        <v>36</v>
      </c>
      <c r="B39" s="32" t="s">
        <v>153</v>
      </c>
      <c r="C39" s="32" t="s">
        <v>147</v>
      </c>
      <c r="D39" s="32" t="s">
        <v>148</v>
      </c>
      <c r="E39" s="33" t="n">
        <v>0.221</v>
      </c>
      <c r="F39" s="33" t="n">
        <v>0.09</v>
      </c>
      <c r="G39" s="33" t="n">
        <v>0.58</v>
      </c>
      <c r="H39" s="34" t="n">
        <f aca="false">IF($D39="Dry Straw/Stover",$G39*2.65,IF($C39="Roughage",$G39*3.31,$G39*3.62))</f>
        <v>1.9198</v>
      </c>
      <c r="I39" s="33" t="n">
        <v>0.52</v>
      </c>
      <c r="J39" s="35"/>
    </row>
    <row r="40" customFormat="false" ht="15" hidden="false" customHeight="false" outlineLevel="0" collapsed="false">
      <c r="A40" s="32" t="n">
        <v>37</v>
      </c>
      <c r="B40" s="32" t="s">
        <v>154</v>
      </c>
      <c r="C40" s="32" t="s">
        <v>147</v>
      </c>
      <c r="D40" s="32" t="s">
        <v>148</v>
      </c>
      <c r="E40" s="33" t="n">
        <v>0.209</v>
      </c>
      <c r="F40" s="33" t="n">
        <v>0.1735</v>
      </c>
      <c r="G40" s="33" t="n">
        <v>0.55</v>
      </c>
      <c r="H40" s="34" t="n">
        <f aca="false">IF($D40="Dry Straw/Stover",$G40*2.65,IF($C40="Roughage",$G40*3.31,$G40*3.62))</f>
        <v>1.8205</v>
      </c>
      <c r="I40" s="33" t="n">
        <v>0.45</v>
      </c>
      <c r="J40" s="35"/>
    </row>
    <row r="41" customFormat="false" ht="15" hidden="false" customHeight="false" outlineLevel="0" collapsed="false">
      <c r="A41" s="32" t="n">
        <v>38</v>
      </c>
      <c r="B41" s="32" t="s">
        <v>155</v>
      </c>
      <c r="C41" s="32" t="s">
        <v>147</v>
      </c>
      <c r="D41" s="32" t="s">
        <v>148</v>
      </c>
      <c r="E41" s="33" t="n">
        <v>0.18</v>
      </c>
      <c r="F41" s="33" t="n">
        <v>0.16</v>
      </c>
      <c r="G41" s="33" t="n">
        <v>0.58</v>
      </c>
      <c r="H41" s="34" t="n">
        <f aca="false">IF($D41="Dry Straw/Stover",$G41*2.65,IF($C41="Roughage",$G41*3.31,$G41*3.62))</f>
        <v>1.9198</v>
      </c>
      <c r="I41" s="33" t="n">
        <v>0.42</v>
      </c>
      <c r="J41" s="35"/>
    </row>
    <row r="42" customFormat="false" ht="15" hidden="false" customHeight="false" outlineLevel="0" collapsed="false">
      <c r="A42" s="32" t="n">
        <v>39</v>
      </c>
      <c r="B42" s="32" t="s">
        <v>156</v>
      </c>
      <c r="C42" s="32" t="s">
        <v>147</v>
      </c>
      <c r="D42" s="32" t="s">
        <v>148</v>
      </c>
      <c r="E42" s="33" t="n">
        <v>0.165</v>
      </c>
      <c r="F42" s="33" t="n">
        <v>0.075</v>
      </c>
      <c r="G42" s="33" t="n">
        <v>0.52</v>
      </c>
      <c r="H42" s="34" t="n">
        <f aca="false">IF($D42="Dry Straw/Stover",$G42*2.65,IF($C42="Roughage",$G42*3.31,$G42*3.62))</f>
        <v>1.7212</v>
      </c>
      <c r="I42" s="33" t="n">
        <v>0.6</v>
      </c>
      <c r="J42" s="35"/>
    </row>
    <row r="43" customFormat="false" ht="15" hidden="false" customHeight="false" outlineLevel="0" collapsed="false">
      <c r="A43" s="32" t="n">
        <v>40</v>
      </c>
      <c r="B43" s="32" t="s">
        <v>157</v>
      </c>
      <c r="C43" s="32" t="s">
        <v>147</v>
      </c>
      <c r="D43" s="32" t="s">
        <v>148</v>
      </c>
      <c r="E43" s="33" t="n">
        <v>0.18</v>
      </c>
      <c r="F43" s="33" t="n">
        <v>0.08</v>
      </c>
      <c r="G43" s="33" t="n">
        <v>0.55</v>
      </c>
      <c r="H43" s="34" t="n">
        <f aca="false">IF($D43="Dry Straw/Stover",$G43*2.65,IF($C43="Roughage",$G43*3.31,$G43*3.62))</f>
        <v>1.8205</v>
      </c>
      <c r="I43" s="33" t="n">
        <v>0.62</v>
      </c>
      <c r="J43" s="35"/>
    </row>
    <row r="44" customFormat="false" ht="15" hidden="false" customHeight="false" outlineLevel="0" collapsed="false">
      <c r="A44" s="32" t="n">
        <v>41</v>
      </c>
      <c r="B44" s="32" t="s">
        <v>158</v>
      </c>
      <c r="C44" s="32" t="s">
        <v>147</v>
      </c>
      <c r="D44" s="32" t="s">
        <v>148</v>
      </c>
      <c r="E44" s="33" t="n">
        <v>0.2</v>
      </c>
      <c r="F44" s="33" t="n">
        <v>0.09</v>
      </c>
      <c r="G44" s="33" t="n">
        <v>0.56</v>
      </c>
      <c r="H44" s="34" t="n">
        <f aca="false">IF($D44="Dry Straw/Stover",$G44*2.65,IF($C44="Roughage",$G44*3.31,$G44*3.62))</f>
        <v>1.8536</v>
      </c>
      <c r="I44" s="33" t="n">
        <v>0.58</v>
      </c>
      <c r="J44" s="35"/>
    </row>
    <row r="45" customFormat="false" ht="15" hidden="false" customHeight="false" outlineLevel="0" collapsed="false">
      <c r="A45" s="32" t="n">
        <v>42</v>
      </c>
      <c r="B45" s="32" t="s">
        <v>159</v>
      </c>
      <c r="C45" s="32" t="s">
        <v>147</v>
      </c>
      <c r="D45" s="32" t="s">
        <v>160</v>
      </c>
      <c r="E45" s="33" t="n">
        <v>0.32</v>
      </c>
      <c r="F45" s="33" t="n">
        <v>0.08</v>
      </c>
      <c r="G45" s="33" t="n">
        <v>0.68</v>
      </c>
      <c r="H45" s="34" t="n">
        <f aca="false">IF($D45="Dry Straw/Stover",$G45*2.65,IF($C45="Roughage",$G45*3.31,$G45*3.62))</f>
        <v>2.2508</v>
      </c>
      <c r="I45" s="33" t="n">
        <v>0.45</v>
      </c>
      <c r="J45" s="35"/>
    </row>
    <row r="46" customFormat="false" ht="15" hidden="false" customHeight="false" outlineLevel="0" collapsed="false">
      <c r="A46" s="32" t="n">
        <v>43</v>
      </c>
      <c r="B46" s="32" t="s">
        <v>161</v>
      </c>
      <c r="C46" s="32" t="s">
        <v>147</v>
      </c>
      <c r="D46" s="32" t="s">
        <v>160</v>
      </c>
      <c r="E46" s="33" t="n">
        <v>0.28</v>
      </c>
      <c r="F46" s="33" t="n">
        <v>0.07</v>
      </c>
      <c r="G46" s="33" t="n">
        <v>0.62</v>
      </c>
      <c r="H46" s="34" t="n">
        <f aca="false">IF($D46="Dry Straw/Stover",$G46*2.65,IF($C46="Roughage",$G46*3.31,$G46*3.62))</f>
        <v>2.0522</v>
      </c>
      <c r="I46" s="33" t="n">
        <v>0.5</v>
      </c>
      <c r="J46" s="35"/>
    </row>
    <row r="47" customFormat="false" ht="15" hidden="false" customHeight="false" outlineLevel="0" collapsed="false">
      <c r="A47" s="32" t="n">
        <v>44</v>
      </c>
      <c r="B47" s="32" t="s">
        <v>162</v>
      </c>
      <c r="C47" s="32" t="s">
        <v>147</v>
      </c>
      <c r="D47" s="32" t="s">
        <v>163</v>
      </c>
      <c r="E47" s="33" t="n">
        <v>0.856</v>
      </c>
      <c r="F47" s="33" t="n">
        <v>0.1846</v>
      </c>
      <c r="G47" s="33" t="n">
        <v>0.58</v>
      </c>
      <c r="H47" s="34" t="n">
        <f aca="false">IF($D47="Dry Straw/Stover",$G47*2.65,IF($C47="Roughage",$G47*3.31,$G47*3.62))</f>
        <v>1.9198</v>
      </c>
      <c r="I47" s="33" t="n">
        <v>0.45</v>
      </c>
      <c r="J47" s="35"/>
    </row>
    <row r="48" customFormat="false" ht="15" hidden="false" customHeight="false" outlineLevel="0" collapsed="false">
      <c r="A48" s="32" t="n">
        <v>45</v>
      </c>
      <c r="B48" s="32" t="s">
        <v>164</v>
      </c>
      <c r="C48" s="32" t="s">
        <v>147</v>
      </c>
      <c r="D48" s="32" t="s">
        <v>163</v>
      </c>
      <c r="E48" s="33" t="n">
        <v>0.875</v>
      </c>
      <c r="F48" s="33" t="n">
        <v>0.1886</v>
      </c>
      <c r="G48" s="33" t="n">
        <v>0.58</v>
      </c>
      <c r="H48" s="34" t="n">
        <f aca="false">IF($D48="Dry Straw/Stover",$G48*2.65,IF($C48="Roughage",$G48*3.31,$G48*3.62))</f>
        <v>1.9198</v>
      </c>
      <c r="I48" s="33" t="n">
        <v>0.42</v>
      </c>
      <c r="J48" s="35"/>
    </row>
    <row r="49" customFormat="false" ht="15" hidden="false" customHeight="false" outlineLevel="0" collapsed="false">
      <c r="A49" s="32" t="n">
        <v>46</v>
      </c>
      <c r="B49" s="32" t="s">
        <v>165</v>
      </c>
      <c r="C49" s="32" t="s">
        <v>147</v>
      </c>
      <c r="D49" s="32" t="s">
        <v>163</v>
      </c>
      <c r="E49" s="33" t="n">
        <v>0.88</v>
      </c>
      <c r="F49" s="33" t="n">
        <v>0.07</v>
      </c>
      <c r="G49" s="33" t="n">
        <v>0.52</v>
      </c>
      <c r="H49" s="34" t="n">
        <f aca="false">IF($D49="Dry Straw/Stover",$G49*2.65,IF($C49="Roughage",$G49*3.31,$G49*3.62))</f>
        <v>1.7212</v>
      </c>
      <c r="I49" s="33" t="n">
        <v>0.58</v>
      </c>
      <c r="J49" s="35"/>
    </row>
    <row r="50" customFormat="false" ht="15" hidden="false" customHeight="false" outlineLevel="0" collapsed="false">
      <c r="A50" s="32" t="n">
        <v>47</v>
      </c>
      <c r="B50" s="32" t="s">
        <v>166</v>
      </c>
      <c r="C50" s="32" t="s">
        <v>147</v>
      </c>
      <c r="D50" s="32" t="s">
        <v>167</v>
      </c>
      <c r="E50" s="33" t="n">
        <v>0.9</v>
      </c>
      <c r="F50" s="33" t="n">
        <v>0.04</v>
      </c>
      <c r="G50" s="33" t="n">
        <v>0.42</v>
      </c>
      <c r="H50" s="34" t="n">
        <f aca="false">IF($D50="Dry Straw/Stover",$G50*2.65,IF($C50="Roughage",$G50*3.31,$G50*3.62))</f>
        <v>1.113</v>
      </c>
      <c r="I50" s="33" t="n">
        <v>0.78</v>
      </c>
      <c r="J50" s="35"/>
    </row>
    <row r="51" customFormat="false" ht="15" hidden="false" customHeight="false" outlineLevel="0" collapsed="false">
      <c r="A51" s="32" t="n">
        <v>48</v>
      </c>
      <c r="B51" s="32" t="s">
        <v>168</v>
      </c>
      <c r="C51" s="32" t="s">
        <v>147</v>
      </c>
      <c r="D51" s="32" t="s">
        <v>167</v>
      </c>
      <c r="E51" s="33" t="n">
        <v>0.9</v>
      </c>
      <c r="F51" s="33" t="n">
        <v>0.035</v>
      </c>
      <c r="G51" s="33" t="n">
        <v>0.4</v>
      </c>
      <c r="H51" s="34" t="n">
        <f aca="false">IF($D51="Dry Straw/Stover",$G51*2.65,IF($C51="Roughage",$G51*3.31,$G51*3.62))</f>
        <v>1.06</v>
      </c>
      <c r="I51" s="33" t="n">
        <v>0.75</v>
      </c>
      <c r="J51" s="35"/>
    </row>
    <row r="52" customFormat="false" ht="15" hidden="false" customHeight="false" outlineLevel="0" collapsed="false">
      <c r="A52" s="32" t="n">
        <v>49</v>
      </c>
      <c r="B52" s="32" t="s">
        <v>169</v>
      </c>
      <c r="C52" s="32" t="s">
        <v>147</v>
      </c>
      <c r="D52" s="32" t="s">
        <v>167</v>
      </c>
      <c r="E52" s="33" t="n">
        <v>0.825</v>
      </c>
      <c r="F52" s="33" t="n">
        <v>0.0545</v>
      </c>
      <c r="G52" s="33" t="n">
        <v>0.48</v>
      </c>
      <c r="H52" s="34" t="n">
        <f aca="false">IF($D52="Dry Straw/Stover",$G52*2.65,IF($C52="Roughage",$G52*3.31,$G52*3.62))</f>
        <v>1.272</v>
      </c>
      <c r="I52" s="33" t="n">
        <v>0.7</v>
      </c>
      <c r="J52" s="35"/>
    </row>
    <row r="53" customFormat="false" ht="15" hidden="false" customHeight="false" outlineLevel="0" collapsed="false">
      <c r="A53" s="32" t="n">
        <v>50</v>
      </c>
      <c r="B53" s="32" t="s">
        <v>170</v>
      </c>
      <c r="C53" s="32" t="s">
        <v>147</v>
      </c>
      <c r="D53" s="32" t="s">
        <v>167</v>
      </c>
      <c r="E53" s="33" t="n">
        <v>0.805</v>
      </c>
      <c r="F53" s="33" t="n">
        <v>0.0374</v>
      </c>
      <c r="G53" s="33" t="n">
        <v>0.42</v>
      </c>
      <c r="H53" s="34" t="n">
        <f aca="false">IF($D53="Dry Straw/Stover",$G53*2.65,IF($C53="Roughage",$G53*3.31,$G53*3.62))</f>
        <v>1.113</v>
      </c>
      <c r="I53" s="33" t="n">
        <v>0.72</v>
      </c>
      <c r="J53" s="35"/>
    </row>
    <row r="54" customFormat="false" ht="15" hidden="false" customHeight="false" outlineLevel="0" collapsed="false">
      <c r="A54" s="32" t="n">
        <v>51</v>
      </c>
      <c r="B54" s="32" t="s">
        <v>171</v>
      </c>
      <c r="C54" s="32" t="s">
        <v>147</v>
      </c>
      <c r="D54" s="32" t="s">
        <v>167</v>
      </c>
      <c r="E54" s="33" t="n">
        <v>0.85</v>
      </c>
      <c r="F54" s="33" t="n">
        <v>0.04</v>
      </c>
      <c r="G54" s="33" t="n">
        <v>0.43</v>
      </c>
      <c r="H54" s="34" t="n">
        <f aca="false">IF($D54="Dry Straw/Stover",$G54*2.65,IF($C54="Roughage",$G54*3.31,$G54*3.62))</f>
        <v>1.1395</v>
      </c>
      <c r="I54" s="33" t="n">
        <v>0.7</v>
      </c>
      <c r="J54" s="35"/>
    </row>
    <row r="55" customFormat="false" ht="15" hidden="false" customHeight="false" outlineLevel="0" collapsed="false">
      <c r="A55" s="32" t="n">
        <v>52</v>
      </c>
      <c r="B55" s="32" t="s">
        <v>172</v>
      </c>
      <c r="C55" s="32" t="s">
        <v>147</v>
      </c>
      <c r="D55" s="32" t="s">
        <v>167</v>
      </c>
      <c r="E55" s="33" t="n">
        <v>0.905</v>
      </c>
      <c r="F55" s="33" t="n">
        <v>0.0166</v>
      </c>
      <c r="G55" s="33" t="n">
        <v>0.45</v>
      </c>
      <c r="H55" s="34" t="n">
        <f aca="false">IF($D55="Dry Straw/Stover",$G55*2.65,IF($C55="Roughage",$G55*3.31,$G55*3.62))</f>
        <v>1.1925</v>
      </c>
      <c r="I55" s="33" t="n">
        <v>0.8</v>
      </c>
      <c r="J55" s="35"/>
    </row>
    <row r="56" customFormat="false" ht="15" hidden="false" customHeight="false" outlineLevel="0" collapsed="false">
      <c r="A56" s="32" t="n">
        <v>53</v>
      </c>
      <c r="B56" s="32" t="s">
        <v>173</v>
      </c>
      <c r="C56" s="32" t="s">
        <v>147</v>
      </c>
      <c r="D56" s="32" t="s">
        <v>167</v>
      </c>
      <c r="E56" s="33" t="n">
        <v>0.92</v>
      </c>
      <c r="F56" s="33" t="n">
        <v>0.061</v>
      </c>
      <c r="G56" s="33" t="n">
        <v>0.45</v>
      </c>
      <c r="H56" s="34" t="n">
        <f aca="false">IF($D56="Dry Straw/Stover",$G56*2.65,IF($C56="Roughage",$G56*3.31,$G56*3.62))</f>
        <v>1.1925</v>
      </c>
      <c r="I56" s="33" t="n">
        <v>0.65</v>
      </c>
      <c r="J56" s="35"/>
    </row>
    <row r="57" customFormat="false" ht="15" hidden="false" customHeight="false" outlineLevel="0" collapsed="false">
      <c r="A57" s="32" t="n">
        <v>54</v>
      </c>
      <c r="B57" s="32" t="s">
        <v>174</v>
      </c>
      <c r="C57" s="32" t="s">
        <v>147</v>
      </c>
      <c r="D57" s="32" t="s">
        <v>167</v>
      </c>
      <c r="E57" s="33" t="n">
        <v>0.9</v>
      </c>
      <c r="F57" s="33" t="n">
        <v>0.04</v>
      </c>
      <c r="G57" s="33" t="n">
        <v>0.35</v>
      </c>
      <c r="H57" s="34" t="n">
        <f aca="false">IF($D57="Dry Straw/Stover",$G57*2.65,IF($C57="Roughage",$G57*3.31,$G57*3.62))</f>
        <v>0.9275</v>
      </c>
      <c r="I57" s="33" t="n">
        <v>0.8</v>
      </c>
      <c r="J57" s="35"/>
    </row>
    <row r="58" customFormat="false" ht="15" hidden="false" customHeight="false" outlineLevel="0" collapsed="false">
      <c r="A58" s="32" t="n">
        <v>55</v>
      </c>
      <c r="B58" s="32" t="s">
        <v>175</v>
      </c>
      <c r="C58" s="32" t="s">
        <v>147</v>
      </c>
      <c r="D58" s="32" t="s">
        <v>167</v>
      </c>
      <c r="E58" s="33" t="n">
        <v>0.28</v>
      </c>
      <c r="F58" s="33" t="n">
        <v>0.05</v>
      </c>
      <c r="G58" s="33" t="n">
        <v>0.5</v>
      </c>
      <c r="H58" s="34" t="n">
        <f aca="false">IF($D58="Dry Straw/Stover",$G58*2.65,IF($C58="Roughage",$G58*3.31,$G58*3.62))</f>
        <v>1.325</v>
      </c>
      <c r="I58" s="33" t="n">
        <v>0.65</v>
      </c>
      <c r="J58" s="35"/>
    </row>
    <row r="59" customFormat="false" ht="15" hidden="false" customHeight="false" outlineLevel="0" collapsed="false">
      <c r="A59" s="32" t="n">
        <v>56</v>
      </c>
      <c r="B59" s="32" t="s">
        <v>176</v>
      </c>
      <c r="C59" s="32" t="s">
        <v>147</v>
      </c>
      <c r="D59" s="32" t="s">
        <v>167</v>
      </c>
      <c r="E59" s="33" t="n">
        <v>0.9</v>
      </c>
      <c r="F59" s="33" t="n">
        <v>0.02</v>
      </c>
      <c r="G59" s="33" t="n">
        <v>0.35</v>
      </c>
      <c r="H59" s="34" t="n">
        <f aca="false">IF($D59="Dry Straw/Stover",$G59*2.65,IF($C59="Roughage",$G59*3.31,$G59*3.62))</f>
        <v>0.9275</v>
      </c>
      <c r="I59" s="33" t="n">
        <v>0.85</v>
      </c>
      <c r="J59" s="3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6" min="3" style="0" width="15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30" t="s">
        <v>177</v>
      </c>
      <c r="B1" s="30"/>
      <c r="C1" s="30"/>
      <c r="D1" s="30"/>
      <c r="E1" s="30"/>
      <c r="F1" s="30"/>
      <c r="G1" s="30"/>
      <c r="H1" s="30"/>
      <c r="I1" s="30"/>
      <c r="J1" s="30"/>
    </row>
    <row r="3" customFormat="false" ht="15" hidden="false" customHeight="false" outlineLevel="0" collapsed="false">
      <c r="A3" s="9" t="s">
        <v>178</v>
      </c>
      <c r="B3" s="9"/>
      <c r="C3" s="9"/>
      <c r="D3" s="9"/>
      <c r="E3" s="9"/>
    </row>
    <row r="4" customFormat="false" ht="26.85" hidden="false" customHeight="false" outlineLevel="0" collapsed="false">
      <c r="A4" s="31" t="s">
        <v>179</v>
      </c>
      <c r="B4" s="31" t="s">
        <v>180</v>
      </c>
      <c r="C4" s="31" t="s">
        <v>181</v>
      </c>
      <c r="D4" s="31" t="s">
        <v>182</v>
      </c>
      <c r="E4" s="31" t="s">
        <v>183</v>
      </c>
    </row>
    <row r="5" customFormat="false" ht="15" hidden="false" customHeight="false" outlineLevel="0" collapsed="false">
      <c r="A5" s="36" t="s">
        <v>184</v>
      </c>
      <c r="B5" s="37" t="n">
        <v>1</v>
      </c>
      <c r="C5" s="37" t="n">
        <v>33</v>
      </c>
      <c r="D5" s="25" t="n">
        <v>0.45</v>
      </c>
      <c r="E5" s="25" t="n">
        <v>0.55</v>
      </c>
    </row>
    <row r="6" customFormat="false" ht="15" hidden="false" customHeight="false" outlineLevel="0" collapsed="false">
      <c r="A6" s="36" t="s">
        <v>185</v>
      </c>
      <c r="B6" s="37" t="n">
        <v>34</v>
      </c>
      <c r="C6" s="37" t="n">
        <v>66</v>
      </c>
      <c r="D6" s="25" t="n">
        <v>0.6</v>
      </c>
      <c r="E6" s="25" t="n">
        <v>0.4</v>
      </c>
    </row>
    <row r="7" customFormat="false" ht="15" hidden="false" customHeight="false" outlineLevel="0" collapsed="false">
      <c r="A7" s="36" t="s">
        <v>186</v>
      </c>
      <c r="B7" s="37" t="n">
        <v>67</v>
      </c>
      <c r="C7" s="37" t="n">
        <v>100</v>
      </c>
      <c r="D7" s="25" t="n">
        <v>0.75</v>
      </c>
      <c r="E7" s="25" t="n">
        <v>0.25</v>
      </c>
    </row>
    <row r="9" customFormat="false" ht="15" hidden="false" customHeight="false" outlineLevel="0" collapsed="false">
      <c r="A9" s="9" t="s">
        <v>187</v>
      </c>
      <c r="B9" s="9"/>
      <c r="C9" s="9"/>
      <c r="D9" s="9"/>
      <c r="E9" s="9"/>
      <c r="F9" s="9"/>
    </row>
    <row r="10" customFormat="false" ht="39.55" hidden="false" customHeight="false" outlineLevel="0" collapsed="false">
      <c r="A10" s="31" t="s">
        <v>188</v>
      </c>
      <c r="B10" s="31" t="s">
        <v>189</v>
      </c>
      <c r="C10" s="31" t="s">
        <v>190</v>
      </c>
      <c r="D10" s="31" t="s">
        <v>191</v>
      </c>
      <c r="E10" s="31" t="s">
        <v>192</v>
      </c>
      <c r="F10" s="31" t="s">
        <v>193</v>
      </c>
    </row>
    <row r="11" customFormat="false" ht="15" hidden="false" customHeight="false" outlineLevel="0" collapsed="false">
      <c r="A11" s="38" t="s">
        <v>110</v>
      </c>
      <c r="B11" s="39" t="n">
        <v>0.25</v>
      </c>
      <c r="C11" s="40" t="n">
        <f aca="false">IF($A11="",0,$B11*IFERROR(INDEX('Ingredient Database'!$F:$F,MATCH($A11,'Ingredient Database'!$B:$B,0)),0))</f>
        <v>0.0225</v>
      </c>
      <c r="D11" s="40" t="n">
        <f aca="false">IF($A11="",0,$B11*IFERROR(INDEX('Ingredient Database'!$G:$G,MATCH($A11,'Ingredient Database'!$B:$B,0)),0))</f>
        <v>0.205</v>
      </c>
      <c r="E11" s="40" t="n">
        <f aca="false">IF($A11="",0,$B11*IFERROR(INDEX('Ingredient Database'!$E:$E,MATCH($A11,'Ingredient Database'!$B:$B,0)),0))</f>
        <v>0.22</v>
      </c>
      <c r="F11" s="41" t="n">
        <f aca="false">IF($A11="",0,$B11*IFERROR(INDEX('Ingredient Database'!$H:$H,MATCH($A11,'Ingredient Database'!$B:$B,0)),0))</f>
        <v>0.7421</v>
      </c>
    </row>
    <row r="12" customFormat="false" ht="15" hidden="false" customHeight="false" outlineLevel="0" collapsed="false">
      <c r="A12" s="38" t="s">
        <v>131</v>
      </c>
      <c r="B12" s="39" t="n">
        <v>0.12</v>
      </c>
      <c r="C12" s="40" t="n">
        <f aca="false">IF($A12="",0,$B12*IFERROR(INDEX('Ingredient Database'!$F:$F,MATCH($A12,'Ingredient Database'!$B:$B,0)),0))</f>
        <v>0.018</v>
      </c>
      <c r="D12" s="40" t="n">
        <f aca="false">IF($A12="",0,$B12*IFERROR(INDEX('Ingredient Database'!$G:$G,MATCH($A12,'Ingredient Database'!$B:$B,0)),0))</f>
        <v>0.0816</v>
      </c>
      <c r="E12" s="40" t="n">
        <f aca="false">IF($A12="",0,$B12*IFERROR(INDEX('Ingredient Database'!$E:$E,MATCH($A12,'Ingredient Database'!$B:$B,0)),0))</f>
        <v>0.1056</v>
      </c>
      <c r="F12" s="41" t="n">
        <f aca="false">IF($A12="",0,$B12*IFERROR(INDEX('Ingredient Database'!$H:$H,MATCH($A12,'Ingredient Database'!$B:$B,0)),0))</f>
        <v>0.295392</v>
      </c>
    </row>
    <row r="13" customFormat="false" ht="15" hidden="false" customHeight="false" outlineLevel="0" collapsed="false">
      <c r="A13" s="38" t="s">
        <v>118</v>
      </c>
      <c r="B13" s="39" t="n">
        <v>0.25</v>
      </c>
      <c r="C13" s="40" t="n">
        <f aca="false">IF($A13="",0,$B13*IFERROR(INDEX('Ingredient Database'!$F:$F,MATCH($A13,'Ingredient Database'!$B:$B,0)),0))</f>
        <v>0.055</v>
      </c>
      <c r="D13" s="40" t="n">
        <f aca="false">IF($A13="",0,$B13*IFERROR(INDEX('Ingredient Database'!$G:$G,MATCH($A13,'Ingredient Database'!$B:$B,0)),0))</f>
        <v>0.17</v>
      </c>
      <c r="E13" s="40" t="n">
        <f aca="false">IF($A13="",0,$B13*IFERROR(INDEX('Ingredient Database'!$E:$E,MATCH($A13,'Ingredient Database'!$B:$B,0)),0))</f>
        <v>0.225</v>
      </c>
      <c r="F13" s="41" t="n">
        <f aca="false">IF($A13="",0,$B13*IFERROR(INDEX('Ingredient Database'!$H:$H,MATCH($A13,'Ingredient Database'!$B:$B,0)),0))</f>
        <v>0.6154</v>
      </c>
    </row>
    <row r="14" customFormat="false" ht="15" hidden="false" customHeight="false" outlineLevel="0" collapsed="false">
      <c r="A14" s="38" t="s">
        <v>121</v>
      </c>
      <c r="B14" s="39" t="n">
        <v>0.15</v>
      </c>
      <c r="C14" s="40" t="n">
        <f aca="false">IF($A14="",0,$B14*IFERROR(INDEX('Ingredient Database'!$F:$F,MATCH($A14,'Ingredient Database'!$B:$B,0)),0))</f>
        <v>0.054</v>
      </c>
      <c r="D14" s="40" t="n">
        <f aca="false">IF($A14="",0,$B14*IFERROR(INDEX('Ingredient Database'!$G:$G,MATCH($A14,'Ingredient Database'!$B:$B,0)),0))</f>
        <v>0.105</v>
      </c>
      <c r="E14" s="40" t="n">
        <f aca="false">IF($A14="",0,$B14*IFERROR(INDEX('Ingredient Database'!$E:$E,MATCH($A14,'Ingredient Database'!$B:$B,0)),0))</f>
        <v>0.135</v>
      </c>
      <c r="F14" s="41" t="n">
        <f aca="false">IF($A14="",0,$B14*IFERROR(INDEX('Ingredient Database'!$H:$H,MATCH($A14,'Ingredient Database'!$B:$B,0)),0))</f>
        <v>0.3801</v>
      </c>
    </row>
    <row r="15" customFormat="false" ht="15" hidden="false" customHeight="false" outlineLevel="0" collapsed="false">
      <c r="A15" s="38" t="s">
        <v>133</v>
      </c>
      <c r="B15" s="39" t="n">
        <v>0.1</v>
      </c>
      <c r="C15" s="40" t="n">
        <f aca="false">IF($A15="",0,$B15*IFERROR(INDEX('Ingredient Database'!$F:$F,MATCH($A15,'Ingredient Database'!$B:$B,0)),0))</f>
        <v>0.0125</v>
      </c>
      <c r="D15" s="40" t="n">
        <f aca="false">IF($A15="",0,$B15*IFERROR(INDEX('Ingredient Database'!$G:$G,MATCH($A15,'Ingredient Database'!$B:$B,0)),0))</f>
        <v>0.072</v>
      </c>
      <c r="E15" s="40" t="n">
        <f aca="false">IF($A15="",0,$B15*IFERROR(INDEX('Ingredient Database'!$E:$E,MATCH($A15,'Ingredient Database'!$B:$B,0)),0))</f>
        <v>0.09</v>
      </c>
      <c r="F15" s="41" t="n">
        <f aca="false">IF($A15="",0,$B15*IFERROR(INDEX('Ingredient Database'!$H:$H,MATCH($A15,'Ingredient Database'!$B:$B,0)),0))</f>
        <v>0.26064</v>
      </c>
    </row>
    <row r="16" customFormat="false" ht="15" hidden="false" customHeight="false" outlineLevel="0" collapsed="false">
      <c r="A16" s="38" t="s">
        <v>136</v>
      </c>
      <c r="B16" s="39" t="n">
        <v>0.08</v>
      </c>
      <c r="C16" s="40" t="n">
        <f aca="false">IF($A16="",0,$B16*IFERROR(INDEX('Ingredient Database'!$F:$F,MATCH($A16,'Ingredient Database'!$B:$B,0)),0))</f>
        <v>0.0032</v>
      </c>
      <c r="D16" s="40" t="n">
        <f aca="false">IF($A16="",0,$B16*IFERROR(INDEX('Ingredient Database'!$G:$G,MATCH($A16,'Ingredient Database'!$B:$B,0)),0))</f>
        <v>0.0576</v>
      </c>
      <c r="E16" s="40" t="n">
        <f aca="false">IF($A16="",0,$B16*IFERROR(INDEX('Ingredient Database'!$E:$E,MATCH($A16,'Ingredient Database'!$B:$B,0)),0))</f>
        <v>0.06</v>
      </c>
      <c r="F16" s="41" t="n">
        <f aca="false">IF($A16="",0,$B16*IFERROR(INDEX('Ingredient Database'!$H:$H,MATCH($A16,'Ingredient Database'!$B:$B,0)),0))</f>
        <v>0.208512</v>
      </c>
    </row>
    <row r="17" customFormat="false" ht="15" hidden="false" customHeight="false" outlineLevel="0" collapsed="false">
      <c r="A17" s="38" t="s">
        <v>139</v>
      </c>
      <c r="B17" s="39" t="n">
        <v>0.03</v>
      </c>
      <c r="C17" s="40" t="n">
        <f aca="false">IF($A17="",0,$B17*IFERROR(INDEX('Ingredient Database'!$F:$F,MATCH($A17,'Ingredient Database'!$B:$B,0)),0))</f>
        <v>0</v>
      </c>
      <c r="D17" s="40" t="n">
        <f aca="false">IF($A17="",0,$B17*IFERROR(INDEX('Ingredient Database'!$G:$G,MATCH($A17,'Ingredient Database'!$B:$B,0)),0))</f>
        <v>0</v>
      </c>
      <c r="E17" s="40" t="n">
        <f aca="false">IF($A17="",0,$B17*IFERROR(INDEX('Ingredient Database'!$E:$E,MATCH($A17,'Ingredient Database'!$B:$B,0)),0))</f>
        <v>0.0294</v>
      </c>
      <c r="F17" s="41" t="n">
        <f aca="false">IF($A17="",0,$B17*IFERROR(INDEX('Ingredient Database'!$H:$H,MATCH($A17,'Ingredient Database'!$B:$B,0)),0))</f>
        <v>0</v>
      </c>
    </row>
    <row r="18" customFormat="false" ht="15" hidden="false" customHeight="false" outlineLevel="0" collapsed="false">
      <c r="A18" s="38" t="s">
        <v>141</v>
      </c>
      <c r="B18" s="39" t="n">
        <v>0.02</v>
      </c>
      <c r="C18" s="40" t="n">
        <f aca="false">IF($A18="",0,$B18*IFERROR(INDEX('Ingredient Database'!$F:$F,MATCH($A18,'Ingredient Database'!$B:$B,0)),0))</f>
        <v>0</v>
      </c>
      <c r="D18" s="40" t="n">
        <f aca="false">IF($A18="",0,$B18*IFERROR(INDEX('Ingredient Database'!$G:$G,MATCH($A18,'Ingredient Database'!$B:$B,0)),0))</f>
        <v>0</v>
      </c>
      <c r="E18" s="40" t="n">
        <f aca="false">IF($A18="",0,$B18*IFERROR(INDEX('Ingredient Database'!$E:$E,MATCH($A18,'Ingredient Database'!$B:$B,0)),0))</f>
        <v>0.0198</v>
      </c>
      <c r="F18" s="41" t="n">
        <f aca="false">IF($A18="",0,$B18*IFERROR(INDEX('Ingredient Database'!$H:$H,MATCH($A18,'Ingredient Database'!$B:$B,0)),0))</f>
        <v>0</v>
      </c>
    </row>
    <row r="19" customFormat="false" ht="15" hidden="false" customHeight="false" outlineLevel="0" collapsed="false">
      <c r="A19" s="38"/>
      <c r="B19" s="39"/>
      <c r="C19" s="40" t="n">
        <f aca="false">IF($A19="",0,$B19*IFERROR(INDEX('Ingredient Database'!$F:$F,MATCH($A19,'Ingredient Database'!$B:$B,0)),0))</f>
        <v>0</v>
      </c>
      <c r="D19" s="40" t="n">
        <f aca="false">IF($A19="",0,$B19*IFERROR(INDEX('Ingredient Database'!$G:$G,MATCH($A19,'Ingredient Database'!$B:$B,0)),0))</f>
        <v>0</v>
      </c>
      <c r="E19" s="40" t="n">
        <f aca="false">IF($A19="",0,$B19*IFERROR(INDEX('Ingredient Database'!$E:$E,MATCH($A19,'Ingredient Database'!$B:$B,0)),0))</f>
        <v>0</v>
      </c>
      <c r="F19" s="41" t="n">
        <f aca="false">IF($A19="",0,$B19*IFERROR(INDEX('Ingredient Database'!$H:$H,MATCH($A19,'Ingredient Database'!$B:$B,0)),0))</f>
        <v>0</v>
      </c>
    </row>
    <row r="20" customFormat="false" ht="15" hidden="false" customHeight="false" outlineLevel="0" collapsed="false">
      <c r="A20" s="38"/>
      <c r="B20" s="39"/>
      <c r="C20" s="40" t="n">
        <f aca="false">IF($A20="",0,$B20*IFERROR(INDEX('Ingredient Database'!$F:$F,MATCH($A20,'Ingredient Database'!$B:$B,0)),0))</f>
        <v>0</v>
      </c>
      <c r="D20" s="40" t="n">
        <f aca="false">IF($A20="",0,$B20*IFERROR(INDEX('Ingredient Database'!$G:$G,MATCH($A20,'Ingredient Database'!$B:$B,0)),0))</f>
        <v>0</v>
      </c>
      <c r="E20" s="40" t="n">
        <f aca="false">IF($A20="",0,$B20*IFERROR(INDEX('Ingredient Database'!$E:$E,MATCH($A20,'Ingredient Database'!$B:$B,0)),0))</f>
        <v>0</v>
      </c>
      <c r="F20" s="41" t="n">
        <f aca="false">IF($A20="",0,$B20*IFERROR(INDEX('Ingredient Database'!$H:$H,MATCH($A20,'Ingredient Database'!$B:$B,0)),0))</f>
        <v>0</v>
      </c>
    </row>
    <row r="21" customFormat="false" ht="15" hidden="false" customHeight="false" outlineLevel="0" collapsed="false">
      <c r="A21" s="5" t="s">
        <v>194</v>
      </c>
      <c r="B21" s="42" t="n">
        <f aca="false">SUM(B11:B20)</f>
        <v>1</v>
      </c>
      <c r="C21" s="42" t="n">
        <f aca="false">SUM(C11:C20)</f>
        <v>0.1652</v>
      </c>
      <c r="D21" s="42" t="n">
        <f aca="false">SUM(D11:D20)</f>
        <v>0.6912</v>
      </c>
      <c r="E21" s="42" t="n">
        <f aca="false">SUM(E11:E20)</f>
        <v>0.8848</v>
      </c>
      <c r="F21" s="43" t="n">
        <f aca="false">SUM(F11:F20)</f>
        <v>2.502144</v>
      </c>
    </row>
    <row r="23" customFormat="false" ht="15" hidden="false" customHeight="false" outlineLevel="0" collapsed="false">
      <c r="A23" s="9" t="s">
        <v>195</v>
      </c>
      <c r="B23" s="9"/>
      <c r="C23" s="9"/>
      <c r="D23" s="9"/>
      <c r="E23" s="9"/>
      <c r="F23" s="9"/>
    </row>
    <row r="24" customFormat="false" ht="15" hidden="false" customHeight="false" outlineLevel="0" collapsed="false">
      <c r="A24" s="44" t="s">
        <v>184</v>
      </c>
      <c r="B24" s="44"/>
      <c r="C24" s="44"/>
      <c r="D24" s="44"/>
      <c r="E24" s="44"/>
      <c r="F24" s="44"/>
    </row>
    <row r="25" customFormat="false" ht="39.55" hidden="false" customHeight="false" outlineLevel="0" collapsed="false">
      <c r="A25" s="31" t="s">
        <v>188</v>
      </c>
      <c r="B25" s="31" t="s">
        <v>196</v>
      </c>
      <c r="C25" s="31" t="s">
        <v>190</v>
      </c>
      <c r="D25" s="31" t="s">
        <v>191</v>
      </c>
      <c r="E25" s="31" t="s">
        <v>192</v>
      </c>
      <c r="F25" s="31" t="s">
        <v>193</v>
      </c>
    </row>
    <row r="26" customFormat="false" ht="15" hidden="false" customHeight="false" outlineLevel="0" collapsed="false">
      <c r="A26" s="38" t="s">
        <v>159</v>
      </c>
      <c r="B26" s="39" t="n">
        <v>0.5</v>
      </c>
      <c r="C26" s="40" t="n">
        <f aca="false">IF($A26="",0,$B26*IFERROR(INDEX('Ingredient Database'!$F:$F,MATCH($A26,'Ingredient Database'!$B:$B,0)),0))</f>
        <v>0.04</v>
      </c>
      <c r="D26" s="40" t="n">
        <f aca="false">IF($A26="",0,$B26*IFERROR(INDEX('Ingredient Database'!$G:$G,MATCH($A26,'Ingredient Database'!$B:$B,0)),0))</f>
        <v>0.34</v>
      </c>
      <c r="E26" s="40" t="n">
        <f aca="false">IF($A26="",0,$B26*IFERROR(INDEX('Ingredient Database'!$E:$E,MATCH($A26,'Ingredient Database'!$B:$B,0)),0))</f>
        <v>0.16</v>
      </c>
      <c r="F26" s="41" t="n">
        <f aca="false">IF($A26="",0,$B26*IFERROR(INDEX('Ingredient Database'!$H:$H,MATCH($A26,'Ingredient Database'!$B:$B,0)),0))</f>
        <v>1.1254</v>
      </c>
    </row>
    <row r="27" customFormat="false" ht="15" hidden="false" customHeight="false" outlineLevel="0" collapsed="false">
      <c r="A27" s="38" t="s">
        <v>166</v>
      </c>
      <c r="B27" s="39" t="n">
        <v>0.5</v>
      </c>
      <c r="C27" s="40" t="n">
        <f aca="false">IF($A27="",0,$B27*IFERROR(INDEX('Ingredient Database'!$F:$F,MATCH($A27,'Ingredient Database'!$B:$B,0)),0))</f>
        <v>0.02</v>
      </c>
      <c r="D27" s="40" t="n">
        <f aca="false">IF($A27="",0,$B27*IFERROR(INDEX('Ingredient Database'!$G:$G,MATCH($A27,'Ingredient Database'!$B:$B,0)),0))</f>
        <v>0.21</v>
      </c>
      <c r="E27" s="40" t="n">
        <f aca="false">IF($A27="",0,$B27*IFERROR(INDEX('Ingredient Database'!$E:$E,MATCH($A27,'Ingredient Database'!$B:$B,0)),0))</f>
        <v>0.45</v>
      </c>
      <c r="F27" s="41" t="n">
        <f aca="false">IF($A27="",0,$B27*IFERROR(INDEX('Ingredient Database'!$H:$H,MATCH($A27,'Ingredient Database'!$B:$B,0)),0))</f>
        <v>0.5565</v>
      </c>
    </row>
    <row r="28" customFormat="false" ht="15" hidden="false" customHeight="false" outlineLevel="0" collapsed="false">
      <c r="A28" s="38"/>
      <c r="B28" s="39"/>
      <c r="C28" s="40" t="n">
        <f aca="false">IF($A28="",0,$B28*IFERROR(INDEX('Ingredient Database'!$F:$F,MATCH($A28,'Ingredient Database'!$B:$B,0)),0))</f>
        <v>0</v>
      </c>
      <c r="D28" s="40" t="n">
        <f aca="false">IF($A28="",0,$B28*IFERROR(INDEX('Ingredient Database'!$G:$G,MATCH($A28,'Ingredient Database'!$B:$B,0)),0))</f>
        <v>0</v>
      </c>
      <c r="E28" s="40" t="n">
        <f aca="false">IF($A28="",0,$B28*IFERROR(INDEX('Ingredient Database'!$E:$E,MATCH($A28,'Ingredient Database'!$B:$B,0)),0))</f>
        <v>0</v>
      </c>
      <c r="F28" s="41" t="n">
        <f aca="false">IF($A28="",0,$B28*IFERROR(INDEX('Ingredient Database'!$H:$H,MATCH($A28,'Ingredient Database'!$B:$B,0)),0))</f>
        <v>0</v>
      </c>
    </row>
    <row r="29" customFormat="false" ht="15" hidden="false" customHeight="false" outlineLevel="0" collapsed="false">
      <c r="A29" s="38"/>
      <c r="B29" s="39"/>
      <c r="C29" s="40" t="n">
        <f aca="false">IF($A29="",0,$B29*IFERROR(INDEX('Ingredient Database'!$F:$F,MATCH($A29,'Ingredient Database'!$B:$B,0)),0))</f>
        <v>0</v>
      </c>
      <c r="D29" s="40" t="n">
        <f aca="false">IF($A29="",0,$B29*IFERROR(INDEX('Ingredient Database'!$G:$G,MATCH($A29,'Ingredient Database'!$B:$B,0)),0))</f>
        <v>0</v>
      </c>
      <c r="E29" s="40" t="n">
        <f aca="false">IF($A29="",0,$B29*IFERROR(INDEX('Ingredient Database'!$E:$E,MATCH($A29,'Ingredient Database'!$B:$B,0)),0))</f>
        <v>0</v>
      </c>
      <c r="F29" s="41" t="n">
        <f aca="false">IF($A29="",0,$B29*IFERROR(INDEX('Ingredient Database'!$H:$H,MATCH($A29,'Ingredient Database'!$B:$B,0)),0))</f>
        <v>0</v>
      </c>
    </row>
    <row r="30" customFormat="false" ht="15" hidden="false" customHeight="false" outlineLevel="0" collapsed="false">
      <c r="A30" s="38"/>
      <c r="B30" s="39"/>
      <c r="C30" s="40" t="n">
        <f aca="false">IF($A30="",0,$B30*IFERROR(INDEX('Ingredient Database'!$F:$F,MATCH($A30,'Ingredient Database'!$B:$B,0)),0))</f>
        <v>0</v>
      </c>
      <c r="D30" s="40" t="n">
        <f aca="false">IF($A30="",0,$B30*IFERROR(INDEX('Ingredient Database'!$G:$G,MATCH($A30,'Ingredient Database'!$B:$B,0)),0))</f>
        <v>0</v>
      </c>
      <c r="E30" s="40" t="n">
        <f aca="false">IF($A30="",0,$B30*IFERROR(INDEX('Ingredient Database'!$E:$E,MATCH($A30,'Ingredient Database'!$B:$B,0)),0))</f>
        <v>0</v>
      </c>
      <c r="F30" s="41" t="n">
        <f aca="false">IF($A30="",0,$B30*IFERROR(INDEX('Ingredient Database'!$H:$H,MATCH($A30,'Ingredient Database'!$B:$B,0)),0))</f>
        <v>0</v>
      </c>
    </row>
    <row r="31" customFormat="false" ht="15" hidden="false" customHeight="false" outlineLevel="0" collapsed="false">
      <c r="A31" s="38"/>
      <c r="B31" s="39"/>
      <c r="C31" s="40" t="n">
        <f aca="false">IF($A31="",0,$B31*IFERROR(INDEX('Ingredient Database'!$F:$F,MATCH($A31,'Ingredient Database'!$B:$B,0)),0))</f>
        <v>0</v>
      </c>
      <c r="D31" s="40" t="n">
        <f aca="false">IF($A31="",0,$B31*IFERROR(INDEX('Ingredient Database'!$G:$G,MATCH($A31,'Ingredient Database'!$B:$B,0)),0))</f>
        <v>0</v>
      </c>
      <c r="E31" s="40" t="n">
        <f aca="false">IF($A31="",0,$B31*IFERROR(INDEX('Ingredient Database'!$E:$E,MATCH($A31,'Ingredient Database'!$B:$B,0)),0))</f>
        <v>0</v>
      </c>
      <c r="F31" s="41" t="n">
        <f aca="false">IF($A31="",0,$B31*IFERROR(INDEX('Ingredient Database'!$H:$H,MATCH($A31,'Ingredient Database'!$B:$B,0)),0))</f>
        <v>0</v>
      </c>
    </row>
    <row r="32" customFormat="false" ht="15" hidden="false" customHeight="false" outlineLevel="0" collapsed="false">
      <c r="A32" s="5" t="s">
        <v>197</v>
      </c>
      <c r="B32" s="42" t="n">
        <f aca="false">SUM(B26:B31)</f>
        <v>1</v>
      </c>
      <c r="C32" s="42" t="n">
        <f aca="false">SUM(C26:C31)</f>
        <v>0.06</v>
      </c>
      <c r="D32" s="42" t="n">
        <f aca="false">SUM(D26:D31)</f>
        <v>0.55</v>
      </c>
      <c r="E32" s="42" t="n">
        <f aca="false">SUM(E26:E31)</f>
        <v>0.61</v>
      </c>
      <c r="F32" s="43" t="n">
        <f aca="false">SUM(F26:F31)</f>
        <v>1.6819</v>
      </c>
    </row>
    <row r="34" customFormat="false" ht="15" hidden="false" customHeight="false" outlineLevel="0" collapsed="false">
      <c r="A34" s="44" t="s">
        <v>185</v>
      </c>
      <c r="B34" s="44"/>
      <c r="C34" s="44"/>
      <c r="D34" s="44"/>
      <c r="E34" s="44"/>
      <c r="F34" s="44"/>
    </row>
    <row r="35" customFormat="false" ht="39.55" hidden="false" customHeight="false" outlineLevel="0" collapsed="false">
      <c r="A35" s="31" t="s">
        <v>188</v>
      </c>
      <c r="B35" s="31" t="s">
        <v>196</v>
      </c>
      <c r="C35" s="31" t="s">
        <v>190</v>
      </c>
      <c r="D35" s="31" t="s">
        <v>191</v>
      </c>
      <c r="E35" s="31" t="s">
        <v>192</v>
      </c>
      <c r="F35" s="31" t="s">
        <v>193</v>
      </c>
    </row>
    <row r="36" customFormat="false" ht="15" hidden="false" customHeight="false" outlineLevel="0" collapsed="false">
      <c r="A36" s="38" t="s">
        <v>159</v>
      </c>
      <c r="B36" s="39" t="n">
        <v>0.65</v>
      </c>
      <c r="C36" s="40" t="n">
        <f aca="false">IF($A36="",0,$B36*IFERROR(INDEX('Ingredient Database'!$F:$F,MATCH($A36,'Ingredient Database'!$B:$B,0)),0))</f>
        <v>0.052</v>
      </c>
      <c r="D36" s="40" t="n">
        <f aca="false">IF($A36="",0,$B36*IFERROR(INDEX('Ingredient Database'!$G:$G,MATCH($A36,'Ingredient Database'!$B:$B,0)),0))</f>
        <v>0.442</v>
      </c>
      <c r="E36" s="40" t="n">
        <f aca="false">IF($A36="",0,$B36*IFERROR(INDEX('Ingredient Database'!$E:$E,MATCH($A36,'Ingredient Database'!$B:$B,0)),0))</f>
        <v>0.208</v>
      </c>
      <c r="F36" s="41" t="n">
        <f aca="false">IF($A36="",0,$B36*IFERROR(INDEX('Ingredient Database'!$H:$H,MATCH($A36,'Ingredient Database'!$B:$B,0)),0))</f>
        <v>1.46302</v>
      </c>
    </row>
    <row r="37" customFormat="false" ht="15" hidden="false" customHeight="false" outlineLevel="0" collapsed="false">
      <c r="A37" s="38" t="s">
        <v>166</v>
      </c>
      <c r="B37" s="39" t="n">
        <v>0.35</v>
      </c>
      <c r="C37" s="40" t="n">
        <f aca="false">IF($A37="",0,$B37*IFERROR(INDEX('Ingredient Database'!$F:$F,MATCH($A37,'Ingredient Database'!$B:$B,0)),0))</f>
        <v>0.014</v>
      </c>
      <c r="D37" s="40" t="n">
        <f aca="false">IF($A37="",0,$B37*IFERROR(INDEX('Ingredient Database'!$G:$G,MATCH($A37,'Ingredient Database'!$B:$B,0)),0))</f>
        <v>0.147</v>
      </c>
      <c r="E37" s="40" t="n">
        <f aca="false">IF($A37="",0,$B37*IFERROR(INDEX('Ingredient Database'!$E:$E,MATCH($A37,'Ingredient Database'!$B:$B,0)),0))</f>
        <v>0.315</v>
      </c>
      <c r="F37" s="41" t="n">
        <f aca="false">IF($A37="",0,$B37*IFERROR(INDEX('Ingredient Database'!$H:$H,MATCH($A37,'Ingredient Database'!$B:$B,0)),0))</f>
        <v>0.38955</v>
      </c>
    </row>
    <row r="38" customFormat="false" ht="15" hidden="false" customHeight="false" outlineLevel="0" collapsed="false">
      <c r="A38" s="38"/>
      <c r="B38" s="39"/>
      <c r="C38" s="40" t="n">
        <f aca="false">IF($A38="",0,$B38*IFERROR(INDEX('Ingredient Database'!$F:$F,MATCH($A38,'Ingredient Database'!$B:$B,0)),0))</f>
        <v>0</v>
      </c>
      <c r="D38" s="40" t="n">
        <f aca="false">IF($A38="",0,$B38*IFERROR(INDEX('Ingredient Database'!$G:$G,MATCH($A38,'Ingredient Database'!$B:$B,0)),0))</f>
        <v>0</v>
      </c>
      <c r="E38" s="40" t="n">
        <f aca="false">IF($A38="",0,$B38*IFERROR(INDEX('Ingredient Database'!$E:$E,MATCH($A38,'Ingredient Database'!$B:$B,0)),0))</f>
        <v>0</v>
      </c>
      <c r="F38" s="41" t="n">
        <f aca="false">IF($A38="",0,$B38*IFERROR(INDEX('Ingredient Database'!$H:$H,MATCH($A38,'Ingredient Database'!$B:$B,0)),0))</f>
        <v>0</v>
      </c>
    </row>
    <row r="39" customFormat="false" ht="15" hidden="false" customHeight="false" outlineLevel="0" collapsed="false">
      <c r="A39" s="38"/>
      <c r="B39" s="39"/>
      <c r="C39" s="40" t="n">
        <f aca="false">IF($A39="",0,$B39*IFERROR(INDEX('Ingredient Database'!$F:$F,MATCH($A39,'Ingredient Database'!$B:$B,0)),0))</f>
        <v>0</v>
      </c>
      <c r="D39" s="40" t="n">
        <f aca="false">IF($A39="",0,$B39*IFERROR(INDEX('Ingredient Database'!$G:$G,MATCH($A39,'Ingredient Database'!$B:$B,0)),0))</f>
        <v>0</v>
      </c>
      <c r="E39" s="40" t="n">
        <f aca="false">IF($A39="",0,$B39*IFERROR(INDEX('Ingredient Database'!$E:$E,MATCH($A39,'Ingredient Database'!$B:$B,0)),0))</f>
        <v>0</v>
      </c>
      <c r="F39" s="41" t="n">
        <f aca="false">IF($A39="",0,$B39*IFERROR(INDEX('Ingredient Database'!$H:$H,MATCH($A39,'Ingredient Database'!$B:$B,0)),0))</f>
        <v>0</v>
      </c>
    </row>
    <row r="40" customFormat="false" ht="15" hidden="false" customHeight="false" outlineLevel="0" collapsed="false">
      <c r="A40" s="38"/>
      <c r="B40" s="39"/>
      <c r="C40" s="40" t="n">
        <f aca="false">IF($A40="",0,$B40*IFERROR(INDEX('Ingredient Database'!$F:$F,MATCH($A40,'Ingredient Database'!$B:$B,0)),0))</f>
        <v>0</v>
      </c>
      <c r="D40" s="40" t="n">
        <f aca="false">IF($A40="",0,$B40*IFERROR(INDEX('Ingredient Database'!$G:$G,MATCH($A40,'Ingredient Database'!$B:$B,0)),0))</f>
        <v>0</v>
      </c>
      <c r="E40" s="40" t="n">
        <f aca="false">IF($A40="",0,$B40*IFERROR(INDEX('Ingredient Database'!$E:$E,MATCH($A40,'Ingredient Database'!$B:$B,0)),0))</f>
        <v>0</v>
      </c>
      <c r="F40" s="41" t="n">
        <f aca="false">IF($A40="",0,$B40*IFERROR(INDEX('Ingredient Database'!$H:$H,MATCH($A40,'Ingredient Database'!$B:$B,0)),0))</f>
        <v>0</v>
      </c>
    </row>
    <row r="41" customFormat="false" ht="15" hidden="false" customHeight="false" outlineLevel="0" collapsed="false">
      <c r="A41" s="38"/>
      <c r="B41" s="39"/>
      <c r="C41" s="40" t="n">
        <f aca="false">IF($A41="",0,$B41*IFERROR(INDEX('Ingredient Database'!$F:$F,MATCH($A41,'Ingredient Database'!$B:$B,0)),0))</f>
        <v>0</v>
      </c>
      <c r="D41" s="40" t="n">
        <f aca="false">IF($A41="",0,$B41*IFERROR(INDEX('Ingredient Database'!$G:$G,MATCH($A41,'Ingredient Database'!$B:$B,0)),0))</f>
        <v>0</v>
      </c>
      <c r="E41" s="40" t="n">
        <f aca="false">IF($A41="",0,$B41*IFERROR(INDEX('Ingredient Database'!$E:$E,MATCH($A41,'Ingredient Database'!$B:$B,0)),0))</f>
        <v>0</v>
      </c>
      <c r="F41" s="41" t="n">
        <f aca="false">IF($A41="",0,$B41*IFERROR(INDEX('Ingredient Database'!$H:$H,MATCH($A41,'Ingredient Database'!$B:$B,0)),0))</f>
        <v>0</v>
      </c>
    </row>
    <row r="42" customFormat="false" ht="15" hidden="false" customHeight="false" outlineLevel="0" collapsed="false">
      <c r="A42" s="5" t="s">
        <v>197</v>
      </c>
      <c r="B42" s="42" t="n">
        <f aca="false">SUM(B36:B41)</f>
        <v>1</v>
      </c>
      <c r="C42" s="42" t="n">
        <f aca="false">SUM(C36:C41)</f>
        <v>0.066</v>
      </c>
      <c r="D42" s="42" t="n">
        <f aca="false">SUM(D36:D41)</f>
        <v>0.589</v>
      </c>
      <c r="E42" s="42" t="n">
        <f aca="false">SUM(E36:E41)</f>
        <v>0.523</v>
      </c>
      <c r="F42" s="43" t="n">
        <f aca="false">SUM(F36:F41)</f>
        <v>1.85257</v>
      </c>
    </row>
    <row r="44" customFormat="false" ht="15" hidden="false" customHeight="false" outlineLevel="0" collapsed="false">
      <c r="A44" s="44" t="s">
        <v>186</v>
      </c>
      <c r="B44" s="44"/>
      <c r="C44" s="44"/>
      <c r="D44" s="44"/>
      <c r="E44" s="44"/>
      <c r="F44" s="44"/>
    </row>
    <row r="45" customFormat="false" ht="39.55" hidden="false" customHeight="false" outlineLevel="0" collapsed="false">
      <c r="A45" s="31" t="s">
        <v>188</v>
      </c>
      <c r="B45" s="31" t="s">
        <v>196</v>
      </c>
      <c r="C45" s="31" t="s">
        <v>190</v>
      </c>
      <c r="D45" s="31" t="s">
        <v>191</v>
      </c>
      <c r="E45" s="31" t="s">
        <v>192</v>
      </c>
      <c r="F45" s="31" t="s">
        <v>193</v>
      </c>
    </row>
    <row r="46" customFormat="false" ht="15" hidden="false" customHeight="false" outlineLevel="0" collapsed="false">
      <c r="A46" s="38" t="s">
        <v>159</v>
      </c>
      <c r="B46" s="39" t="n">
        <v>0.8</v>
      </c>
      <c r="C46" s="40" t="n">
        <f aca="false">IF($A46="",0,$B46*IFERROR(INDEX('Ingredient Database'!$F:$F,MATCH($A46,'Ingredient Database'!$B:$B,0)),0))</f>
        <v>0.064</v>
      </c>
      <c r="D46" s="40" t="n">
        <f aca="false">IF($A46="",0,$B46*IFERROR(INDEX('Ingredient Database'!$G:$G,MATCH($A46,'Ingredient Database'!$B:$B,0)),0))</f>
        <v>0.544</v>
      </c>
      <c r="E46" s="40" t="n">
        <f aca="false">IF($A46="",0,$B46*IFERROR(INDEX('Ingredient Database'!$E:$E,MATCH($A46,'Ingredient Database'!$B:$B,0)),0))</f>
        <v>0.256</v>
      </c>
      <c r="F46" s="41" t="n">
        <f aca="false">IF($A46="",0,$B46*IFERROR(INDEX('Ingredient Database'!$H:$H,MATCH($A46,'Ingredient Database'!$B:$B,0)),0))</f>
        <v>1.80064</v>
      </c>
    </row>
    <row r="47" customFormat="false" ht="15" hidden="false" customHeight="false" outlineLevel="0" collapsed="false">
      <c r="A47" s="38" t="s">
        <v>166</v>
      </c>
      <c r="B47" s="39" t="n">
        <v>0.2</v>
      </c>
      <c r="C47" s="40" t="n">
        <f aca="false">IF($A47="",0,$B47*IFERROR(INDEX('Ingredient Database'!$F:$F,MATCH($A47,'Ingredient Database'!$B:$B,0)),0))</f>
        <v>0.008</v>
      </c>
      <c r="D47" s="40" t="n">
        <f aca="false">IF($A47="",0,$B47*IFERROR(INDEX('Ingredient Database'!$G:$G,MATCH($A47,'Ingredient Database'!$B:$B,0)),0))</f>
        <v>0.084</v>
      </c>
      <c r="E47" s="40" t="n">
        <f aca="false">IF($A47="",0,$B47*IFERROR(INDEX('Ingredient Database'!$E:$E,MATCH($A47,'Ingredient Database'!$B:$B,0)),0))</f>
        <v>0.18</v>
      </c>
      <c r="F47" s="41" t="n">
        <f aca="false">IF($A47="",0,$B47*IFERROR(INDEX('Ingredient Database'!$H:$H,MATCH($A47,'Ingredient Database'!$B:$B,0)),0))</f>
        <v>0.2226</v>
      </c>
    </row>
    <row r="48" customFormat="false" ht="15" hidden="false" customHeight="false" outlineLevel="0" collapsed="false">
      <c r="A48" s="38"/>
      <c r="B48" s="39"/>
      <c r="C48" s="40" t="n">
        <f aca="false">IF($A48="",0,$B48*IFERROR(INDEX('Ingredient Database'!$F:$F,MATCH($A48,'Ingredient Database'!$B:$B,0)),0))</f>
        <v>0</v>
      </c>
      <c r="D48" s="40" t="n">
        <f aca="false">IF($A48="",0,$B48*IFERROR(INDEX('Ingredient Database'!$G:$G,MATCH($A48,'Ingredient Database'!$B:$B,0)),0))</f>
        <v>0</v>
      </c>
      <c r="E48" s="40" t="n">
        <f aca="false">IF($A48="",0,$B48*IFERROR(INDEX('Ingredient Database'!$E:$E,MATCH($A48,'Ingredient Database'!$B:$B,0)),0))</f>
        <v>0</v>
      </c>
      <c r="F48" s="41" t="n">
        <f aca="false">IF($A48="",0,$B48*IFERROR(INDEX('Ingredient Database'!$H:$H,MATCH($A48,'Ingredient Database'!$B:$B,0)),0))</f>
        <v>0</v>
      </c>
    </row>
    <row r="49" customFormat="false" ht="15" hidden="false" customHeight="false" outlineLevel="0" collapsed="false">
      <c r="A49" s="38"/>
      <c r="B49" s="39"/>
      <c r="C49" s="40" t="n">
        <f aca="false">IF($A49="",0,$B49*IFERROR(INDEX('Ingredient Database'!$F:$F,MATCH($A49,'Ingredient Database'!$B:$B,0)),0))</f>
        <v>0</v>
      </c>
      <c r="D49" s="40" t="n">
        <f aca="false">IF($A49="",0,$B49*IFERROR(INDEX('Ingredient Database'!$G:$G,MATCH($A49,'Ingredient Database'!$B:$B,0)),0))</f>
        <v>0</v>
      </c>
      <c r="E49" s="40" t="n">
        <f aca="false">IF($A49="",0,$B49*IFERROR(INDEX('Ingredient Database'!$E:$E,MATCH($A49,'Ingredient Database'!$B:$B,0)),0))</f>
        <v>0</v>
      </c>
      <c r="F49" s="41" t="n">
        <f aca="false">IF($A49="",0,$B49*IFERROR(INDEX('Ingredient Database'!$H:$H,MATCH($A49,'Ingredient Database'!$B:$B,0)),0))</f>
        <v>0</v>
      </c>
    </row>
    <row r="50" customFormat="false" ht="15" hidden="false" customHeight="false" outlineLevel="0" collapsed="false">
      <c r="A50" s="38"/>
      <c r="B50" s="39"/>
      <c r="C50" s="40" t="n">
        <f aca="false">IF($A50="",0,$B50*IFERROR(INDEX('Ingredient Database'!$F:$F,MATCH($A50,'Ingredient Database'!$B:$B,0)),0))</f>
        <v>0</v>
      </c>
      <c r="D50" s="40" t="n">
        <f aca="false">IF($A50="",0,$B50*IFERROR(INDEX('Ingredient Database'!$G:$G,MATCH($A50,'Ingredient Database'!$B:$B,0)),0))</f>
        <v>0</v>
      </c>
      <c r="E50" s="40" t="n">
        <f aca="false">IF($A50="",0,$B50*IFERROR(INDEX('Ingredient Database'!$E:$E,MATCH($A50,'Ingredient Database'!$B:$B,0)),0))</f>
        <v>0</v>
      </c>
      <c r="F50" s="41" t="n">
        <f aca="false">IF($A50="",0,$B50*IFERROR(INDEX('Ingredient Database'!$H:$H,MATCH($A50,'Ingredient Database'!$B:$B,0)),0))</f>
        <v>0</v>
      </c>
    </row>
    <row r="51" customFormat="false" ht="15" hidden="false" customHeight="false" outlineLevel="0" collapsed="false">
      <c r="A51" s="38"/>
      <c r="B51" s="39"/>
      <c r="C51" s="40" t="n">
        <f aca="false">IF($A51="",0,$B51*IFERROR(INDEX('Ingredient Database'!$F:$F,MATCH($A51,'Ingredient Database'!$B:$B,0)),0))</f>
        <v>0</v>
      </c>
      <c r="D51" s="40" t="n">
        <f aca="false">IF($A51="",0,$B51*IFERROR(INDEX('Ingredient Database'!$G:$G,MATCH($A51,'Ingredient Database'!$B:$B,0)),0))</f>
        <v>0</v>
      </c>
      <c r="E51" s="40" t="n">
        <f aca="false">IF($A51="",0,$B51*IFERROR(INDEX('Ingredient Database'!$E:$E,MATCH($A51,'Ingredient Database'!$B:$B,0)),0))</f>
        <v>0</v>
      </c>
      <c r="F51" s="41" t="n">
        <f aca="false">IF($A51="",0,$B51*IFERROR(INDEX('Ingredient Database'!$H:$H,MATCH($A51,'Ingredient Database'!$B:$B,0)),0))</f>
        <v>0</v>
      </c>
    </row>
    <row r="52" customFormat="false" ht="15" hidden="false" customHeight="false" outlineLevel="0" collapsed="false">
      <c r="A52" s="5" t="s">
        <v>197</v>
      </c>
      <c r="B52" s="42" t="n">
        <f aca="false">SUM(B46:B51)</f>
        <v>1</v>
      </c>
      <c r="C52" s="42" t="n">
        <f aca="false">SUM(C46:C51)</f>
        <v>0.072</v>
      </c>
      <c r="D52" s="42" t="n">
        <f aca="false">SUM(D46:D51)</f>
        <v>0.628</v>
      </c>
      <c r="E52" s="42" t="n">
        <f aca="false">SUM(E46:E51)</f>
        <v>0.436</v>
      </c>
      <c r="F52" s="43" t="n">
        <f aca="false">SUM(F46:F51)</f>
        <v>2.02324</v>
      </c>
    </row>
    <row r="54" customFormat="false" ht="15" hidden="false" customHeight="false" outlineLevel="0" collapsed="false">
      <c r="A54" s="9" t="s">
        <v>198</v>
      </c>
      <c r="B54" s="9"/>
      <c r="C54" s="9"/>
      <c r="D54" s="9"/>
      <c r="E54" s="9"/>
    </row>
    <row r="55" customFormat="false" ht="39.55" hidden="false" customHeight="false" outlineLevel="0" collapsed="false">
      <c r="A55" s="31" t="s">
        <v>179</v>
      </c>
      <c r="B55" s="31" t="s">
        <v>199</v>
      </c>
      <c r="C55" s="31" t="s">
        <v>200</v>
      </c>
      <c r="D55" s="31" t="s">
        <v>201</v>
      </c>
      <c r="E55" s="31" t="s">
        <v>202</v>
      </c>
    </row>
    <row r="56" customFormat="false" ht="15" hidden="false" customHeight="false" outlineLevel="0" collapsed="false">
      <c r="A56" s="32" t="s">
        <v>184</v>
      </c>
      <c r="B56" s="40" t="n">
        <f aca="false">C32</f>
        <v>0.06</v>
      </c>
      <c r="C56" s="40" t="n">
        <f aca="false">D32</f>
        <v>0.55</v>
      </c>
      <c r="D56" s="40" t="n">
        <f aca="false">E32</f>
        <v>0.61</v>
      </c>
      <c r="E56" s="41" t="n">
        <f aca="false">F32</f>
        <v>1.6819</v>
      </c>
    </row>
    <row r="57" customFormat="false" ht="15" hidden="false" customHeight="false" outlineLevel="0" collapsed="false">
      <c r="A57" s="32" t="s">
        <v>185</v>
      </c>
      <c r="B57" s="40" t="n">
        <f aca="false">C42</f>
        <v>0.066</v>
      </c>
      <c r="C57" s="40" t="n">
        <f aca="false">D42</f>
        <v>0.589</v>
      </c>
      <c r="D57" s="40" t="n">
        <f aca="false">E42</f>
        <v>0.523</v>
      </c>
      <c r="E57" s="41" t="n">
        <f aca="false">F42</f>
        <v>1.85257</v>
      </c>
    </row>
    <row r="58" customFormat="false" ht="15" hidden="false" customHeight="false" outlineLevel="0" collapsed="false">
      <c r="A58" s="32" t="s">
        <v>186</v>
      </c>
      <c r="B58" s="40" t="n">
        <f aca="false">C52</f>
        <v>0.072</v>
      </c>
      <c r="C58" s="40" t="n">
        <f aca="false">D52</f>
        <v>0.628</v>
      </c>
      <c r="D58" s="40" t="n">
        <f aca="false">E52</f>
        <v>0.436</v>
      </c>
      <c r="E58" s="41" t="n">
        <f aca="false">F52</f>
        <v>2.02324</v>
      </c>
    </row>
    <row r="60" customFormat="false" ht="15" hidden="false" customHeight="false" outlineLevel="0" collapsed="false">
      <c r="A60" s="9" t="s">
        <v>203</v>
      </c>
      <c r="B60" s="9"/>
      <c r="C60" s="9"/>
      <c r="D60" s="9"/>
      <c r="E60" s="9"/>
      <c r="F60" s="9"/>
      <c r="G60" s="9"/>
      <c r="H60" s="9"/>
      <c r="I60" s="9"/>
      <c r="J60" s="9"/>
    </row>
    <row r="61" customFormat="false" ht="26.85" hidden="false" customHeight="false" outlineLevel="0" collapsed="false">
      <c r="A61" s="31" t="s">
        <v>179</v>
      </c>
      <c r="B61" s="31" t="s">
        <v>204</v>
      </c>
      <c r="C61" s="31" t="s">
        <v>205</v>
      </c>
      <c r="D61" s="31" t="s">
        <v>206</v>
      </c>
      <c r="E61" s="31" t="s">
        <v>207</v>
      </c>
      <c r="F61" s="31" t="s">
        <v>208</v>
      </c>
      <c r="G61" s="31" t="s">
        <v>209</v>
      </c>
      <c r="H61" s="31" t="s">
        <v>210</v>
      </c>
      <c r="I61" s="31" t="s">
        <v>211</v>
      </c>
      <c r="J61" s="31" t="s">
        <v>212</v>
      </c>
    </row>
    <row r="62" customFormat="false" ht="15" hidden="false" customHeight="false" outlineLevel="0" collapsed="false">
      <c r="A62" s="45" t="str">
        <f aca="false">A5</f>
        <v>Phase 1 - Adaptation</v>
      </c>
      <c r="B62" s="40" t="n">
        <f aca="false">D5</f>
        <v>0.45</v>
      </c>
      <c r="C62" s="40" t="n">
        <f aca="false">E5</f>
        <v>0.55</v>
      </c>
      <c r="D62" s="46" t="n">
        <f aca="false">B62*$C$21+C62*B56</f>
        <v>0.10734</v>
      </c>
      <c r="E62" s="46" t="n">
        <f aca="false">B62*$D$21+C62*C56</f>
        <v>0.61354</v>
      </c>
      <c r="F62" s="46" t="n">
        <f aca="false">B62*$E$21+C62*D56</f>
        <v>0.73366</v>
      </c>
      <c r="G62" s="34" t="n">
        <f aca="false">B62*$F$21+C62*E56</f>
        <v>2.0510098</v>
      </c>
      <c r="H62" s="39" t="n">
        <v>0.11</v>
      </c>
      <c r="I62" s="39" t="n">
        <v>0.61</v>
      </c>
      <c r="J62" s="47" t="str">
        <f aca="false">IF(AND(D62&gt;=H62*0.95,E62&gt;=I62*0.95),"OK - Target Met","Adjust Blend")</f>
        <v>OK - Target Met</v>
      </c>
    </row>
    <row r="63" customFormat="false" ht="15" hidden="false" customHeight="false" outlineLevel="0" collapsed="false">
      <c r="A63" s="45" t="str">
        <f aca="false">A6</f>
        <v>Phase 2 - Growth</v>
      </c>
      <c r="B63" s="40" t="n">
        <f aca="false">D6</f>
        <v>0.6</v>
      </c>
      <c r="C63" s="40" t="n">
        <f aca="false">E6</f>
        <v>0.4</v>
      </c>
      <c r="D63" s="46" t="n">
        <f aca="false">B63*$C$21+C63*B57</f>
        <v>0.12552</v>
      </c>
      <c r="E63" s="46" t="n">
        <f aca="false">B63*$D$21+C63*C57</f>
        <v>0.65032</v>
      </c>
      <c r="F63" s="46" t="n">
        <f aca="false">B63*$E$21+C63*D57</f>
        <v>0.74008</v>
      </c>
      <c r="G63" s="34" t="n">
        <f aca="false">B63*$F$21+C63*E57</f>
        <v>2.2423144</v>
      </c>
      <c r="H63" s="39" t="n">
        <v>0.125</v>
      </c>
      <c r="I63" s="39" t="n">
        <v>0.65</v>
      </c>
      <c r="J63" s="47" t="str">
        <f aca="false">IF(AND(D63&gt;=H63*0.95,E63&gt;=I63*0.95),"OK - Target Met","Adjust Blend")</f>
        <v>OK - Target Met</v>
      </c>
    </row>
    <row r="64" customFormat="false" ht="15" hidden="false" customHeight="false" outlineLevel="0" collapsed="false">
      <c r="A64" s="45" t="str">
        <f aca="false">A7</f>
        <v>Phase 3 - Finishing</v>
      </c>
      <c r="B64" s="40" t="n">
        <f aca="false">D7</f>
        <v>0.75</v>
      </c>
      <c r="C64" s="40" t="n">
        <f aca="false">E7</f>
        <v>0.25</v>
      </c>
      <c r="D64" s="46" t="n">
        <f aca="false">B64*$C$21+C64*B58</f>
        <v>0.1419</v>
      </c>
      <c r="E64" s="46" t="n">
        <f aca="false">B64*$D$21+C64*C58</f>
        <v>0.6754</v>
      </c>
      <c r="F64" s="46" t="n">
        <f aca="false">B64*$E$21+C64*D58</f>
        <v>0.7726</v>
      </c>
      <c r="G64" s="34" t="n">
        <f aca="false">B64*$F$21+C64*E58</f>
        <v>2.382418</v>
      </c>
      <c r="H64" s="39" t="n">
        <v>0.14</v>
      </c>
      <c r="I64" s="39" t="n">
        <v>0.675</v>
      </c>
      <c r="J64" s="47" t="str">
        <f aca="false">IF(AND(D64&gt;=H64*0.95,E64&gt;=I64*0.95),"OK - Target Met","Adjust Blend")</f>
        <v>OK - Target Met</v>
      </c>
    </row>
    <row r="65" customFormat="false" ht="15" hidden="false" customHeight="false" outlineLevel="0" collapsed="false">
      <c r="A65" s="48" t="s">
        <v>213</v>
      </c>
      <c r="B65" s="48"/>
      <c r="C65" s="48"/>
      <c r="D65" s="48"/>
      <c r="E65" s="48"/>
      <c r="F65" s="48"/>
      <c r="G65" s="48"/>
      <c r="H65" s="48"/>
      <c r="I65" s="48"/>
      <c r="J65" s="48"/>
    </row>
  </sheetData>
  <mergeCells count="10">
    <mergeCell ref="A1:J1"/>
    <mergeCell ref="A3:E3"/>
    <mergeCell ref="A9:F9"/>
    <mergeCell ref="A23:F23"/>
    <mergeCell ref="A24:F24"/>
    <mergeCell ref="A34:F34"/>
    <mergeCell ref="A44:F44"/>
    <mergeCell ref="A54:E54"/>
    <mergeCell ref="A60:J60"/>
    <mergeCell ref="A65:J65"/>
  </mergeCells>
  <conditionalFormatting sqref="B21">
    <cfRule type="expression" priority="2" aboveAverage="0" equalAverage="0" bottom="0" percent="0" rank="0" text="" dxfId="0">
      <formula>ABS(B21-1)&gt;0.01</formula>
    </cfRule>
  </conditionalFormatting>
  <conditionalFormatting sqref="B32">
    <cfRule type="expression" priority="3" aboveAverage="0" equalAverage="0" bottom="0" percent="0" rank="0" text="" dxfId="0">
      <formula>ABS(B32-1)&gt;0.01</formula>
    </cfRule>
  </conditionalFormatting>
  <conditionalFormatting sqref="B42">
    <cfRule type="expression" priority="4" aboveAverage="0" equalAverage="0" bottom="0" percent="0" rank="0" text="" dxfId="0">
      <formula>ABS(B42-1)&gt;0.01</formula>
    </cfRule>
  </conditionalFormatting>
  <conditionalFormatting sqref="B52">
    <cfRule type="expression" priority="5" aboveAverage="0" equalAverage="0" bottom="0" percent="0" rank="0" text="" dxfId="0">
      <formula>ABS(B52-1)&gt;0.01</formula>
    </cfRule>
  </conditionalFormatting>
  <dataValidations count="2">
    <dataValidation allowBlank="true" errorStyle="stop" operator="between" showDropDown="false" showErrorMessage="false" showInputMessage="false" sqref="A11:A20" type="list">
      <formula1>'Ingredient Database'!$B$4:$B$33</formula1>
      <formula2>0</formula2>
    </dataValidation>
    <dataValidation allowBlank="true" errorStyle="stop" operator="between" showDropDown="false" showErrorMessage="false" showInputMessage="false" sqref="A26:A31 A36:A41 A46:A51" type="list">
      <formula1>'Ingredient Database'!$B$34:$B$59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3" min="21" style="0" width="9"/>
  </cols>
  <sheetData>
    <row r="1" customFormat="false" ht="17.35" hidden="false" customHeight="false" outlineLevel="0" collapsed="false">
      <c r="A1" s="30" t="s">
        <v>214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customFormat="false" ht="15" hidden="false" customHeight="false" outlineLevel="0" collapsed="false">
      <c r="A2" s="48" t="s">
        <v>215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4" customFormat="false" ht="39.55" hidden="false" customHeight="false" outlineLevel="0" collapsed="false">
      <c r="A4" s="31" t="s">
        <v>216</v>
      </c>
      <c r="B4" s="31" t="s">
        <v>217</v>
      </c>
      <c r="C4" s="31" t="s">
        <v>218</v>
      </c>
      <c r="D4" s="31" t="s">
        <v>219</v>
      </c>
      <c r="E4" s="31" t="s">
        <v>220</v>
      </c>
      <c r="F4" s="31" t="s">
        <v>221</v>
      </c>
      <c r="G4" s="31" t="s">
        <v>222</v>
      </c>
      <c r="H4" s="31" t="s">
        <v>223</v>
      </c>
      <c r="I4" s="31" t="s">
        <v>224</v>
      </c>
      <c r="J4" s="31" t="s">
        <v>225</v>
      </c>
      <c r="K4" s="31" t="s">
        <v>226</v>
      </c>
      <c r="L4" s="31" t="s">
        <v>227</v>
      </c>
      <c r="M4" s="31" t="s">
        <v>228</v>
      </c>
      <c r="N4" s="31" t="s">
        <v>229</v>
      </c>
      <c r="O4" s="31" t="s">
        <v>230</v>
      </c>
      <c r="P4" s="31" t="s">
        <v>231</v>
      </c>
      <c r="Q4" s="31" t="s">
        <v>212</v>
      </c>
      <c r="R4" s="31" t="s">
        <v>232</v>
      </c>
      <c r="S4" s="31" t="s">
        <v>233</v>
      </c>
      <c r="T4" s="31" t="s">
        <v>234</v>
      </c>
      <c r="U4" s="27" t="s">
        <v>235</v>
      </c>
      <c r="V4" s="27" t="s">
        <v>236</v>
      </c>
      <c r="W4" s="27" t="s">
        <v>237</v>
      </c>
    </row>
    <row r="5" customFormat="false" ht="15" hidden="false" customHeight="false" outlineLevel="0" collapsed="false">
      <c r="A5" s="38" t="s">
        <v>238</v>
      </c>
      <c r="B5" s="38" t="s">
        <v>239</v>
      </c>
      <c r="C5" s="38" t="s">
        <v>240</v>
      </c>
      <c r="D5" s="38" t="s">
        <v>241</v>
      </c>
      <c r="E5" s="38" t="s">
        <v>242</v>
      </c>
      <c r="F5" s="49" t="n">
        <v>46240</v>
      </c>
      <c r="G5" s="38"/>
      <c r="H5" s="38"/>
      <c r="I5" s="50" t="n">
        <v>212</v>
      </c>
      <c r="J5" s="50" t="n">
        <v>48000</v>
      </c>
      <c r="K5" s="51" t="n">
        <v>46240</v>
      </c>
      <c r="L5" s="50" t="n">
        <v>100</v>
      </c>
      <c r="M5" s="50" t="n">
        <v>1150</v>
      </c>
      <c r="N5" s="52" t="n">
        <f aca="false">IF(OR($K5="",$L5=""),"",$K5+$L5)</f>
        <v>46340</v>
      </c>
      <c r="O5" s="47" t="n">
        <f aca="true">IF(OR($K5="",$L5=""),"",IF($Q5="Sold",$L5,MIN($L5,MAX(0,TODAY()-$K5))))</f>
        <v>9</v>
      </c>
      <c r="P5" s="47" t="str">
        <f aca="false">IF(OR($K5="",$L5=""),"",IF(O5&lt;=$L5*0.33,"Phase 1 - Adaptation",IF(O5&lt;=$L5*0.66,"Phase 2 - Growth","Phase 3 - Finishing")))</f>
        <v>Phase 1 - Adaptation</v>
      </c>
      <c r="Q5" s="38" t="s">
        <v>243</v>
      </c>
      <c r="R5" s="32" t="s">
        <v>244</v>
      </c>
      <c r="S5" s="53" t="n">
        <f aca="false">IF($A5="","",IF(SUMPRODUCT(MAX(('Weight Log'!$A$5:$A$154=$A5)*('Weight Log'!$C$5:$C$154)))=0,$I5,SUMPRODUCT(MAX(('Weight Log'!$A$5:$A$154=$A5)*('Weight Log'!$C$5:$C$154)))))</f>
        <v>212</v>
      </c>
      <c r="T5" s="53" t="n">
        <f aca="false">IF($A5="","",S5-I5)</f>
        <v>0</v>
      </c>
      <c r="U5" s="54" t="str">
        <f aca="false">IF($B5="Qurbani",COUNTIF($B$5:$B5,"Qurbani"),"")</f>
        <v/>
      </c>
      <c r="V5" s="54" t="str">
        <f aca="false">IF($B5="Dairy",COUNTIF($B$5:$B5,"Dairy"),"")</f>
        <v/>
      </c>
      <c r="W5" s="54" t="str">
        <f aca="false">IF($B5="Breeding Stock",COUNTIF($B$5:$B5,"Breeding Stock"),"")</f>
        <v/>
      </c>
    </row>
    <row r="6" customFormat="false" ht="15" hidden="false" customHeight="false" outlineLevel="0" collapsed="false">
      <c r="A6" s="38"/>
      <c r="B6" s="38"/>
      <c r="C6" s="38"/>
      <c r="D6" s="38"/>
      <c r="E6" s="38"/>
      <c r="F6" s="49"/>
      <c r="G6" s="38"/>
      <c r="H6" s="38"/>
      <c r="I6" s="50"/>
      <c r="J6" s="50"/>
      <c r="K6" s="51"/>
      <c r="L6" s="50"/>
      <c r="M6" s="50"/>
      <c r="N6" s="52" t="str">
        <f aca="false">IF(OR($K6="",$L6=""),"",$K6+$L6)</f>
        <v/>
      </c>
      <c r="O6" s="47" t="str">
        <f aca="true">IF(OR($K6="",$L6=""),"",IF($Q6="Sold",$L6,MIN($L6,MAX(0,TODAY()-$K6))))</f>
        <v/>
      </c>
      <c r="P6" s="47" t="str">
        <f aca="false">IF(OR($K6="",$L6=""),"",IF(O6&lt;=$L6*0.33,"Phase 1 - Adaptation",IF(O6&lt;=$L6*0.66,"Phase 2 - Growth","Phase 3 - Finishing")))</f>
        <v/>
      </c>
      <c r="Q6" s="38"/>
      <c r="R6" s="32"/>
      <c r="S6" s="53" t="str">
        <f aca="false">IF($A6="","",IF(SUMPRODUCT(MAX(('Weight Log'!$A$5:$A$154=$A6)*('Weight Log'!$C$5:$C$154)))=0,$I6,SUMPRODUCT(MAX(('Weight Log'!$A$5:$A$154=$A6)*('Weight Log'!$C$5:$C$154)))))</f>
        <v/>
      </c>
      <c r="T6" s="53" t="str">
        <f aca="false">IF($A6="","",S6-I6)</f>
        <v/>
      </c>
      <c r="U6" s="54" t="str">
        <f aca="false">IF($B6="Qurbani",COUNTIF($B$5:$B6,"Qurbani"),"")</f>
        <v/>
      </c>
      <c r="V6" s="54" t="str">
        <f aca="false">IF($B6="Dairy",COUNTIF($B$5:$B6,"Dairy"),"")</f>
        <v/>
      </c>
      <c r="W6" s="54" t="str">
        <f aca="false">IF($B6="Breeding Stock",COUNTIF($B$5:$B6,"Breeding Stock"),"")</f>
        <v/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49"/>
      <c r="G7" s="38"/>
      <c r="H7" s="38"/>
      <c r="I7" s="50"/>
      <c r="J7" s="50"/>
      <c r="K7" s="51"/>
      <c r="L7" s="50"/>
      <c r="M7" s="50"/>
      <c r="N7" s="52" t="str">
        <f aca="false">IF(OR($K7="",$L7=""),"",$K7+$L7)</f>
        <v/>
      </c>
      <c r="O7" s="47" t="str">
        <f aca="true">IF(OR($K7="",$L7=""),"",IF($Q7="Sold",$L7,MIN($L7,MAX(0,TODAY()-$K7))))</f>
        <v/>
      </c>
      <c r="P7" s="47" t="str">
        <f aca="false">IF(OR($K7="",$L7=""),"",IF(O7&lt;=$L7*0.33,"Phase 1 - Adaptation",IF(O7&lt;=$L7*0.66,"Phase 2 - Growth","Phase 3 - Finishing")))</f>
        <v/>
      </c>
      <c r="Q7" s="38"/>
      <c r="R7" s="32"/>
      <c r="S7" s="53" t="str">
        <f aca="false">IF($A7="","",IF(SUMPRODUCT(MAX(('Weight Log'!$A$5:$A$154=$A7)*('Weight Log'!$C$5:$C$154)))=0,$I7,SUMPRODUCT(MAX(('Weight Log'!$A$5:$A$154=$A7)*('Weight Log'!$C$5:$C$154)))))</f>
        <v/>
      </c>
      <c r="T7" s="53" t="str">
        <f aca="false">IF($A7="","",S7-I7)</f>
        <v/>
      </c>
      <c r="U7" s="54" t="str">
        <f aca="false">IF($B7="Qurbani",COUNTIF($B$5:$B7,"Qurbani"),"")</f>
        <v/>
      </c>
      <c r="V7" s="54" t="str">
        <f aca="false">IF($B7="Dairy",COUNTIF($B$5:$B7,"Dairy"),"")</f>
        <v/>
      </c>
      <c r="W7" s="54" t="str">
        <f aca="false">IF($B7="Breeding Stock",COUNTIF($B$5:$B7,"Breeding Stock"),"")</f>
        <v/>
      </c>
    </row>
    <row r="8" customFormat="false" ht="15" hidden="false" customHeight="false" outlineLevel="0" collapsed="false">
      <c r="A8" s="38"/>
      <c r="B8" s="38"/>
      <c r="C8" s="38"/>
      <c r="D8" s="38"/>
      <c r="E8" s="38"/>
      <c r="F8" s="49"/>
      <c r="G8" s="38"/>
      <c r="H8" s="38"/>
      <c r="I8" s="50"/>
      <c r="J8" s="50"/>
      <c r="K8" s="51"/>
      <c r="L8" s="50"/>
      <c r="M8" s="50"/>
      <c r="N8" s="52" t="str">
        <f aca="false">IF(OR($K8="",$L8=""),"",$K8+$L8)</f>
        <v/>
      </c>
      <c r="O8" s="47" t="str">
        <f aca="true">IF(OR($K8="",$L8=""),"",IF($Q8="Sold",$L8,MIN($L8,MAX(0,TODAY()-$K8))))</f>
        <v/>
      </c>
      <c r="P8" s="47" t="str">
        <f aca="false">IF(OR($K8="",$L8=""),"",IF(O8&lt;=$L8*0.33,"Phase 1 - Adaptation",IF(O8&lt;=$L8*0.66,"Phase 2 - Growth","Phase 3 - Finishing")))</f>
        <v/>
      </c>
      <c r="Q8" s="38"/>
      <c r="R8" s="32"/>
      <c r="S8" s="53" t="str">
        <f aca="false">IF($A8="","",IF(SUMPRODUCT(MAX(('Weight Log'!$A$5:$A$154=$A8)*('Weight Log'!$C$5:$C$154)))=0,$I8,SUMPRODUCT(MAX(('Weight Log'!$A$5:$A$154=$A8)*('Weight Log'!$C$5:$C$154)))))</f>
        <v/>
      </c>
      <c r="T8" s="53" t="str">
        <f aca="false">IF($A8="","",S8-I8)</f>
        <v/>
      </c>
      <c r="U8" s="54" t="str">
        <f aca="false">IF($B8="Qurbani",COUNTIF($B$5:$B8,"Qurbani"),"")</f>
        <v/>
      </c>
      <c r="V8" s="54" t="str">
        <f aca="false">IF($B8="Dairy",COUNTIF($B$5:$B8,"Dairy"),"")</f>
        <v/>
      </c>
      <c r="W8" s="54" t="str">
        <f aca="false">IF($B8="Breeding Stock",COUNTIF($B$5:$B8,"Breeding Stock"),"")</f>
        <v/>
      </c>
    </row>
    <row r="9" customFormat="false" ht="15" hidden="false" customHeight="false" outlineLevel="0" collapsed="false">
      <c r="A9" s="38"/>
      <c r="B9" s="38"/>
      <c r="C9" s="38"/>
      <c r="D9" s="38"/>
      <c r="E9" s="38"/>
      <c r="F9" s="49"/>
      <c r="G9" s="38"/>
      <c r="H9" s="38"/>
      <c r="I9" s="50"/>
      <c r="J9" s="50"/>
      <c r="K9" s="51"/>
      <c r="L9" s="50"/>
      <c r="M9" s="50"/>
      <c r="N9" s="52" t="str">
        <f aca="false">IF(OR($K9="",$L9=""),"",$K9+$L9)</f>
        <v/>
      </c>
      <c r="O9" s="47" t="str">
        <f aca="true">IF(OR($K9="",$L9=""),"",IF($Q9="Sold",$L9,MIN($L9,MAX(0,TODAY()-$K9))))</f>
        <v/>
      </c>
      <c r="P9" s="47" t="str">
        <f aca="false">IF(OR($K9="",$L9=""),"",IF(O9&lt;=$L9*0.33,"Phase 1 - Adaptation",IF(O9&lt;=$L9*0.66,"Phase 2 - Growth","Phase 3 - Finishing")))</f>
        <v/>
      </c>
      <c r="Q9" s="38"/>
      <c r="R9" s="32"/>
      <c r="S9" s="53" t="str">
        <f aca="false">IF($A9="","",IF(SUMPRODUCT(MAX(('Weight Log'!$A$5:$A$154=$A9)*('Weight Log'!$C$5:$C$154)))=0,$I9,SUMPRODUCT(MAX(('Weight Log'!$A$5:$A$154=$A9)*('Weight Log'!$C$5:$C$154)))))</f>
        <v/>
      </c>
      <c r="T9" s="53" t="str">
        <f aca="false">IF($A9="","",S9-I9)</f>
        <v/>
      </c>
      <c r="U9" s="54" t="str">
        <f aca="false">IF($B9="Qurbani",COUNTIF($B$5:$B9,"Qurbani"),"")</f>
        <v/>
      </c>
      <c r="V9" s="54" t="str">
        <f aca="false">IF($B9="Dairy",COUNTIF($B$5:$B9,"Dairy"),"")</f>
        <v/>
      </c>
      <c r="W9" s="54" t="str">
        <f aca="false">IF($B9="Breeding Stock",COUNTIF($B$5:$B9,"Breeding Stock"),"")</f>
        <v/>
      </c>
    </row>
    <row r="10" customFormat="false" ht="15" hidden="false" customHeight="false" outlineLevel="0" collapsed="false">
      <c r="A10" s="38"/>
      <c r="B10" s="38"/>
      <c r="C10" s="38"/>
      <c r="D10" s="38"/>
      <c r="E10" s="38"/>
      <c r="F10" s="49"/>
      <c r="G10" s="38"/>
      <c r="H10" s="38"/>
      <c r="I10" s="50"/>
      <c r="J10" s="50"/>
      <c r="K10" s="51"/>
      <c r="L10" s="50"/>
      <c r="M10" s="50"/>
      <c r="N10" s="52" t="str">
        <f aca="false">IF(OR($K10="",$L10=""),"",$K10+$L10)</f>
        <v/>
      </c>
      <c r="O10" s="47" t="str">
        <f aca="true">IF(OR($K10="",$L10=""),"",IF($Q10="Sold",$L10,MIN($L10,MAX(0,TODAY()-$K10))))</f>
        <v/>
      </c>
      <c r="P10" s="47" t="str">
        <f aca="false">IF(OR($K10="",$L10=""),"",IF(O10&lt;=$L10*0.33,"Phase 1 - Adaptation",IF(O10&lt;=$L10*0.66,"Phase 2 - Growth","Phase 3 - Finishing")))</f>
        <v/>
      </c>
      <c r="Q10" s="38"/>
      <c r="R10" s="32"/>
      <c r="S10" s="53" t="str">
        <f aca="false">IF($A10="","",IF(SUMPRODUCT(MAX(('Weight Log'!$A$5:$A$154=$A10)*('Weight Log'!$C$5:$C$154)))=0,$I10,SUMPRODUCT(MAX(('Weight Log'!$A$5:$A$154=$A10)*('Weight Log'!$C$5:$C$154)))))</f>
        <v/>
      </c>
      <c r="T10" s="53" t="str">
        <f aca="false">IF($A10="","",S10-I10)</f>
        <v/>
      </c>
      <c r="U10" s="54" t="str">
        <f aca="false">IF($B10="Qurbani",COUNTIF($B$5:$B10,"Qurbani"),"")</f>
        <v/>
      </c>
      <c r="V10" s="54" t="str">
        <f aca="false">IF($B10="Dairy",COUNTIF($B$5:$B10,"Dairy"),"")</f>
        <v/>
      </c>
      <c r="W10" s="54" t="str">
        <f aca="false">IF($B10="Breeding Stock",COUNTIF($B$5:$B10,"Breeding Stock"),"")</f>
        <v/>
      </c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49"/>
      <c r="G11" s="38"/>
      <c r="H11" s="38"/>
      <c r="I11" s="50"/>
      <c r="J11" s="50"/>
      <c r="K11" s="51"/>
      <c r="L11" s="50"/>
      <c r="M11" s="50"/>
      <c r="N11" s="52" t="str">
        <f aca="false">IF(OR($K11="",$L11=""),"",$K11+$L11)</f>
        <v/>
      </c>
      <c r="O11" s="47" t="str">
        <f aca="true">IF(OR($K11="",$L11=""),"",IF($Q11="Sold",$L11,MIN($L11,MAX(0,TODAY()-$K11))))</f>
        <v/>
      </c>
      <c r="P11" s="47" t="str">
        <f aca="false">IF(OR($K11="",$L11=""),"",IF(O11&lt;=$L11*0.33,"Phase 1 - Adaptation",IF(O11&lt;=$L11*0.66,"Phase 2 - Growth","Phase 3 - Finishing")))</f>
        <v/>
      </c>
      <c r="Q11" s="38"/>
      <c r="R11" s="32"/>
      <c r="S11" s="53" t="str">
        <f aca="false">IF($A11="","",IF(SUMPRODUCT(MAX(('Weight Log'!$A$5:$A$154=$A11)*('Weight Log'!$C$5:$C$154)))=0,$I11,SUMPRODUCT(MAX(('Weight Log'!$A$5:$A$154=$A11)*('Weight Log'!$C$5:$C$154)))))</f>
        <v/>
      </c>
      <c r="T11" s="53" t="str">
        <f aca="false">IF($A11="","",S11-I11)</f>
        <v/>
      </c>
      <c r="U11" s="54" t="str">
        <f aca="false">IF($B11="Qurbani",COUNTIF($B$5:$B11,"Qurbani"),"")</f>
        <v/>
      </c>
      <c r="V11" s="54" t="str">
        <f aca="false">IF($B11="Dairy",COUNTIF($B$5:$B11,"Dairy"),"")</f>
        <v/>
      </c>
      <c r="W11" s="54" t="str">
        <f aca="false">IF($B11="Breeding Stock",COUNTIF($B$5:$B11,"Breeding Stock"),"")</f>
        <v/>
      </c>
    </row>
    <row r="12" customFormat="false" ht="15" hidden="false" customHeight="false" outlineLevel="0" collapsed="false">
      <c r="A12" s="38"/>
      <c r="B12" s="38"/>
      <c r="C12" s="38"/>
      <c r="D12" s="38"/>
      <c r="E12" s="38"/>
      <c r="F12" s="49"/>
      <c r="G12" s="38"/>
      <c r="H12" s="38"/>
      <c r="I12" s="50"/>
      <c r="J12" s="50"/>
      <c r="K12" s="51"/>
      <c r="L12" s="50"/>
      <c r="M12" s="50"/>
      <c r="N12" s="52" t="str">
        <f aca="false">IF(OR($K12="",$L12=""),"",$K12+$L12)</f>
        <v/>
      </c>
      <c r="O12" s="47" t="str">
        <f aca="true">IF(OR($K12="",$L12=""),"",IF($Q12="Sold",$L12,MIN($L12,MAX(0,TODAY()-$K12))))</f>
        <v/>
      </c>
      <c r="P12" s="47" t="str">
        <f aca="false">IF(OR($K12="",$L12=""),"",IF(O12&lt;=$L12*0.33,"Phase 1 - Adaptation",IF(O12&lt;=$L12*0.66,"Phase 2 - Growth","Phase 3 - Finishing")))</f>
        <v/>
      </c>
      <c r="Q12" s="38"/>
      <c r="R12" s="32"/>
      <c r="S12" s="53" t="str">
        <f aca="false">IF($A12="","",IF(SUMPRODUCT(MAX(('Weight Log'!$A$5:$A$154=$A12)*('Weight Log'!$C$5:$C$154)))=0,$I12,SUMPRODUCT(MAX(('Weight Log'!$A$5:$A$154=$A12)*('Weight Log'!$C$5:$C$154)))))</f>
        <v/>
      </c>
      <c r="T12" s="53" t="str">
        <f aca="false">IF($A12="","",S12-I12)</f>
        <v/>
      </c>
      <c r="U12" s="54" t="str">
        <f aca="false">IF($B12="Qurbani",COUNTIF($B$5:$B12,"Qurbani"),"")</f>
        <v/>
      </c>
      <c r="V12" s="54" t="str">
        <f aca="false">IF($B12="Dairy",COUNTIF($B$5:$B12,"Dairy"),"")</f>
        <v/>
      </c>
      <c r="W12" s="54" t="str">
        <f aca="false">IF($B12="Breeding Stock",COUNTIF($B$5:$B12,"Breeding Stock"),"")</f>
        <v/>
      </c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49"/>
      <c r="G13" s="38"/>
      <c r="H13" s="38"/>
      <c r="I13" s="50"/>
      <c r="J13" s="50"/>
      <c r="K13" s="51"/>
      <c r="L13" s="50"/>
      <c r="M13" s="50"/>
      <c r="N13" s="52" t="str">
        <f aca="false">IF(OR($K13="",$L13=""),"",$K13+$L13)</f>
        <v/>
      </c>
      <c r="O13" s="47" t="str">
        <f aca="true">IF(OR($K13="",$L13=""),"",IF($Q13="Sold",$L13,MIN($L13,MAX(0,TODAY()-$K13))))</f>
        <v/>
      </c>
      <c r="P13" s="47" t="str">
        <f aca="false">IF(OR($K13="",$L13=""),"",IF(O13&lt;=$L13*0.33,"Phase 1 - Adaptation",IF(O13&lt;=$L13*0.66,"Phase 2 - Growth","Phase 3 - Finishing")))</f>
        <v/>
      </c>
      <c r="Q13" s="38"/>
      <c r="R13" s="32"/>
      <c r="S13" s="53" t="str">
        <f aca="false">IF($A13="","",IF(SUMPRODUCT(MAX(('Weight Log'!$A$5:$A$154=$A13)*('Weight Log'!$C$5:$C$154)))=0,$I13,SUMPRODUCT(MAX(('Weight Log'!$A$5:$A$154=$A13)*('Weight Log'!$C$5:$C$154)))))</f>
        <v/>
      </c>
      <c r="T13" s="53" t="str">
        <f aca="false">IF($A13="","",S13-I13)</f>
        <v/>
      </c>
      <c r="U13" s="54" t="str">
        <f aca="false">IF($B13="Qurbani",COUNTIF($B$5:$B13,"Qurbani"),"")</f>
        <v/>
      </c>
      <c r="V13" s="54" t="str">
        <f aca="false">IF($B13="Dairy",COUNTIF($B$5:$B13,"Dairy"),"")</f>
        <v/>
      </c>
      <c r="W13" s="54" t="str">
        <f aca="false">IF($B13="Breeding Stock",COUNTIF($B$5:$B13,"Breeding Stock"),"")</f>
        <v/>
      </c>
    </row>
    <row r="14" customFormat="false" ht="15" hidden="false" customHeight="false" outlineLevel="0" collapsed="false">
      <c r="A14" s="38"/>
      <c r="B14" s="38"/>
      <c r="C14" s="38"/>
      <c r="D14" s="38"/>
      <c r="E14" s="38"/>
      <c r="F14" s="49"/>
      <c r="G14" s="38"/>
      <c r="H14" s="38"/>
      <c r="I14" s="50"/>
      <c r="J14" s="50"/>
      <c r="K14" s="51"/>
      <c r="L14" s="50"/>
      <c r="M14" s="50"/>
      <c r="N14" s="52" t="str">
        <f aca="false">IF(OR($K14="",$L14=""),"",$K14+$L14)</f>
        <v/>
      </c>
      <c r="O14" s="47" t="str">
        <f aca="true">IF(OR($K14="",$L14=""),"",IF($Q14="Sold",$L14,MIN($L14,MAX(0,TODAY()-$K14))))</f>
        <v/>
      </c>
      <c r="P14" s="47" t="str">
        <f aca="false">IF(OR($K14="",$L14=""),"",IF(O14&lt;=$L14*0.33,"Phase 1 - Adaptation",IF(O14&lt;=$L14*0.66,"Phase 2 - Growth","Phase 3 - Finishing")))</f>
        <v/>
      </c>
      <c r="Q14" s="38"/>
      <c r="R14" s="32"/>
      <c r="S14" s="53" t="str">
        <f aca="false">IF($A14="","",IF(SUMPRODUCT(MAX(('Weight Log'!$A$5:$A$154=$A14)*('Weight Log'!$C$5:$C$154)))=0,$I14,SUMPRODUCT(MAX(('Weight Log'!$A$5:$A$154=$A14)*('Weight Log'!$C$5:$C$154)))))</f>
        <v/>
      </c>
      <c r="T14" s="53" t="str">
        <f aca="false">IF($A14="","",S14-I14)</f>
        <v/>
      </c>
      <c r="U14" s="54" t="str">
        <f aca="false">IF($B14="Qurbani",COUNTIF($B$5:$B14,"Qurbani"),"")</f>
        <v/>
      </c>
      <c r="V14" s="54" t="str">
        <f aca="false">IF($B14="Dairy",COUNTIF($B$5:$B14,"Dairy"),"")</f>
        <v/>
      </c>
      <c r="W14" s="54" t="str">
        <f aca="false">IF($B14="Breeding Stock",COUNTIF($B$5:$B14,"Breeding Stock"),"")</f>
        <v/>
      </c>
    </row>
    <row r="15" customFormat="false" ht="15" hidden="false" customHeight="false" outlineLevel="0" collapsed="false">
      <c r="A15" s="38"/>
      <c r="B15" s="38"/>
      <c r="C15" s="38"/>
      <c r="D15" s="38"/>
      <c r="E15" s="38"/>
      <c r="F15" s="49"/>
      <c r="G15" s="38"/>
      <c r="H15" s="38"/>
      <c r="I15" s="50"/>
      <c r="J15" s="50"/>
      <c r="K15" s="51"/>
      <c r="L15" s="50"/>
      <c r="M15" s="50"/>
      <c r="N15" s="52" t="str">
        <f aca="false">IF(OR($K15="",$L15=""),"",$K15+$L15)</f>
        <v/>
      </c>
      <c r="O15" s="47" t="str">
        <f aca="true">IF(OR($K15="",$L15=""),"",IF($Q15="Sold",$L15,MIN($L15,MAX(0,TODAY()-$K15))))</f>
        <v/>
      </c>
      <c r="P15" s="47" t="str">
        <f aca="false">IF(OR($K15="",$L15=""),"",IF(O15&lt;=$L15*0.33,"Phase 1 - Adaptation",IF(O15&lt;=$L15*0.66,"Phase 2 - Growth","Phase 3 - Finishing")))</f>
        <v/>
      </c>
      <c r="Q15" s="38"/>
      <c r="R15" s="32"/>
      <c r="S15" s="53" t="str">
        <f aca="false">IF($A15="","",IF(SUMPRODUCT(MAX(('Weight Log'!$A$5:$A$154=$A15)*('Weight Log'!$C$5:$C$154)))=0,$I15,SUMPRODUCT(MAX(('Weight Log'!$A$5:$A$154=$A15)*('Weight Log'!$C$5:$C$154)))))</f>
        <v/>
      </c>
      <c r="T15" s="53" t="str">
        <f aca="false">IF($A15="","",S15-I15)</f>
        <v/>
      </c>
      <c r="U15" s="54" t="str">
        <f aca="false">IF($B15="Qurbani",COUNTIF($B$5:$B15,"Qurbani"),"")</f>
        <v/>
      </c>
      <c r="V15" s="54" t="str">
        <f aca="false">IF($B15="Dairy",COUNTIF($B$5:$B15,"Dairy"),"")</f>
        <v/>
      </c>
      <c r="W15" s="54" t="str">
        <f aca="false">IF($B15="Breeding Stock",COUNTIF($B$5:$B15,"Breeding Stock"),"")</f>
        <v/>
      </c>
    </row>
    <row r="16" customFormat="false" ht="15" hidden="false" customHeight="false" outlineLevel="0" collapsed="false">
      <c r="A16" s="38"/>
      <c r="B16" s="38"/>
      <c r="C16" s="38"/>
      <c r="D16" s="38"/>
      <c r="E16" s="38"/>
      <c r="F16" s="49"/>
      <c r="G16" s="38"/>
      <c r="H16" s="38"/>
      <c r="I16" s="50"/>
      <c r="J16" s="50"/>
      <c r="K16" s="51"/>
      <c r="L16" s="50"/>
      <c r="M16" s="50"/>
      <c r="N16" s="52" t="str">
        <f aca="false">IF(OR($K16="",$L16=""),"",$K16+$L16)</f>
        <v/>
      </c>
      <c r="O16" s="47" t="str">
        <f aca="true">IF(OR($K16="",$L16=""),"",IF($Q16="Sold",$L16,MIN($L16,MAX(0,TODAY()-$K16))))</f>
        <v/>
      </c>
      <c r="P16" s="47" t="str">
        <f aca="false">IF(OR($K16="",$L16=""),"",IF(O16&lt;=$L16*0.33,"Phase 1 - Adaptation",IF(O16&lt;=$L16*0.66,"Phase 2 - Growth","Phase 3 - Finishing")))</f>
        <v/>
      </c>
      <c r="Q16" s="38"/>
      <c r="R16" s="32"/>
      <c r="S16" s="53" t="str">
        <f aca="false">IF($A16="","",IF(SUMPRODUCT(MAX(('Weight Log'!$A$5:$A$154=$A16)*('Weight Log'!$C$5:$C$154)))=0,$I16,SUMPRODUCT(MAX(('Weight Log'!$A$5:$A$154=$A16)*('Weight Log'!$C$5:$C$154)))))</f>
        <v/>
      </c>
      <c r="T16" s="53" t="str">
        <f aca="false">IF($A16="","",S16-I16)</f>
        <v/>
      </c>
      <c r="U16" s="54" t="str">
        <f aca="false">IF($B16="Qurbani",COUNTIF($B$5:$B16,"Qurbani"),"")</f>
        <v/>
      </c>
      <c r="V16" s="54" t="str">
        <f aca="false">IF($B16="Dairy",COUNTIF($B$5:$B16,"Dairy"),"")</f>
        <v/>
      </c>
      <c r="W16" s="54" t="str">
        <f aca="false">IF($B16="Breeding Stock",COUNTIF($B$5:$B16,"Breeding Stock"),"")</f>
        <v/>
      </c>
    </row>
    <row r="17" customFormat="false" ht="15" hidden="false" customHeight="false" outlineLevel="0" collapsed="false">
      <c r="A17" s="38"/>
      <c r="B17" s="38"/>
      <c r="C17" s="38"/>
      <c r="D17" s="38"/>
      <c r="E17" s="38"/>
      <c r="F17" s="49"/>
      <c r="G17" s="38"/>
      <c r="H17" s="38"/>
      <c r="I17" s="50"/>
      <c r="J17" s="50"/>
      <c r="K17" s="51"/>
      <c r="L17" s="50"/>
      <c r="M17" s="50"/>
      <c r="N17" s="52" t="str">
        <f aca="false">IF(OR($K17="",$L17=""),"",$K17+$L17)</f>
        <v/>
      </c>
      <c r="O17" s="47" t="str">
        <f aca="true">IF(OR($K17="",$L17=""),"",IF($Q17="Sold",$L17,MIN($L17,MAX(0,TODAY()-$K17))))</f>
        <v/>
      </c>
      <c r="P17" s="47" t="str">
        <f aca="false">IF(OR($K17="",$L17=""),"",IF(O17&lt;=$L17*0.33,"Phase 1 - Adaptation",IF(O17&lt;=$L17*0.66,"Phase 2 - Growth","Phase 3 - Finishing")))</f>
        <v/>
      </c>
      <c r="Q17" s="38"/>
      <c r="R17" s="32"/>
      <c r="S17" s="53" t="str">
        <f aca="false">IF($A17="","",IF(SUMPRODUCT(MAX(('Weight Log'!$A$5:$A$154=$A17)*('Weight Log'!$C$5:$C$154)))=0,$I17,SUMPRODUCT(MAX(('Weight Log'!$A$5:$A$154=$A17)*('Weight Log'!$C$5:$C$154)))))</f>
        <v/>
      </c>
      <c r="T17" s="53" t="str">
        <f aca="false">IF($A17="","",S17-I17)</f>
        <v/>
      </c>
      <c r="U17" s="54" t="str">
        <f aca="false">IF($B17="Qurbani",COUNTIF($B$5:$B17,"Qurbani"),"")</f>
        <v/>
      </c>
      <c r="V17" s="54" t="str">
        <f aca="false">IF($B17="Dairy",COUNTIF($B$5:$B17,"Dairy"),"")</f>
        <v/>
      </c>
      <c r="W17" s="54" t="str">
        <f aca="false">IF($B17="Breeding Stock",COUNTIF($B$5:$B17,"Breeding Stock"),"")</f>
        <v/>
      </c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49"/>
      <c r="G18" s="38"/>
      <c r="H18" s="38"/>
      <c r="I18" s="50"/>
      <c r="J18" s="50"/>
      <c r="K18" s="51"/>
      <c r="L18" s="50"/>
      <c r="M18" s="50"/>
      <c r="N18" s="52" t="str">
        <f aca="false">IF(OR($K18="",$L18=""),"",$K18+$L18)</f>
        <v/>
      </c>
      <c r="O18" s="47" t="str">
        <f aca="true">IF(OR($K18="",$L18=""),"",IF($Q18="Sold",$L18,MIN($L18,MAX(0,TODAY()-$K18))))</f>
        <v/>
      </c>
      <c r="P18" s="47" t="str">
        <f aca="false">IF(OR($K18="",$L18=""),"",IF(O18&lt;=$L18*0.33,"Phase 1 - Adaptation",IF(O18&lt;=$L18*0.66,"Phase 2 - Growth","Phase 3 - Finishing")))</f>
        <v/>
      </c>
      <c r="Q18" s="38"/>
      <c r="R18" s="32"/>
      <c r="S18" s="53" t="str">
        <f aca="false">IF($A18="","",IF(SUMPRODUCT(MAX(('Weight Log'!$A$5:$A$154=$A18)*('Weight Log'!$C$5:$C$154)))=0,$I18,SUMPRODUCT(MAX(('Weight Log'!$A$5:$A$154=$A18)*('Weight Log'!$C$5:$C$154)))))</f>
        <v/>
      </c>
      <c r="T18" s="53" t="str">
        <f aca="false">IF($A18="","",S18-I18)</f>
        <v/>
      </c>
      <c r="U18" s="54" t="str">
        <f aca="false">IF($B18="Qurbani",COUNTIF($B$5:$B18,"Qurbani"),"")</f>
        <v/>
      </c>
      <c r="V18" s="54" t="str">
        <f aca="false">IF($B18="Dairy",COUNTIF($B$5:$B18,"Dairy"),"")</f>
        <v/>
      </c>
      <c r="W18" s="54" t="str">
        <f aca="false">IF($B18="Breeding Stock",COUNTIF($B$5:$B18,"Breeding Stock"),"")</f>
        <v/>
      </c>
    </row>
    <row r="19" customFormat="false" ht="15" hidden="false" customHeight="false" outlineLevel="0" collapsed="false">
      <c r="A19" s="38"/>
      <c r="B19" s="38"/>
      <c r="C19" s="38"/>
      <c r="D19" s="38"/>
      <c r="E19" s="38"/>
      <c r="F19" s="49"/>
      <c r="G19" s="38"/>
      <c r="H19" s="38"/>
      <c r="I19" s="50"/>
      <c r="J19" s="50"/>
      <c r="K19" s="51"/>
      <c r="L19" s="50"/>
      <c r="M19" s="50"/>
      <c r="N19" s="52" t="str">
        <f aca="false">IF(OR($K19="",$L19=""),"",$K19+$L19)</f>
        <v/>
      </c>
      <c r="O19" s="47" t="str">
        <f aca="true">IF(OR($K19="",$L19=""),"",IF($Q19="Sold",$L19,MIN($L19,MAX(0,TODAY()-$K19))))</f>
        <v/>
      </c>
      <c r="P19" s="47" t="str">
        <f aca="false">IF(OR($K19="",$L19=""),"",IF(O19&lt;=$L19*0.33,"Phase 1 - Adaptation",IF(O19&lt;=$L19*0.66,"Phase 2 - Growth","Phase 3 - Finishing")))</f>
        <v/>
      </c>
      <c r="Q19" s="38"/>
      <c r="R19" s="32"/>
      <c r="S19" s="53" t="str">
        <f aca="false">IF($A19="","",IF(SUMPRODUCT(MAX(('Weight Log'!$A$5:$A$154=$A19)*('Weight Log'!$C$5:$C$154)))=0,$I19,SUMPRODUCT(MAX(('Weight Log'!$A$5:$A$154=$A19)*('Weight Log'!$C$5:$C$154)))))</f>
        <v/>
      </c>
      <c r="T19" s="53" t="str">
        <f aca="false">IF($A19="","",S19-I19)</f>
        <v/>
      </c>
      <c r="U19" s="54" t="str">
        <f aca="false">IF($B19="Qurbani",COUNTIF($B$5:$B19,"Qurbani"),"")</f>
        <v/>
      </c>
      <c r="V19" s="54" t="str">
        <f aca="false">IF($B19="Dairy",COUNTIF($B$5:$B19,"Dairy"),"")</f>
        <v/>
      </c>
      <c r="W19" s="54" t="str">
        <f aca="false">IF($B19="Breeding Stock",COUNTIF($B$5:$B19,"Breeding Stock"),"")</f>
        <v/>
      </c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49"/>
      <c r="G20" s="38"/>
      <c r="H20" s="38"/>
      <c r="I20" s="50"/>
      <c r="J20" s="50"/>
      <c r="K20" s="51"/>
      <c r="L20" s="50"/>
      <c r="M20" s="50"/>
      <c r="N20" s="52" t="str">
        <f aca="false">IF(OR($K20="",$L20=""),"",$K20+$L20)</f>
        <v/>
      </c>
      <c r="O20" s="47" t="str">
        <f aca="true">IF(OR($K20="",$L20=""),"",IF($Q20="Sold",$L20,MIN($L20,MAX(0,TODAY()-$K20))))</f>
        <v/>
      </c>
      <c r="P20" s="47" t="str">
        <f aca="false">IF(OR($K20="",$L20=""),"",IF(O20&lt;=$L20*0.33,"Phase 1 - Adaptation",IF(O20&lt;=$L20*0.66,"Phase 2 - Growth","Phase 3 - Finishing")))</f>
        <v/>
      </c>
      <c r="Q20" s="38"/>
      <c r="R20" s="32"/>
      <c r="S20" s="53" t="str">
        <f aca="false">IF($A20="","",IF(SUMPRODUCT(MAX(('Weight Log'!$A$5:$A$154=$A20)*('Weight Log'!$C$5:$C$154)))=0,$I20,SUMPRODUCT(MAX(('Weight Log'!$A$5:$A$154=$A20)*('Weight Log'!$C$5:$C$154)))))</f>
        <v/>
      </c>
      <c r="T20" s="53" t="str">
        <f aca="false">IF($A20="","",S20-I20)</f>
        <v/>
      </c>
      <c r="U20" s="54" t="str">
        <f aca="false">IF($B20="Qurbani",COUNTIF($B$5:$B20,"Qurbani"),"")</f>
        <v/>
      </c>
      <c r="V20" s="54" t="str">
        <f aca="false">IF($B20="Dairy",COUNTIF($B$5:$B20,"Dairy"),"")</f>
        <v/>
      </c>
      <c r="W20" s="54" t="str">
        <f aca="false">IF($B20="Breeding Stock",COUNTIF($B$5:$B20,"Breeding Stock"),"")</f>
        <v/>
      </c>
    </row>
    <row r="21" customFormat="false" ht="15" hidden="false" customHeight="false" outlineLevel="0" collapsed="false">
      <c r="A21" s="38"/>
      <c r="B21" s="38"/>
      <c r="C21" s="38"/>
      <c r="D21" s="38"/>
      <c r="E21" s="38"/>
      <c r="F21" s="49"/>
      <c r="G21" s="38"/>
      <c r="H21" s="38"/>
      <c r="I21" s="50"/>
      <c r="J21" s="50"/>
      <c r="K21" s="51"/>
      <c r="L21" s="50"/>
      <c r="M21" s="50"/>
      <c r="N21" s="52" t="str">
        <f aca="false">IF(OR($K21="",$L21=""),"",$K21+$L21)</f>
        <v/>
      </c>
      <c r="O21" s="47" t="str">
        <f aca="true">IF(OR($K21="",$L21=""),"",IF($Q21="Sold",$L21,MIN($L21,MAX(0,TODAY()-$K21))))</f>
        <v/>
      </c>
      <c r="P21" s="47" t="str">
        <f aca="false">IF(OR($K21="",$L21=""),"",IF(O21&lt;=$L21*0.33,"Phase 1 - Adaptation",IF(O21&lt;=$L21*0.66,"Phase 2 - Growth","Phase 3 - Finishing")))</f>
        <v/>
      </c>
      <c r="Q21" s="38"/>
      <c r="R21" s="32"/>
      <c r="S21" s="53" t="str">
        <f aca="false">IF($A21="","",IF(SUMPRODUCT(MAX(('Weight Log'!$A$5:$A$154=$A21)*('Weight Log'!$C$5:$C$154)))=0,$I21,SUMPRODUCT(MAX(('Weight Log'!$A$5:$A$154=$A21)*('Weight Log'!$C$5:$C$154)))))</f>
        <v/>
      </c>
      <c r="T21" s="53" t="str">
        <f aca="false">IF($A21="","",S21-I21)</f>
        <v/>
      </c>
      <c r="U21" s="54" t="str">
        <f aca="false">IF($B21="Qurbani",COUNTIF($B$5:$B21,"Qurbani"),"")</f>
        <v/>
      </c>
      <c r="V21" s="54" t="str">
        <f aca="false">IF($B21="Dairy",COUNTIF($B$5:$B21,"Dairy"),"")</f>
        <v/>
      </c>
      <c r="W21" s="54" t="str">
        <f aca="false">IF($B21="Breeding Stock",COUNTIF($B$5:$B21,"Breeding Stock"),"")</f>
        <v/>
      </c>
    </row>
    <row r="22" customFormat="false" ht="15" hidden="false" customHeight="false" outlineLevel="0" collapsed="false">
      <c r="A22" s="38"/>
      <c r="B22" s="38"/>
      <c r="C22" s="38"/>
      <c r="D22" s="38"/>
      <c r="E22" s="38"/>
      <c r="F22" s="49"/>
      <c r="G22" s="38"/>
      <c r="H22" s="38"/>
      <c r="I22" s="50"/>
      <c r="J22" s="50"/>
      <c r="K22" s="51"/>
      <c r="L22" s="50"/>
      <c r="M22" s="50"/>
      <c r="N22" s="52" t="str">
        <f aca="false">IF(OR($K22="",$L22=""),"",$K22+$L22)</f>
        <v/>
      </c>
      <c r="O22" s="47" t="str">
        <f aca="true">IF(OR($K22="",$L22=""),"",IF($Q22="Sold",$L22,MIN($L22,MAX(0,TODAY()-$K22))))</f>
        <v/>
      </c>
      <c r="P22" s="47" t="str">
        <f aca="false">IF(OR($K22="",$L22=""),"",IF(O22&lt;=$L22*0.33,"Phase 1 - Adaptation",IF(O22&lt;=$L22*0.66,"Phase 2 - Growth","Phase 3 - Finishing")))</f>
        <v/>
      </c>
      <c r="Q22" s="38"/>
      <c r="R22" s="32"/>
      <c r="S22" s="53" t="str">
        <f aca="false">IF($A22="","",IF(SUMPRODUCT(MAX(('Weight Log'!$A$5:$A$154=$A22)*('Weight Log'!$C$5:$C$154)))=0,$I22,SUMPRODUCT(MAX(('Weight Log'!$A$5:$A$154=$A22)*('Weight Log'!$C$5:$C$154)))))</f>
        <v/>
      </c>
      <c r="T22" s="53" t="str">
        <f aca="false">IF($A22="","",S22-I22)</f>
        <v/>
      </c>
      <c r="U22" s="54" t="str">
        <f aca="false">IF($B22="Qurbani",COUNTIF($B$5:$B22,"Qurbani"),"")</f>
        <v/>
      </c>
      <c r="V22" s="54" t="str">
        <f aca="false">IF($B22="Dairy",COUNTIF($B$5:$B22,"Dairy"),"")</f>
        <v/>
      </c>
      <c r="W22" s="54" t="str">
        <f aca="false">IF($B22="Breeding Stock",COUNTIF($B$5:$B22,"Breeding Stock"),"")</f>
        <v/>
      </c>
    </row>
    <row r="23" customFormat="false" ht="15" hidden="false" customHeight="false" outlineLevel="0" collapsed="false">
      <c r="A23" s="38"/>
      <c r="B23" s="38"/>
      <c r="C23" s="38"/>
      <c r="D23" s="38"/>
      <c r="E23" s="38"/>
      <c r="F23" s="49"/>
      <c r="G23" s="38"/>
      <c r="H23" s="38"/>
      <c r="I23" s="50"/>
      <c r="J23" s="50"/>
      <c r="K23" s="51"/>
      <c r="L23" s="50"/>
      <c r="M23" s="50"/>
      <c r="N23" s="52" t="str">
        <f aca="false">IF(OR($K23="",$L23=""),"",$K23+$L23)</f>
        <v/>
      </c>
      <c r="O23" s="47" t="str">
        <f aca="true">IF(OR($K23="",$L23=""),"",IF($Q23="Sold",$L23,MIN($L23,MAX(0,TODAY()-$K23))))</f>
        <v/>
      </c>
      <c r="P23" s="47" t="str">
        <f aca="false">IF(OR($K23="",$L23=""),"",IF(O23&lt;=$L23*0.33,"Phase 1 - Adaptation",IF(O23&lt;=$L23*0.66,"Phase 2 - Growth","Phase 3 - Finishing")))</f>
        <v/>
      </c>
      <c r="Q23" s="38"/>
      <c r="R23" s="32"/>
      <c r="S23" s="53" t="str">
        <f aca="false">IF($A23="","",IF(SUMPRODUCT(MAX(('Weight Log'!$A$5:$A$154=$A23)*('Weight Log'!$C$5:$C$154)))=0,$I23,SUMPRODUCT(MAX(('Weight Log'!$A$5:$A$154=$A23)*('Weight Log'!$C$5:$C$154)))))</f>
        <v/>
      </c>
      <c r="T23" s="53" t="str">
        <f aca="false">IF($A23="","",S23-I23)</f>
        <v/>
      </c>
      <c r="U23" s="54" t="str">
        <f aca="false">IF($B23="Qurbani",COUNTIF($B$5:$B23,"Qurbani"),"")</f>
        <v/>
      </c>
      <c r="V23" s="54" t="str">
        <f aca="false">IF($B23="Dairy",COUNTIF($B$5:$B23,"Dairy"),"")</f>
        <v/>
      </c>
      <c r="W23" s="54" t="str">
        <f aca="false">IF($B23="Breeding Stock",COUNTIF($B$5:$B23,"Breeding Stock"),"")</f>
        <v/>
      </c>
    </row>
    <row r="24" customFormat="false" ht="15" hidden="false" customHeight="false" outlineLevel="0" collapsed="false">
      <c r="A24" s="38"/>
      <c r="B24" s="38"/>
      <c r="C24" s="38"/>
      <c r="D24" s="38"/>
      <c r="E24" s="38"/>
      <c r="F24" s="49"/>
      <c r="G24" s="38"/>
      <c r="H24" s="38"/>
      <c r="I24" s="50"/>
      <c r="J24" s="50"/>
      <c r="K24" s="51"/>
      <c r="L24" s="50"/>
      <c r="M24" s="50"/>
      <c r="N24" s="52" t="str">
        <f aca="false">IF(OR($K24="",$L24=""),"",$K24+$L24)</f>
        <v/>
      </c>
      <c r="O24" s="47" t="str">
        <f aca="true">IF(OR($K24="",$L24=""),"",IF($Q24="Sold",$L24,MIN($L24,MAX(0,TODAY()-$K24))))</f>
        <v/>
      </c>
      <c r="P24" s="47" t="str">
        <f aca="false">IF(OR($K24="",$L24=""),"",IF(O24&lt;=$L24*0.33,"Phase 1 - Adaptation",IF(O24&lt;=$L24*0.66,"Phase 2 - Growth","Phase 3 - Finishing")))</f>
        <v/>
      </c>
      <c r="Q24" s="38"/>
      <c r="R24" s="32"/>
      <c r="S24" s="53" t="str">
        <f aca="false">IF($A24="","",IF(SUMPRODUCT(MAX(('Weight Log'!$A$5:$A$154=$A24)*('Weight Log'!$C$5:$C$154)))=0,$I24,SUMPRODUCT(MAX(('Weight Log'!$A$5:$A$154=$A24)*('Weight Log'!$C$5:$C$154)))))</f>
        <v/>
      </c>
      <c r="T24" s="53" t="str">
        <f aca="false">IF($A24="","",S24-I24)</f>
        <v/>
      </c>
      <c r="U24" s="54" t="str">
        <f aca="false">IF($B24="Qurbani",COUNTIF($B$5:$B24,"Qurbani"),"")</f>
        <v/>
      </c>
      <c r="V24" s="54" t="str">
        <f aca="false">IF($B24="Dairy",COUNTIF($B$5:$B24,"Dairy"),"")</f>
        <v/>
      </c>
      <c r="W24" s="54" t="str">
        <f aca="false">IF($B24="Breeding Stock",COUNTIF($B$5:$B24,"Breeding Stock"),"")</f>
        <v/>
      </c>
    </row>
    <row r="25" customFormat="false" ht="15" hidden="false" customHeight="false" outlineLevel="0" collapsed="false">
      <c r="A25" s="38"/>
      <c r="B25" s="38"/>
      <c r="C25" s="38"/>
      <c r="D25" s="38"/>
      <c r="E25" s="38"/>
      <c r="F25" s="49"/>
      <c r="G25" s="38"/>
      <c r="H25" s="38"/>
      <c r="I25" s="50"/>
      <c r="J25" s="50"/>
      <c r="K25" s="51"/>
      <c r="L25" s="50"/>
      <c r="M25" s="50"/>
      <c r="N25" s="52" t="str">
        <f aca="false">IF(OR($K25="",$L25=""),"",$K25+$L25)</f>
        <v/>
      </c>
      <c r="O25" s="47" t="str">
        <f aca="true">IF(OR($K25="",$L25=""),"",IF($Q25="Sold",$L25,MIN($L25,MAX(0,TODAY()-$K25))))</f>
        <v/>
      </c>
      <c r="P25" s="47" t="str">
        <f aca="false">IF(OR($K25="",$L25=""),"",IF(O25&lt;=$L25*0.33,"Phase 1 - Adaptation",IF(O25&lt;=$L25*0.66,"Phase 2 - Growth","Phase 3 - Finishing")))</f>
        <v/>
      </c>
      <c r="Q25" s="38"/>
      <c r="R25" s="32"/>
      <c r="S25" s="53" t="str">
        <f aca="false">IF($A25="","",IF(SUMPRODUCT(MAX(('Weight Log'!$A$5:$A$154=$A25)*('Weight Log'!$C$5:$C$154)))=0,$I25,SUMPRODUCT(MAX(('Weight Log'!$A$5:$A$154=$A25)*('Weight Log'!$C$5:$C$154)))))</f>
        <v/>
      </c>
      <c r="T25" s="53" t="str">
        <f aca="false">IF($A25="","",S25-I25)</f>
        <v/>
      </c>
      <c r="U25" s="54" t="str">
        <f aca="false">IF($B25="Qurbani",COUNTIF($B$5:$B25,"Qurbani"),"")</f>
        <v/>
      </c>
      <c r="V25" s="54" t="str">
        <f aca="false">IF($B25="Dairy",COUNTIF($B$5:$B25,"Dairy"),"")</f>
        <v/>
      </c>
      <c r="W25" s="54" t="str">
        <f aca="false">IF($B25="Breeding Stock",COUNTIF($B$5:$B25,"Breeding Stock"),"")</f>
        <v/>
      </c>
    </row>
    <row r="26" customFormat="false" ht="15" hidden="false" customHeight="false" outlineLevel="0" collapsed="false">
      <c r="A26" s="38"/>
      <c r="B26" s="38"/>
      <c r="C26" s="38"/>
      <c r="D26" s="38"/>
      <c r="E26" s="38"/>
      <c r="F26" s="49"/>
      <c r="G26" s="38"/>
      <c r="H26" s="38"/>
      <c r="I26" s="50"/>
      <c r="J26" s="50"/>
      <c r="K26" s="51"/>
      <c r="L26" s="50"/>
      <c r="M26" s="50"/>
      <c r="N26" s="52" t="str">
        <f aca="false">IF(OR($K26="",$L26=""),"",$K26+$L26)</f>
        <v/>
      </c>
      <c r="O26" s="47" t="str">
        <f aca="true">IF(OR($K26="",$L26=""),"",IF($Q26="Sold",$L26,MIN($L26,MAX(0,TODAY()-$K26))))</f>
        <v/>
      </c>
      <c r="P26" s="47" t="str">
        <f aca="false">IF(OR($K26="",$L26=""),"",IF(O26&lt;=$L26*0.33,"Phase 1 - Adaptation",IF(O26&lt;=$L26*0.66,"Phase 2 - Growth","Phase 3 - Finishing")))</f>
        <v/>
      </c>
      <c r="Q26" s="38"/>
      <c r="R26" s="32"/>
      <c r="S26" s="53" t="str">
        <f aca="false">IF($A26="","",IF(SUMPRODUCT(MAX(('Weight Log'!$A$5:$A$154=$A26)*('Weight Log'!$C$5:$C$154)))=0,$I26,SUMPRODUCT(MAX(('Weight Log'!$A$5:$A$154=$A26)*('Weight Log'!$C$5:$C$154)))))</f>
        <v/>
      </c>
      <c r="T26" s="53" t="str">
        <f aca="false">IF($A26="","",S26-I26)</f>
        <v/>
      </c>
      <c r="U26" s="54" t="str">
        <f aca="false">IF($B26="Qurbani",COUNTIF($B$5:$B26,"Qurbani"),"")</f>
        <v/>
      </c>
      <c r="V26" s="54" t="str">
        <f aca="false">IF($B26="Dairy",COUNTIF($B$5:$B26,"Dairy"),"")</f>
        <v/>
      </c>
      <c r="W26" s="54" t="str">
        <f aca="false">IF($B26="Breeding Stock",COUNTIF($B$5:$B26,"Breeding Stock"),"")</f>
        <v/>
      </c>
    </row>
    <row r="27" customFormat="false" ht="15" hidden="false" customHeight="false" outlineLevel="0" collapsed="false">
      <c r="A27" s="38"/>
      <c r="B27" s="38"/>
      <c r="C27" s="38"/>
      <c r="D27" s="38"/>
      <c r="E27" s="38"/>
      <c r="F27" s="49"/>
      <c r="G27" s="38"/>
      <c r="H27" s="38"/>
      <c r="I27" s="50"/>
      <c r="J27" s="50"/>
      <c r="K27" s="51"/>
      <c r="L27" s="50"/>
      <c r="M27" s="50"/>
      <c r="N27" s="52" t="str">
        <f aca="false">IF(OR($K27="",$L27=""),"",$K27+$L27)</f>
        <v/>
      </c>
      <c r="O27" s="47" t="str">
        <f aca="true">IF(OR($K27="",$L27=""),"",IF($Q27="Sold",$L27,MIN($L27,MAX(0,TODAY()-$K27))))</f>
        <v/>
      </c>
      <c r="P27" s="47" t="str">
        <f aca="false">IF(OR($K27="",$L27=""),"",IF(O27&lt;=$L27*0.33,"Phase 1 - Adaptation",IF(O27&lt;=$L27*0.66,"Phase 2 - Growth","Phase 3 - Finishing")))</f>
        <v/>
      </c>
      <c r="Q27" s="38"/>
      <c r="R27" s="32"/>
      <c r="S27" s="53" t="str">
        <f aca="false">IF($A27="","",IF(SUMPRODUCT(MAX(('Weight Log'!$A$5:$A$154=$A27)*('Weight Log'!$C$5:$C$154)))=0,$I27,SUMPRODUCT(MAX(('Weight Log'!$A$5:$A$154=$A27)*('Weight Log'!$C$5:$C$154)))))</f>
        <v/>
      </c>
      <c r="T27" s="53" t="str">
        <f aca="false">IF($A27="","",S27-I27)</f>
        <v/>
      </c>
      <c r="U27" s="54" t="str">
        <f aca="false">IF($B27="Qurbani",COUNTIF($B$5:$B27,"Qurbani"),"")</f>
        <v/>
      </c>
      <c r="V27" s="54" t="str">
        <f aca="false">IF($B27="Dairy",COUNTIF($B$5:$B27,"Dairy"),"")</f>
        <v/>
      </c>
      <c r="W27" s="54" t="str">
        <f aca="false">IF($B27="Breeding Stock",COUNTIF($B$5:$B27,"Breeding Stock"),"")</f>
        <v/>
      </c>
    </row>
    <row r="28" customFormat="false" ht="15" hidden="false" customHeight="false" outlineLevel="0" collapsed="false">
      <c r="A28" s="38"/>
      <c r="B28" s="38"/>
      <c r="C28" s="38"/>
      <c r="D28" s="38"/>
      <c r="E28" s="38"/>
      <c r="F28" s="49"/>
      <c r="G28" s="38"/>
      <c r="H28" s="38"/>
      <c r="I28" s="50"/>
      <c r="J28" s="50"/>
      <c r="K28" s="51"/>
      <c r="L28" s="50"/>
      <c r="M28" s="50"/>
      <c r="N28" s="52" t="str">
        <f aca="false">IF(OR($K28="",$L28=""),"",$K28+$L28)</f>
        <v/>
      </c>
      <c r="O28" s="47" t="str">
        <f aca="true">IF(OR($K28="",$L28=""),"",IF($Q28="Sold",$L28,MIN($L28,MAX(0,TODAY()-$K28))))</f>
        <v/>
      </c>
      <c r="P28" s="47" t="str">
        <f aca="false">IF(OR($K28="",$L28=""),"",IF(O28&lt;=$L28*0.33,"Phase 1 - Adaptation",IF(O28&lt;=$L28*0.66,"Phase 2 - Growth","Phase 3 - Finishing")))</f>
        <v/>
      </c>
      <c r="Q28" s="38"/>
      <c r="R28" s="32"/>
      <c r="S28" s="53" t="str">
        <f aca="false">IF($A28="","",IF(SUMPRODUCT(MAX(('Weight Log'!$A$5:$A$154=$A28)*('Weight Log'!$C$5:$C$154)))=0,$I28,SUMPRODUCT(MAX(('Weight Log'!$A$5:$A$154=$A28)*('Weight Log'!$C$5:$C$154)))))</f>
        <v/>
      </c>
      <c r="T28" s="53" t="str">
        <f aca="false">IF($A28="","",S28-I28)</f>
        <v/>
      </c>
      <c r="U28" s="54" t="str">
        <f aca="false">IF($B28="Qurbani",COUNTIF($B$5:$B28,"Qurbani"),"")</f>
        <v/>
      </c>
      <c r="V28" s="54" t="str">
        <f aca="false">IF($B28="Dairy",COUNTIF($B$5:$B28,"Dairy"),"")</f>
        <v/>
      </c>
      <c r="W28" s="54" t="str">
        <f aca="false">IF($B28="Breeding Stock",COUNTIF($B$5:$B28,"Breeding Stock"),"")</f>
        <v/>
      </c>
    </row>
    <row r="29" customFormat="false" ht="15" hidden="false" customHeight="false" outlineLevel="0" collapsed="false">
      <c r="A29" s="38"/>
      <c r="B29" s="38"/>
      <c r="C29" s="38"/>
      <c r="D29" s="38"/>
      <c r="E29" s="38"/>
      <c r="F29" s="49"/>
      <c r="G29" s="38"/>
      <c r="H29" s="38"/>
      <c r="I29" s="50"/>
      <c r="J29" s="50"/>
      <c r="K29" s="51"/>
      <c r="L29" s="50"/>
      <c r="M29" s="50"/>
      <c r="N29" s="52" t="str">
        <f aca="false">IF(OR($K29="",$L29=""),"",$K29+$L29)</f>
        <v/>
      </c>
      <c r="O29" s="47" t="str">
        <f aca="true">IF(OR($K29="",$L29=""),"",IF($Q29="Sold",$L29,MIN($L29,MAX(0,TODAY()-$K29))))</f>
        <v/>
      </c>
      <c r="P29" s="47" t="str">
        <f aca="false">IF(OR($K29="",$L29=""),"",IF(O29&lt;=$L29*0.33,"Phase 1 - Adaptation",IF(O29&lt;=$L29*0.66,"Phase 2 - Growth","Phase 3 - Finishing")))</f>
        <v/>
      </c>
      <c r="Q29" s="38"/>
      <c r="R29" s="32"/>
      <c r="S29" s="53" t="str">
        <f aca="false">IF($A29="","",IF(SUMPRODUCT(MAX(('Weight Log'!$A$5:$A$154=$A29)*('Weight Log'!$C$5:$C$154)))=0,$I29,SUMPRODUCT(MAX(('Weight Log'!$A$5:$A$154=$A29)*('Weight Log'!$C$5:$C$154)))))</f>
        <v/>
      </c>
      <c r="T29" s="53" t="str">
        <f aca="false">IF($A29="","",S29-I29)</f>
        <v/>
      </c>
      <c r="U29" s="54" t="str">
        <f aca="false">IF($B29="Qurbani",COUNTIF($B$5:$B29,"Qurbani"),"")</f>
        <v/>
      </c>
      <c r="V29" s="54" t="str">
        <f aca="false">IF($B29="Dairy",COUNTIF($B$5:$B29,"Dairy"),"")</f>
        <v/>
      </c>
      <c r="W29" s="54" t="str">
        <f aca="false">IF($B29="Breeding Stock",COUNTIF($B$5:$B29,"Breeding Stock"),"")</f>
        <v/>
      </c>
    </row>
    <row r="30" customFormat="false" ht="15" hidden="false" customHeight="false" outlineLevel="0" collapsed="false">
      <c r="A30" s="38"/>
      <c r="B30" s="38"/>
      <c r="C30" s="38"/>
      <c r="D30" s="38"/>
      <c r="E30" s="38"/>
      <c r="F30" s="49"/>
      <c r="G30" s="38"/>
      <c r="H30" s="38"/>
      <c r="I30" s="50"/>
      <c r="J30" s="50"/>
      <c r="K30" s="51"/>
      <c r="L30" s="50"/>
      <c r="M30" s="50"/>
      <c r="N30" s="52" t="str">
        <f aca="false">IF(OR($K30="",$L30=""),"",$K30+$L30)</f>
        <v/>
      </c>
      <c r="O30" s="47" t="str">
        <f aca="true">IF(OR($K30="",$L30=""),"",IF($Q30="Sold",$L30,MIN($L30,MAX(0,TODAY()-$K30))))</f>
        <v/>
      </c>
      <c r="P30" s="47" t="str">
        <f aca="false">IF(OR($K30="",$L30=""),"",IF(O30&lt;=$L30*0.33,"Phase 1 - Adaptation",IF(O30&lt;=$L30*0.66,"Phase 2 - Growth","Phase 3 - Finishing")))</f>
        <v/>
      </c>
      <c r="Q30" s="38"/>
      <c r="R30" s="32"/>
      <c r="S30" s="53" t="str">
        <f aca="false">IF($A30="","",IF(SUMPRODUCT(MAX(('Weight Log'!$A$5:$A$154=$A30)*('Weight Log'!$C$5:$C$154)))=0,$I30,SUMPRODUCT(MAX(('Weight Log'!$A$5:$A$154=$A30)*('Weight Log'!$C$5:$C$154)))))</f>
        <v/>
      </c>
      <c r="T30" s="53" t="str">
        <f aca="false">IF($A30="","",S30-I30)</f>
        <v/>
      </c>
      <c r="U30" s="54" t="str">
        <f aca="false">IF($B30="Qurbani",COUNTIF($B$5:$B30,"Qurbani"),"")</f>
        <v/>
      </c>
      <c r="V30" s="54" t="str">
        <f aca="false">IF($B30="Dairy",COUNTIF($B$5:$B30,"Dairy"),"")</f>
        <v/>
      </c>
      <c r="W30" s="54" t="str">
        <f aca="false">IF($B30="Breeding Stock",COUNTIF($B$5:$B30,"Breeding Stock"),"")</f>
        <v/>
      </c>
    </row>
    <row r="31" customFormat="false" ht="15" hidden="false" customHeight="false" outlineLevel="0" collapsed="false">
      <c r="A31" s="38"/>
      <c r="B31" s="38"/>
      <c r="C31" s="38"/>
      <c r="D31" s="38"/>
      <c r="E31" s="38"/>
      <c r="F31" s="49"/>
      <c r="G31" s="38"/>
      <c r="H31" s="38"/>
      <c r="I31" s="50"/>
      <c r="J31" s="50"/>
      <c r="K31" s="51"/>
      <c r="L31" s="50"/>
      <c r="M31" s="50"/>
      <c r="N31" s="52" t="str">
        <f aca="false">IF(OR($K31="",$L31=""),"",$K31+$L31)</f>
        <v/>
      </c>
      <c r="O31" s="47" t="str">
        <f aca="true">IF(OR($K31="",$L31=""),"",IF($Q31="Sold",$L31,MIN($L31,MAX(0,TODAY()-$K31))))</f>
        <v/>
      </c>
      <c r="P31" s="47" t="str">
        <f aca="false">IF(OR($K31="",$L31=""),"",IF(O31&lt;=$L31*0.33,"Phase 1 - Adaptation",IF(O31&lt;=$L31*0.66,"Phase 2 - Growth","Phase 3 - Finishing")))</f>
        <v/>
      </c>
      <c r="Q31" s="38"/>
      <c r="R31" s="32"/>
      <c r="S31" s="53" t="str">
        <f aca="false">IF($A31="","",IF(SUMPRODUCT(MAX(('Weight Log'!$A$5:$A$154=$A31)*('Weight Log'!$C$5:$C$154)))=0,$I31,SUMPRODUCT(MAX(('Weight Log'!$A$5:$A$154=$A31)*('Weight Log'!$C$5:$C$154)))))</f>
        <v/>
      </c>
      <c r="T31" s="53" t="str">
        <f aca="false">IF($A31="","",S31-I31)</f>
        <v/>
      </c>
      <c r="U31" s="54" t="str">
        <f aca="false">IF($B31="Qurbani",COUNTIF($B$5:$B31,"Qurbani"),"")</f>
        <v/>
      </c>
      <c r="V31" s="54" t="str">
        <f aca="false">IF($B31="Dairy",COUNTIF($B$5:$B31,"Dairy"),"")</f>
        <v/>
      </c>
      <c r="W31" s="54" t="str">
        <f aca="false">IF($B31="Breeding Stock",COUNTIF($B$5:$B31,"Breeding Stock"),"")</f>
        <v/>
      </c>
    </row>
    <row r="32" customFormat="false" ht="15" hidden="false" customHeight="false" outlineLevel="0" collapsed="false">
      <c r="A32" s="38"/>
      <c r="B32" s="38"/>
      <c r="C32" s="38"/>
      <c r="D32" s="38"/>
      <c r="E32" s="38"/>
      <c r="F32" s="49"/>
      <c r="G32" s="38"/>
      <c r="H32" s="38"/>
      <c r="I32" s="50"/>
      <c r="J32" s="50"/>
      <c r="K32" s="51"/>
      <c r="L32" s="50"/>
      <c r="M32" s="50"/>
      <c r="N32" s="52" t="str">
        <f aca="false">IF(OR($K32="",$L32=""),"",$K32+$L32)</f>
        <v/>
      </c>
      <c r="O32" s="47" t="str">
        <f aca="true">IF(OR($K32="",$L32=""),"",IF($Q32="Sold",$L32,MIN($L32,MAX(0,TODAY()-$K32))))</f>
        <v/>
      </c>
      <c r="P32" s="47" t="str">
        <f aca="false">IF(OR($K32="",$L32=""),"",IF(O32&lt;=$L32*0.33,"Phase 1 - Adaptation",IF(O32&lt;=$L32*0.66,"Phase 2 - Growth","Phase 3 - Finishing")))</f>
        <v/>
      </c>
      <c r="Q32" s="38"/>
      <c r="R32" s="32"/>
      <c r="S32" s="53" t="str">
        <f aca="false">IF($A32="","",IF(SUMPRODUCT(MAX(('Weight Log'!$A$5:$A$154=$A32)*('Weight Log'!$C$5:$C$154)))=0,$I32,SUMPRODUCT(MAX(('Weight Log'!$A$5:$A$154=$A32)*('Weight Log'!$C$5:$C$154)))))</f>
        <v/>
      </c>
      <c r="T32" s="53" t="str">
        <f aca="false">IF($A32="","",S32-I32)</f>
        <v/>
      </c>
      <c r="U32" s="54" t="str">
        <f aca="false">IF($B32="Qurbani",COUNTIF($B$5:$B32,"Qurbani"),"")</f>
        <v/>
      </c>
      <c r="V32" s="54" t="str">
        <f aca="false">IF($B32="Dairy",COUNTIF($B$5:$B32,"Dairy"),"")</f>
        <v/>
      </c>
      <c r="W32" s="54" t="str">
        <f aca="false">IF($B32="Breeding Stock",COUNTIF($B$5:$B32,"Breeding Stock"),"")</f>
        <v/>
      </c>
    </row>
    <row r="33" customFormat="false" ht="15" hidden="false" customHeight="false" outlineLevel="0" collapsed="false">
      <c r="A33" s="38"/>
      <c r="B33" s="38"/>
      <c r="C33" s="38"/>
      <c r="D33" s="38"/>
      <c r="E33" s="38"/>
      <c r="F33" s="49"/>
      <c r="G33" s="38"/>
      <c r="H33" s="38"/>
      <c r="I33" s="50"/>
      <c r="J33" s="50"/>
      <c r="K33" s="51"/>
      <c r="L33" s="50"/>
      <c r="M33" s="50"/>
      <c r="N33" s="52" t="str">
        <f aca="false">IF(OR($K33="",$L33=""),"",$K33+$L33)</f>
        <v/>
      </c>
      <c r="O33" s="47" t="str">
        <f aca="true">IF(OR($K33="",$L33=""),"",IF($Q33="Sold",$L33,MIN($L33,MAX(0,TODAY()-$K33))))</f>
        <v/>
      </c>
      <c r="P33" s="47" t="str">
        <f aca="false">IF(OR($K33="",$L33=""),"",IF(O33&lt;=$L33*0.33,"Phase 1 - Adaptation",IF(O33&lt;=$L33*0.66,"Phase 2 - Growth","Phase 3 - Finishing")))</f>
        <v/>
      </c>
      <c r="Q33" s="38"/>
      <c r="R33" s="32"/>
      <c r="S33" s="53" t="str">
        <f aca="false">IF($A33="","",IF(SUMPRODUCT(MAX(('Weight Log'!$A$5:$A$154=$A33)*('Weight Log'!$C$5:$C$154)))=0,$I33,SUMPRODUCT(MAX(('Weight Log'!$A$5:$A$154=$A33)*('Weight Log'!$C$5:$C$154)))))</f>
        <v/>
      </c>
      <c r="T33" s="53" t="str">
        <f aca="false">IF($A33="","",S33-I33)</f>
        <v/>
      </c>
      <c r="U33" s="54" t="str">
        <f aca="false">IF($B33="Qurbani",COUNTIF($B$5:$B33,"Qurbani"),"")</f>
        <v/>
      </c>
      <c r="V33" s="54" t="str">
        <f aca="false">IF($B33="Dairy",COUNTIF($B$5:$B33,"Dairy"),"")</f>
        <v/>
      </c>
      <c r="W33" s="54" t="str">
        <f aca="false">IF($B33="Breeding Stock",COUNTIF($B$5:$B33,"Breeding Stock"),"")</f>
        <v/>
      </c>
    </row>
    <row r="34" customFormat="false" ht="15" hidden="false" customHeight="false" outlineLevel="0" collapsed="false">
      <c r="A34" s="38"/>
      <c r="B34" s="38"/>
      <c r="C34" s="38"/>
      <c r="D34" s="38"/>
      <c r="E34" s="38"/>
      <c r="F34" s="49"/>
      <c r="G34" s="38"/>
      <c r="H34" s="38"/>
      <c r="I34" s="50"/>
      <c r="J34" s="50"/>
      <c r="K34" s="51"/>
      <c r="L34" s="50"/>
      <c r="M34" s="50"/>
      <c r="N34" s="52" t="str">
        <f aca="false">IF(OR($K34="",$L34=""),"",$K34+$L34)</f>
        <v/>
      </c>
      <c r="O34" s="47" t="str">
        <f aca="true">IF(OR($K34="",$L34=""),"",IF($Q34="Sold",$L34,MIN($L34,MAX(0,TODAY()-$K34))))</f>
        <v/>
      </c>
      <c r="P34" s="47" t="str">
        <f aca="false">IF(OR($K34="",$L34=""),"",IF(O34&lt;=$L34*0.33,"Phase 1 - Adaptation",IF(O34&lt;=$L34*0.66,"Phase 2 - Growth","Phase 3 - Finishing")))</f>
        <v/>
      </c>
      <c r="Q34" s="38"/>
      <c r="R34" s="32"/>
      <c r="S34" s="53" t="str">
        <f aca="false">IF($A34="","",IF(SUMPRODUCT(MAX(('Weight Log'!$A$5:$A$154=$A34)*('Weight Log'!$C$5:$C$154)))=0,$I34,SUMPRODUCT(MAX(('Weight Log'!$A$5:$A$154=$A34)*('Weight Log'!$C$5:$C$154)))))</f>
        <v/>
      </c>
      <c r="T34" s="53" t="str">
        <f aca="false">IF($A34="","",S34-I34)</f>
        <v/>
      </c>
      <c r="U34" s="54" t="str">
        <f aca="false">IF($B34="Qurbani",COUNTIF($B$5:$B34,"Qurbani"),"")</f>
        <v/>
      </c>
      <c r="V34" s="54" t="str">
        <f aca="false">IF($B34="Dairy",COUNTIF($B$5:$B34,"Dairy"),"")</f>
        <v/>
      </c>
      <c r="W34" s="54" t="str">
        <f aca="false">IF($B34="Breeding Stock",COUNTIF($B$5:$B34,"Breeding Stock"),"")</f>
        <v/>
      </c>
    </row>
    <row r="35" customFormat="false" ht="15" hidden="false" customHeight="false" outlineLevel="0" collapsed="false">
      <c r="A35" s="38"/>
      <c r="B35" s="38"/>
      <c r="C35" s="38"/>
      <c r="D35" s="38"/>
      <c r="E35" s="38"/>
      <c r="F35" s="49"/>
      <c r="G35" s="38"/>
      <c r="H35" s="38"/>
      <c r="I35" s="50"/>
      <c r="J35" s="50"/>
      <c r="K35" s="51"/>
      <c r="L35" s="50"/>
      <c r="M35" s="50"/>
      <c r="N35" s="52" t="str">
        <f aca="false">IF(OR($K35="",$L35=""),"",$K35+$L35)</f>
        <v/>
      </c>
      <c r="O35" s="47" t="str">
        <f aca="true">IF(OR($K35="",$L35=""),"",IF($Q35="Sold",$L35,MIN($L35,MAX(0,TODAY()-$K35))))</f>
        <v/>
      </c>
      <c r="P35" s="47" t="str">
        <f aca="false">IF(OR($K35="",$L35=""),"",IF(O35&lt;=$L35*0.33,"Phase 1 - Adaptation",IF(O35&lt;=$L35*0.66,"Phase 2 - Growth","Phase 3 - Finishing")))</f>
        <v/>
      </c>
      <c r="Q35" s="38"/>
      <c r="R35" s="32"/>
      <c r="S35" s="53" t="str">
        <f aca="false">IF($A35="","",IF(SUMPRODUCT(MAX(('Weight Log'!$A$5:$A$154=$A35)*('Weight Log'!$C$5:$C$154)))=0,$I35,SUMPRODUCT(MAX(('Weight Log'!$A$5:$A$154=$A35)*('Weight Log'!$C$5:$C$154)))))</f>
        <v/>
      </c>
      <c r="T35" s="53" t="str">
        <f aca="false">IF($A35="","",S35-I35)</f>
        <v/>
      </c>
      <c r="U35" s="54" t="str">
        <f aca="false">IF($B35="Qurbani",COUNTIF($B$5:$B35,"Qurbani"),"")</f>
        <v/>
      </c>
      <c r="V35" s="54" t="str">
        <f aca="false">IF($B35="Dairy",COUNTIF($B$5:$B35,"Dairy"),"")</f>
        <v/>
      </c>
      <c r="W35" s="54" t="str">
        <f aca="false">IF($B35="Breeding Stock",COUNTIF($B$5:$B35,"Breeding Stock"),"")</f>
        <v/>
      </c>
    </row>
    <row r="36" customFormat="false" ht="15" hidden="false" customHeight="false" outlineLevel="0" collapsed="false">
      <c r="A36" s="38"/>
      <c r="B36" s="38"/>
      <c r="C36" s="38"/>
      <c r="D36" s="38"/>
      <c r="E36" s="38"/>
      <c r="F36" s="49"/>
      <c r="G36" s="38"/>
      <c r="H36" s="38"/>
      <c r="I36" s="50"/>
      <c r="J36" s="50"/>
      <c r="K36" s="51"/>
      <c r="L36" s="50"/>
      <c r="M36" s="50"/>
      <c r="N36" s="52" t="str">
        <f aca="false">IF(OR($K36="",$L36=""),"",$K36+$L36)</f>
        <v/>
      </c>
      <c r="O36" s="47" t="str">
        <f aca="true">IF(OR($K36="",$L36=""),"",IF($Q36="Sold",$L36,MIN($L36,MAX(0,TODAY()-$K36))))</f>
        <v/>
      </c>
      <c r="P36" s="47" t="str">
        <f aca="false">IF(OR($K36="",$L36=""),"",IF(O36&lt;=$L36*0.33,"Phase 1 - Adaptation",IF(O36&lt;=$L36*0.66,"Phase 2 - Growth","Phase 3 - Finishing")))</f>
        <v/>
      </c>
      <c r="Q36" s="38"/>
      <c r="R36" s="32"/>
      <c r="S36" s="53" t="str">
        <f aca="false">IF($A36="","",IF(SUMPRODUCT(MAX(('Weight Log'!$A$5:$A$154=$A36)*('Weight Log'!$C$5:$C$154)))=0,$I36,SUMPRODUCT(MAX(('Weight Log'!$A$5:$A$154=$A36)*('Weight Log'!$C$5:$C$154)))))</f>
        <v/>
      </c>
      <c r="T36" s="53" t="str">
        <f aca="false">IF($A36="","",S36-I36)</f>
        <v/>
      </c>
      <c r="U36" s="54" t="str">
        <f aca="false">IF($B36="Qurbani",COUNTIF($B$5:$B36,"Qurbani"),"")</f>
        <v/>
      </c>
      <c r="V36" s="54" t="str">
        <f aca="false">IF($B36="Dairy",COUNTIF($B$5:$B36,"Dairy"),"")</f>
        <v/>
      </c>
      <c r="W36" s="54" t="str">
        <f aca="false">IF($B36="Breeding Stock",COUNTIF($B$5:$B36,"Breeding Stock"),"")</f>
        <v/>
      </c>
    </row>
    <row r="37" customFormat="false" ht="15" hidden="false" customHeight="false" outlineLevel="0" collapsed="false">
      <c r="A37" s="38"/>
      <c r="B37" s="38"/>
      <c r="C37" s="38"/>
      <c r="D37" s="38"/>
      <c r="E37" s="38"/>
      <c r="F37" s="49"/>
      <c r="G37" s="38"/>
      <c r="H37" s="38"/>
      <c r="I37" s="50"/>
      <c r="J37" s="50"/>
      <c r="K37" s="51"/>
      <c r="L37" s="50"/>
      <c r="M37" s="50"/>
      <c r="N37" s="52" t="str">
        <f aca="false">IF(OR($K37="",$L37=""),"",$K37+$L37)</f>
        <v/>
      </c>
      <c r="O37" s="47" t="str">
        <f aca="true">IF(OR($K37="",$L37=""),"",IF($Q37="Sold",$L37,MIN($L37,MAX(0,TODAY()-$K37))))</f>
        <v/>
      </c>
      <c r="P37" s="47" t="str">
        <f aca="false">IF(OR($K37="",$L37=""),"",IF(O37&lt;=$L37*0.33,"Phase 1 - Adaptation",IF(O37&lt;=$L37*0.66,"Phase 2 - Growth","Phase 3 - Finishing")))</f>
        <v/>
      </c>
      <c r="Q37" s="38"/>
      <c r="R37" s="32"/>
      <c r="S37" s="53" t="str">
        <f aca="false">IF($A37="","",IF(SUMPRODUCT(MAX(('Weight Log'!$A$5:$A$154=$A37)*('Weight Log'!$C$5:$C$154)))=0,$I37,SUMPRODUCT(MAX(('Weight Log'!$A$5:$A$154=$A37)*('Weight Log'!$C$5:$C$154)))))</f>
        <v/>
      </c>
      <c r="T37" s="53" t="str">
        <f aca="false">IF($A37="","",S37-I37)</f>
        <v/>
      </c>
      <c r="U37" s="54" t="str">
        <f aca="false">IF($B37="Qurbani",COUNTIF($B$5:$B37,"Qurbani"),"")</f>
        <v/>
      </c>
      <c r="V37" s="54" t="str">
        <f aca="false">IF($B37="Dairy",COUNTIF($B$5:$B37,"Dairy"),"")</f>
        <v/>
      </c>
      <c r="W37" s="54" t="str">
        <f aca="false">IF($B37="Breeding Stock",COUNTIF($B$5:$B37,"Breeding Stock"),"")</f>
        <v/>
      </c>
    </row>
    <row r="38" customFormat="false" ht="15" hidden="false" customHeight="false" outlineLevel="0" collapsed="false">
      <c r="A38" s="38"/>
      <c r="B38" s="38"/>
      <c r="C38" s="38"/>
      <c r="D38" s="38"/>
      <c r="E38" s="38"/>
      <c r="F38" s="49"/>
      <c r="G38" s="38"/>
      <c r="H38" s="38"/>
      <c r="I38" s="50"/>
      <c r="J38" s="50"/>
      <c r="K38" s="51"/>
      <c r="L38" s="50"/>
      <c r="M38" s="50"/>
      <c r="N38" s="52" t="str">
        <f aca="false">IF(OR($K38="",$L38=""),"",$K38+$L38)</f>
        <v/>
      </c>
      <c r="O38" s="47" t="str">
        <f aca="true">IF(OR($K38="",$L38=""),"",IF($Q38="Sold",$L38,MIN($L38,MAX(0,TODAY()-$K38))))</f>
        <v/>
      </c>
      <c r="P38" s="47" t="str">
        <f aca="false">IF(OR($K38="",$L38=""),"",IF(O38&lt;=$L38*0.33,"Phase 1 - Adaptation",IF(O38&lt;=$L38*0.66,"Phase 2 - Growth","Phase 3 - Finishing")))</f>
        <v/>
      </c>
      <c r="Q38" s="38"/>
      <c r="R38" s="32"/>
      <c r="S38" s="53" t="str">
        <f aca="false">IF($A38="","",IF(SUMPRODUCT(MAX(('Weight Log'!$A$5:$A$154=$A38)*('Weight Log'!$C$5:$C$154)))=0,$I38,SUMPRODUCT(MAX(('Weight Log'!$A$5:$A$154=$A38)*('Weight Log'!$C$5:$C$154)))))</f>
        <v/>
      </c>
      <c r="T38" s="53" t="str">
        <f aca="false">IF($A38="","",S38-I38)</f>
        <v/>
      </c>
      <c r="U38" s="54" t="str">
        <f aca="false">IF($B38="Qurbani",COUNTIF($B$5:$B38,"Qurbani"),"")</f>
        <v/>
      </c>
      <c r="V38" s="54" t="str">
        <f aca="false">IF($B38="Dairy",COUNTIF($B$5:$B38,"Dairy"),"")</f>
        <v/>
      </c>
      <c r="W38" s="54" t="str">
        <f aca="false">IF($B38="Breeding Stock",COUNTIF($B$5:$B38,"Breeding Stock"),"")</f>
        <v/>
      </c>
    </row>
    <row r="39" customFormat="false" ht="15" hidden="false" customHeight="false" outlineLevel="0" collapsed="false">
      <c r="A39" s="38"/>
      <c r="B39" s="38"/>
      <c r="C39" s="38"/>
      <c r="D39" s="38"/>
      <c r="E39" s="38"/>
      <c r="F39" s="49"/>
      <c r="G39" s="38"/>
      <c r="H39" s="38"/>
      <c r="I39" s="50"/>
      <c r="J39" s="50"/>
      <c r="K39" s="51"/>
      <c r="L39" s="50"/>
      <c r="M39" s="50"/>
      <c r="N39" s="52" t="str">
        <f aca="false">IF(OR($K39="",$L39=""),"",$K39+$L39)</f>
        <v/>
      </c>
      <c r="O39" s="47" t="str">
        <f aca="true">IF(OR($K39="",$L39=""),"",IF($Q39="Sold",$L39,MIN($L39,MAX(0,TODAY()-$K39))))</f>
        <v/>
      </c>
      <c r="P39" s="47" t="str">
        <f aca="false">IF(OR($K39="",$L39=""),"",IF(O39&lt;=$L39*0.33,"Phase 1 - Adaptation",IF(O39&lt;=$L39*0.66,"Phase 2 - Growth","Phase 3 - Finishing")))</f>
        <v/>
      </c>
      <c r="Q39" s="38"/>
      <c r="R39" s="32"/>
      <c r="S39" s="53" t="str">
        <f aca="false">IF($A39="","",IF(SUMPRODUCT(MAX(('Weight Log'!$A$5:$A$154=$A39)*('Weight Log'!$C$5:$C$154)))=0,$I39,SUMPRODUCT(MAX(('Weight Log'!$A$5:$A$154=$A39)*('Weight Log'!$C$5:$C$154)))))</f>
        <v/>
      </c>
      <c r="T39" s="53" t="str">
        <f aca="false">IF($A39="","",S39-I39)</f>
        <v/>
      </c>
      <c r="U39" s="54" t="str">
        <f aca="false">IF($B39="Qurbani",COUNTIF($B$5:$B39,"Qurbani"),"")</f>
        <v/>
      </c>
      <c r="V39" s="54" t="str">
        <f aca="false">IF($B39="Dairy",COUNTIF($B$5:$B39,"Dairy"),"")</f>
        <v/>
      </c>
      <c r="W39" s="54" t="str">
        <f aca="false">IF($B39="Breeding Stock",COUNTIF($B$5:$B39,"Breeding Stock"),"")</f>
        <v/>
      </c>
    </row>
    <row r="40" customFormat="false" ht="15" hidden="false" customHeight="false" outlineLevel="0" collapsed="false">
      <c r="A40" s="38"/>
      <c r="B40" s="38"/>
      <c r="C40" s="38"/>
      <c r="D40" s="38"/>
      <c r="E40" s="38"/>
      <c r="F40" s="49"/>
      <c r="G40" s="38"/>
      <c r="H40" s="38"/>
      <c r="I40" s="50"/>
      <c r="J40" s="50"/>
      <c r="K40" s="51"/>
      <c r="L40" s="50"/>
      <c r="M40" s="50"/>
      <c r="N40" s="52" t="str">
        <f aca="false">IF(OR($K40="",$L40=""),"",$K40+$L40)</f>
        <v/>
      </c>
      <c r="O40" s="47" t="str">
        <f aca="true">IF(OR($K40="",$L40=""),"",IF($Q40="Sold",$L40,MIN($L40,MAX(0,TODAY()-$K40))))</f>
        <v/>
      </c>
      <c r="P40" s="47" t="str">
        <f aca="false">IF(OR($K40="",$L40=""),"",IF(O40&lt;=$L40*0.33,"Phase 1 - Adaptation",IF(O40&lt;=$L40*0.66,"Phase 2 - Growth","Phase 3 - Finishing")))</f>
        <v/>
      </c>
      <c r="Q40" s="38"/>
      <c r="R40" s="32"/>
      <c r="S40" s="53" t="str">
        <f aca="false">IF($A40="","",IF(SUMPRODUCT(MAX(('Weight Log'!$A$5:$A$154=$A40)*('Weight Log'!$C$5:$C$154)))=0,$I40,SUMPRODUCT(MAX(('Weight Log'!$A$5:$A$154=$A40)*('Weight Log'!$C$5:$C$154)))))</f>
        <v/>
      </c>
      <c r="T40" s="53" t="str">
        <f aca="false">IF($A40="","",S40-I40)</f>
        <v/>
      </c>
      <c r="U40" s="54" t="str">
        <f aca="false">IF($B40="Qurbani",COUNTIF($B$5:$B40,"Qurbani"),"")</f>
        <v/>
      </c>
      <c r="V40" s="54" t="str">
        <f aca="false">IF($B40="Dairy",COUNTIF($B$5:$B40,"Dairy"),"")</f>
        <v/>
      </c>
      <c r="W40" s="54" t="str">
        <f aca="false">IF($B40="Breeding Stock",COUNTIF($B$5:$B40,"Breeding Stock"),"")</f>
        <v/>
      </c>
    </row>
    <row r="41" customFormat="false" ht="15" hidden="false" customHeight="false" outlineLevel="0" collapsed="false">
      <c r="A41" s="38"/>
      <c r="B41" s="38"/>
      <c r="C41" s="38"/>
      <c r="D41" s="38"/>
      <c r="E41" s="38"/>
      <c r="F41" s="49"/>
      <c r="G41" s="38"/>
      <c r="H41" s="38"/>
      <c r="I41" s="50"/>
      <c r="J41" s="50"/>
      <c r="K41" s="51"/>
      <c r="L41" s="50"/>
      <c r="M41" s="50"/>
      <c r="N41" s="52" t="str">
        <f aca="false">IF(OR($K41="",$L41=""),"",$K41+$L41)</f>
        <v/>
      </c>
      <c r="O41" s="47" t="str">
        <f aca="true">IF(OR($K41="",$L41=""),"",IF($Q41="Sold",$L41,MIN($L41,MAX(0,TODAY()-$K41))))</f>
        <v/>
      </c>
      <c r="P41" s="47" t="str">
        <f aca="false">IF(OR($K41="",$L41=""),"",IF(O41&lt;=$L41*0.33,"Phase 1 - Adaptation",IF(O41&lt;=$L41*0.66,"Phase 2 - Growth","Phase 3 - Finishing")))</f>
        <v/>
      </c>
      <c r="Q41" s="38"/>
      <c r="R41" s="32"/>
      <c r="S41" s="53" t="str">
        <f aca="false">IF($A41="","",IF(SUMPRODUCT(MAX(('Weight Log'!$A$5:$A$154=$A41)*('Weight Log'!$C$5:$C$154)))=0,$I41,SUMPRODUCT(MAX(('Weight Log'!$A$5:$A$154=$A41)*('Weight Log'!$C$5:$C$154)))))</f>
        <v/>
      </c>
      <c r="T41" s="53" t="str">
        <f aca="false">IF($A41="","",S41-I41)</f>
        <v/>
      </c>
      <c r="U41" s="54" t="str">
        <f aca="false">IF($B41="Qurbani",COUNTIF($B$5:$B41,"Qurbani"),"")</f>
        <v/>
      </c>
      <c r="V41" s="54" t="str">
        <f aca="false">IF($B41="Dairy",COUNTIF($B$5:$B41,"Dairy"),"")</f>
        <v/>
      </c>
      <c r="W41" s="54" t="str">
        <f aca="false">IF($B41="Breeding Stock",COUNTIF($B$5:$B41,"Breeding Stock"),"")</f>
        <v/>
      </c>
    </row>
    <row r="42" customFormat="false" ht="15" hidden="false" customHeight="false" outlineLevel="0" collapsed="false">
      <c r="A42" s="38"/>
      <c r="B42" s="38"/>
      <c r="C42" s="38"/>
      <c r="D42" s="38"/>
      <c r="E42" s="38"/>
      <c r="F42" s="49"/>
      <c r="G42" s="38"/>
      <c r="H42" s="38"/>
      <c r="I42" s="50"/>
      <c r="J42" s="50"/>
      <c r="K42" s="51"/>
      <c r="L42" s="50"/>
      <c r="M42" s="50"/>
      <c r="N42" s="52" t="str">
        <f aca="false">IF(OR($K42="",$L42=""),"",$K42+$L42)</f>
        <v/>
      </c>
      <c r="O42" s="47" t="str">
        <f aca="true">IF(OR($K42="",$L42=""),"",IF($Q42="Sold",$L42,MIN($L42,MAX(0,TODAY()-$K42))))</f>
        <v/>
      </c>
      <c r="P42" s="47" t="str">
        <f aca="false">IF(OR($K42="",$L42=""),"",IF(O42&lt;=$L42*0.33,"Phase 1 - Adaptation",IF(O42&lt;=$L42*0.66,"Phase 2 - Growth","Phase 3 - Finishing")))</f>
        <v/>
      </c>
      <c r="Q42" s="38"/>
      <c r="R42" s="32"/>
      <c r="S42" s="53" t="str">
        <f aca="false">IF($A42="","",IF(SUMPRODUCT(MAX(('Weight Log'!$A$5:$A$154=$A42)*('Weight Log'!$C$5:$C$154)))=0,$I42,SUMPRODUCT(MAX(('Weight Log'!$A$5:$A$154=$A42)*('Weight Log'!$C$5:$C$154)))))</f>
        <v/>
      </c>
      <c r="T42" s="53" t="str">
        <f aca="false">IF($A42="","",S42-I42)</f>
        <v/>
      </c>
      <c r="U42" s="54" t="str">
        <f aca="false">IF($B42="Qurbani",COUNTIF($B$5:$B42,"Qurbani"),"")</f>
        <v/>
      </c>
      <c r="V42" s="54" t="str">
        <f aca="false">IF($B42="Dairy",COUNTIF($B$5:$B42,"Dairy"),"")</f>
        <v/>
      </c>
      <c r="W42" s="54" t="str">
        <f aca="false">IF($B42="Breeding Stock",COUNTIF($B$5:$B42,"Breeding Stock"),"")</f>
        <v/>
      </c>
    </row>
    <row r="43" customFormat="false" ht="15" hidden="false" customHeight="false" outlineLevel="0" collapsed="false">
      <c r="A43" s="38"/>
      <c r="B43" s="38"/>
      <c r="C43" s="38"/>
      <c r="D43" s="38"/>
      <c r="E43" s="38"/>
      <c r="F43" s="49"/>
      <c r="G43" s="38"/>
      <c r="H43" s="38"/>
      <c r="I43" s="50"/>
      <c r="J43" s="50"/>
      <c r="K43" s="51"/>
      <c r="L43" s="50"/>
      <c r="M43" s="50"/>
      <c r="N43" s="52" t="str">
        <f aca="false">IF(OR($K43="",$L43=""),"",$K43+$L43)</f>
        <v/>
      </c>
      <c r="O43" s="47" t="str">
        <f aca="true">IF(OR($K43="",$L43=""),"",IF($Q43="Sold",$L43,MIN($L43,MAX(0,TODAY()-$K43))))</f>
        <v/>
      </c>
      <c r="P43" s="47" t="str">
        <f aca="false">IF(OR($K43="",$L43=""),"",IF(O43&lt;=$L43*0.33,"Phase 1 - Adaptation",IF(O43&lt;=$L43*0.66,"Phase 2 - Growth","Phase 3 - Finishing")))</f>
        <v/>
      </c>
      <c r="Q43" s="38"/>
      <c r="R43" s="32"/>
      <c r="S43" s="53" t="str">
        <f aca="false">IF($A43="","",IF(SUMPRODUCT(MAX(('Weight Log'!$A$5:$A$154=$A43)*('Weight Log'!$C$5:$C$154)))=0,$I43,SUMPRODUCT(MAX(('Weight Log'!$A$5:$A$154=$A43)*('Weight Log'!$C$5:$C$154)))))</f>
        <v/>
      </c>
      <c r="T43" s="53" t="str">
        <f aca="false">IF($A43="","",S43-I43)</f>
        <v/>
      </c>
      <c r="U43" s="54" t="str">
        <f aca="false">IF($B43="Qurbani",COUNTIF($B$5:$B43,"Qurbani"),"")</f>
        <v/>
      </c>
      <c r="V43" s="54" t="str">
        <f aca="false">IF($B43="Dairy",COUNTIF($B$5:$B43,"Dairy"),"")</f>
        <v/>
      </c>
      <c r="W43" s="54" t="str">
        <f aca="false">IF($B43="Breeding Stock",COUNTIF($B$5:$B43,"Breeding Stock"),"")</f>
        <v/>
      </c>
    </row>
    <row r="44" customFormat="false" ht="15" hidden="false" customHeight="false" outlineLevel="0" collapsed="false">
      <c r="A44" s="38"/>
      <c r="B44" s="38"/>
      <c r="C44" s="38"/>
      <c r="D44" s="38"/>
      <c r="E44" s="38"/>
      <c r="F44" s="49"/>
      <c r="G44" s="38"/>
      <c r="H44" s="38"/>
      <c r="I44" s="50"/>
      <c r="J44" s="50"/>
      <c r="K44" s="51"/>
      <c r="L44" s="50"/>
      <c r="M44" s="50"/>
      <c r="N44" s="52" t="str">
        <f aca="false">IF(OR($K44="",$L44=""),"",$K44+$L44)</f>
        <v/>
      </c>
      <c r="O44" s="47" t="str">
        <f aca="true">IF(OR($K44="",$L44=""),"",IF($Q44="Sold",$L44,MIN($L44,MAX(0,TODAY()-$K44))))</f>
        <v/>
      </c>
      <c r="P44" s="47" t="str">
        <f aca="false">IF(OR($K44="",$L44=""),"",IF(O44&lt;=$L44*0.33,"Phase 1 - Adaptation",IF(O44&lt;=$L44*0.66,"Phase 2 - Growth","Phase 3 - Finishing")))</f>
        <v/>
      </c>
      <c r="Q44" s="38"/>
      <c r="R44" s="32"/>
      <c r="S44" s="53" t="str">
        <f aca="false">IF($A44="","",IF(SUMPRODUCT(MAX(('Weight Log'!$A$5:$A$154=$A44)*('Weight Log'!$C$5:$C$154)))=0,$I44,SUMPRODUCT(MAX(('Weight Log'!$A$5:$A$154=$A44)*('Weight Log'!$C$5:$C$154)))))</f>
        <v/>
      </c>
      <c r="T44" s="53" t="str">
        <f aca="false">IF($A44="","",S44-I44)</f>
        <v/>
      </c>
      <c r="U44" s="54" t="str">
        <f aca="false">IF($B44="Qurbani",COUNTIF($B$5:$B44,"Qurbani"),"")</f>
        <v/>
      </c>
      <c r="V44" s="54" t="str">
        <f aca="false">IF($B44="Dairy",COUNTIF($B$5:$B44,"Dairy"),"")</f>
        <v/>
      </c>
      <c r="W44" s="54" t="str">
        <f aca="false">IF($B44="Breeding Stock",COUNTIF($B$5:$B44,"Breeding Stock"),"")</f>
        <v/>
      </c>
    </row>
    <row r="45" customFormat="false" ht="15" hidden="false" customHeight="false" outlineLevel="0" collapsed="false">
      <c r="A45" s="38"/>
      <c r="B45" s="38"/>
      <c r="C45" s="38"/>
      <c r="D45" s="38"/>
      <c r="E45" s="38"/>
      <c r="F45" s="49"/>
      <c r="G45" s="38"/>
      <c r="H45" s="38"/>
      <c r="I45" s="50"/>
      <c r="J45" s="50"/>
      <c r="K45" s="51"/>
      <c r="L45" s="50"/>
      <c r="M45" s="50"/>
      <c r="N45" s="52" t="str">
        <f aca="false">IF(OR($K45="",$L45=""),"",$K45+$L45)</f>
        <v/>
      </c>
      <c r="O45" s="47" t="str">
        <f aca="true">IF(OR($K45="",$L45=""),"",IF($Q45="Sold",$L45,MIN($L45,MAX(0,TODAY()-$K45))))</f>
        <v/>
      </c>
      <c r="P45" s="47" t="str">
        <f aca="false">IF(OR($K45="",$L45=""),"",IF(O45&lt;=$L45*0.33,"Phase 1 - Adaptation",IF(O45&lt;=$L45*0.66,"Phase 2 - Growth","Phase 3 - Finishing")))</f>
        <v/>
      </c>
      <c r="Q45" s="38"/>
      <c r="R45" s="32"/>
      <c r="S45" s="53" t="str">
        <f aca="false">IF($A45="","",IF(SUMPRODUCT(MAX(('Weight Log'!$A$5:$A$154=$A45)*('Weight Log'!$C$5:$C$154)))=0,$I45,SUMPRODUCT(MAX(('Weight Log'!$A$5:$A$154=$A45)*('Weight Log'!$C$5:$C$154)))))</f>
        <v/>
      </c>
      <c r="T45" s="53" t="str">
        <f aca="false">IF($A45="","",S45-I45)</f>
        <v/>
      </c>
      <c r="U45" s="54" t="str">
        <f aca="false">IF($B45="Qurbani",COUNTIF($B$5:$B45,"Qurbani"),"")</f>
        <v/>
      </c>
      <c r="V45" s="54" t="str">
        <f aca="false">IF($B45="Dairy",COUNTIF($B$5:$B45,"Dairy"),"")</f>
        <v/>
      </c>
      <c r="W45" s="54" t="str">
        <f aca="false">IF($B45="Breeding Stock",COUNTIF($B$5:$B45,"Breeding Stock"),"")</f>
        <v/>
      </c>
    </row>
    <row r="46" customFormat="false" ht="15" hidden="false" customHeight="false" outlineLevel="0" collapsed="false">
      <c r="A46" s="38"/>
      <c r="B46" s="38"/>
      <c r="C46" s="38"/>
      <c r="D46" s="38"/>
      <c r="E46" s="38"/>
      <c r="F46" s="49"/>
      <c r="G46" s="38"/>
      <c r="H46" s="38"/>
      <c r="I46" s="50"/>
      <c r="J46" s="50"/>
      <c r="K46" s="51"/>
      <c r="L46" s="50"/>
      <c r="M46" s="50"/>
      <c r="N46" s="52" t="str">
        <f aca="false">IF(OR($K46="",$L46=""),"",$K46+$L46)</f>
        <v/>
      </c>
      <c r="O46" s="47" t="str">
        <f aca="true">IF(OR($K46="",$L46=""),"",IF($Q46="Sold",$L46,MIN($L46,MAX(0,TODAY()-$K46))))</f>
        <v/>
      </c>
      <c r="P46" s="47" t="str">
        <f aca="false">IF(OR($K46="",$L46=""),"",IF(O46&lt;=$L46*0.33,"Phase 1 - Adaptation",IF(O46&lt;=$L46*0.66,"Phase 2 - Growth","Phase 3 - Finishing")))</f>
        <v/>
      </c>
      <c r="Q46" s="38"/>
      <c r="R46" s="32"/>
      <c r="S46" s="53" t="str">
        <f aca="false">IF($A46="","",IF(SUMPRODUCT(MAX(('Weight Log'!$A$5:$A$154=$A46)*('Weight Log'!$C$5:$C$154)))=0,$I46,SUMPRODUCT(MAX(('Weight Log'!$A$5:$A$154=$A46)*('Weight Log'!$C$5:$C$154)))))</f>
        <v/>
      </c>
      <c r="T46" s="53" t="str">
        <f aca="false">IF($A46="","",S46-I46)</f>
        <v/>
      </c>
      <c r="U46" s="54" t="str">
        <f aca="false">IF($B46="Qurbani",COUNTIF($B$5:$B46,"Qurbani"),"")</f>
        <v/>
      </c>
      <c r="V46" s="54" t="str">
        <f aca="false">IF($B46="Dairy",COUNTIF($B$5:$B46,"Dairy"),"")</f>
        <v/>
      </c>
      <c r="W46" s="54" t="str">
        <f aca="false">IF($B46="Breeding Stock",COUNTIF($B$5:$B46,"Breeding Stock"),"")</f>
        <v/>
      </c>
    </row>
    <row r="47" customFormat="false" ht="15" hidden="false" customHeight="false" outlineLevel="0" collapsed="false">
      <c r="A47" s="38"/>
      <c r="B47" s="38"/>
      <c r="C47" s="38"/>
      <c r="D47" s="38"/>
      <c r="E47" s="38"/>
      <c r="F47" s="49"/>
      <c r="G47" s="38"/>
      <c r="H47" s="38"/>
      <c r="I47" s="50"/>
      <c r="J47" s="50"/>
      <c r="K47" s="51"/>
      <c r="L47" s="50"/>
      <c r="M47" s="50"/>
      <c r="N47" s="52" t="str">
        <f aca="false">IF(OR($K47="",$L47=""),"",$K47+$L47)</f>
        <v/>
      </c>
      <c r="O47" s="47" t="str">
        <f aca="true">IF(OR($K47="",$L47=""),"",IF($Q47="Sold",$L47,MIN($L47,MAX(0,TODAY()-$K47))))</f>
        <v/>
      </c>
      <c r="P47" s="47" t="str">
        <f aca="false">IF(OR($K47="",$L47=""),"",IF(O47&lt;=$L47*0.33,"Phase 1 - Adaptation",IF(O47&lt;=$L47*0.66,"Phase 2 - Growth","Phase 3 - Finishing")))</f>
        <v/>
      </c>
      <c r="Q47" s="38"/>
      <c r="R47" s="32"/>
      <c r="S47" s="53" t="str">
        <f aca="false">IF($A47="","",IF(SUMPRODUCT(MAX(('Weight Log'!$A$5:$A$154=$A47)*('Weight Log'!$C$5:$C$154)))=0,$I47,SUMPRODUCT(MAX(('Weight Log'!$A$5:$A$154=$A47)*('Weight Log'!$C$5:$C$154)))))</f>
        <v/>
      </c>
      <c r="T47" s="53" t="str">
        <f aca="false">IF($A47="","",S47-I47)</f>
        <v/>
      </c>
      <c r="U47" s="54" t="str">
        <f aca="false">IF($B47="Qurbani",COUNTIF($B$5:$B47,"Qurbani"),"")</f>
        <v/>
      </c>
      <c r="V47" s="54" t="str">
        <f aca="false">IF($B47="Dairy",COUNTIF($B$5:$B47,"Dairy"),"")</f>
        <v/>
      </c>
      <c r="W47" s="54" t="str">
        <f aca="false">IF($B47="Breeding Stock",COUNTIF($B$5:$B47,"Breeding Stock"),"")</f>
        <v/>
      </c>
    </row>
    <row r="48" customFormat="false" ht="15" hidden="false" customHeight="false" outlineLevel="0" collapsed="false">
      <c r="A48" s="38"/>
      <c r="B48" s="38"/>
      <c r="C48" s="38"/>
      <c r="D48" s="38"/>
      <c r="E48" s="38"/>
      <c r="F48" s="49"/>
      <c r="G48" s="38"/>
      <c r="H48" s="38"/>
      <c r="I48" s="50"/>
      <c r="J48" s="50"/>
      <c r="K48" s="51"/>
      <c r="L48" s="50"/>
      <c r="M48" s="50"/>
      <c r="N48" s="52" t="str">
        <f aca="false">IF(OR($K48="",$L48=""),"",$K48+$L48)</f>
        <v/>
      </c>
      <c r="O48" s="47" t="str">
        <f aca="true">IF(OR($K48="",$L48=""),"",IF($Q48="Sold",$L48,MIN($L48,MAX(0,TODAY()-$K48))))</f>
        <v/>
      </c>
      <c r="P48" s="47" t="str">
        <f aca="false">IF(OR($K48="",$L48=""),"",IF(O48&lt;=$L48*0.33,"Phase 1 - Adaptation",IF(O48&lt;=$L48*0.66,"Phase 2 - Growth","Phase 3 - Finishing")))</f>
        <v/>
      </c>
      <c r="Q48" s="38"/>
      <c r="R48" s="32"/>
      <c r="S48" s="53" t="str">
        <f aca="false">IF($A48="","",IF(SUMPRODUCT(MAX(('Weight Log'!$A$5:$A$154=$A48)*('Weight Log'!$C$5:$C$154)))=0,$I48,SUMPRODUCT(MAX(('Weight Log'!$A$5:$A$154=$A48)*('Weight Log'!$C$5:$C$154)))))</f>
        <v/>
      </c>
      <c r="T48" s="53" t="str">
        <f aca="false">IF($A48="","",S48-I48)</f>
        <v/>
      </c>
      <c r="U48" s="54" t="str">
        <f aca="false">IF($B48="Qurbani",COUNTIF($B$5:$B48,"Qurbani"),"")</f>
        <v/>
      </c>
      <c r="V48" s="54" t="str">
        <f aca="false">IF($B48="Dairy",COUNTIF($B$5:$B48,"Dairy"),"")</f>
        <v/>
      </c>
      <c r="W48" s="54" t="str">
        <f aca="false">IF($B48="Breeding Stock",COUNTIF($B$5:$B48,"Breeding Stock"),"")</f>
        <v/>
      </c>
    </row>
    <row r="49" customFormat="false" ht="15" hidden="false" customHeight="false" outlineLevel="0" collapsed="false">
      <c r="A49" s="38"/>
      <c r="B49" s="38"/>
      <c r="C49" s="38"/>
      <c r="D49" s="38"/>
      <c r="E49" s="38"/>
      <c r="F49" s="49"/>
      <c r="G49" s="38"/>
      <c r="H49" s="38"/>
      <c r="I49" s="50"/>
      <c r="J49" s="50"/>
      <c r="K49" s="51"/>
      <c r="L49" s="50"/>
      <c r="M49" s="50"/>
      <c r="N49" s="52" t="str">
        <f aca="false">IF(OR($K49="",$L49=""),"",$K49+$L49)</f>
        <v/>
      </c>
      <c r="O49" s="47" t="str">
        <f aca="true">IF(OR($K49="",$L49=""),"",IF($Q49="Sold",$L49,MIN($L49,MAX(0,TODAY()-$K49))))</f>
        <v/>
      </c>
      <c r="P49" s="47" t="str">
        <f aca="false">IF(OR($K49="",$L49=""),"",IF(O49&lt;=$L49*0.33,"Phase 1 - Adaptation",IF(O49&lt;=$L49*0.66,"Phase 2 - Growth","Phase 3 - Finishing")))</f>
        <v/>
      </c>
      <c r="Q49" s="38"/>
      <c r="R49" s="32"/>
      <c r="S49" s="53" t="str">
        <f aca="false">IF($A49="","",IF(SUMPRODUCT(MAX(('Weight Log'!$A$5:$A$154=$A49)*('Weight Log'!$C$5:$C$154)))=0,$I49,SUMPRODUCT(MAX(('Weight Log'!$A$5:$A$154=$A49)*('Weight Log'!$C$5:$C$154)))))</f>
        <v/>
      </c>
      <c r="T49" s="53" t="str">
        <f aca="false">IF($A49="","",S49-I49)</f>
        <v/>
      </c>
      <c r="U49" s="54" t="str">
        <f aca="false">IF($B49="Qurbani",COUNTIF($B$5:$B49,"Qurbani"),"")</f>
        <v/>
      </c>
      <c r="V49" s="54" t="str">
        <f aca="false">IF($B49="Dairy",COUNTIF($B$5:$B49,"Dairy"),"")</f>
        <v/>
      </c>
      <c r="W49" s="54" t="str">
        <f aca="false">IF($B49="Breeding Stock",COUNTIF($B$5:$B49,"Breeding Stock"),"")</f>
        <v/>
      </c>
    </row>
    <row r="50" customFormat="false" ht="15" hidden="false" customHeight="false" outlineLevel="0" collapsed="false">
      <c r="A50" s="38"/>
      <c r="B50" s="38"/>
      <c r="C50" s="38"/>
      <c r="D50" s="38"/>
      <c r="E50" s="38"/>
      <c r="F50" s="49"/>
      <c r="G50" s="38"/>
      <c r="H50" s="38"/>
      <c r="I50" s="50"/>
      <c r="J50" s="50"/>
      <c r="K50" s="51"/>
      <c r="L50" s="50"/>
      <c r="M50" s="50"/>
      <c r="N50" s="52" t="str">
        <f aca="false">IF(OR($K50="",$L50=""),"",$K50+$L50)</f>
        <v/>
      </c>
      <c r="O50" s="47" t="str">
        <f aca="true">IF(OR($K50="",$L50=""),"",IF($Q50="Sold",$L50,MIN($L50,MAX(0,TODAY()-$K50))))</f>
        <v/>
      </c>
      <c r="P50" s="47" t="str">
        <f aca="false">IF(OR($K50="",$L50=""),"",IF(O50&lt;=$L50*0.33,"Phase 1 - Adaptation",IF(O50&lt;=$L50*0.66,"Phase 2 - Growth","Phase 3 - Finishing")))</f>
        <v/>
      </c>
      <c r="Q50" s="38"/>
      <c r="R50" s="32"/>
      <c r="S50" s="53" t="str">
        <f aca="false">IF($A50="","",IF(SUMPRODUCT(MAX(('Weight Log'!$A$5:$A$154=$A50)*('Weight Log'!$C$5:$C$154)))=0,$I50,SUMPRODUCT(MAX(('Weight Log'!$A$5:$A$154=$A50)*('Weight Log'!$C$5:$C$154)))))</f>
        <v/>
      </c>
      <c r="T50" s="53" t="str">
        <f aca="false">IF($A50="","",S50-I50)</f>
        <v/>
      </c>
      <c r="U50" s="54" t="str">
        <f aca="false">IF($B50="Qurbani",COUNTIF($B$5:$B50,"Qurbani"),"")</f>
        <v/>
      </c>
      <c r="V50" s="54" t="str">
        <f aca="false">IF($B50="Dairy",COUNTIF($B$5:$B50,"Dairy"),"")</f>
        <v/>
      </c>
      <c r="W50" s="54" t="str">
        <f aca="false">IF($B50="Breeding Stock",COUNTIF($B$5:$B50,"Breeding Stock"),"")</f>
        <v/>
      </c>
    </row>
    <row r="51" customFormat="false" ht="15" hidden="false" customHeight="false" outlineLevel="0" collapsed="false">
      <c r="A51" s="38"/>
      <c r="B51" s="38"/>
      <c r="C51" s="38"/>
      <c r="D51" s="38"/>
      <c r="E51" s="38"/>
      <c r="F51" s="49"/>
      <c r="G51" s="38"/>
      <c r="H51" s="38"/>
      <c r="I51" s="50"/>
      <c r="J51" s="50"/>
      <c r="K51" s="51"/>
      <c r="L51" s="50"/>
      <c r="M51" s="50"/>
      <c r="N51" s="52" t="str">
        <f aca="false">IF(OR($K51="",$L51=""),"",$K51+$L51)</f>
        <v/>
      </c>
      <c r="O51" s="47" t="str">
        <f aca="true">IF(OR($K51="",$L51=""),"",IF($Q51="Sold",$L51,MIN($L51,MAX(0,TODAY()-$K51))))</f>
        <v/>
      </c>
      <c r="P51" s="47" t="str">
        <f aca="false">IF(OR($K51="",$L51=""),"",IF(O51&lt;=$L51*0.33,"Phase 1 - Adaptation",IF(O51&lt;=$L51*0.66,"Phase 2 - Growth","Phase 3 - Finishing")))</f>
        <v/>
      </c>
      <c r="Q51" s="38"/>
      <c r="R51" s="32"/>
      <c r="S51" s="53" t="str">
        <f aca="false">IF($A51="","",IF(SUMPRODUCT(MAX(('Weight Log'!$A$5:$A$154=$A51)*('Weight Log'!$C$5:$C$154)))=0,$I51,SUMPRODUCT(MAX(('Weight Log'!$A$5:$A$154=$A51)*('Weight Log'!$C$5:$C$154)))))</f>
        <v/>
      </c>
      <c r="T51" s="53" t="str">
        <f aca="false">IF($A51="","",S51-I51)</f>
        <v/>
      </c>
      <c r="U51" s="54" t="str">
        <f aca="false">IF($B51="Qurbani",COUNTIF($B$5:$B51,"Qurbani"),"")</f>
        <v/>
      </c>
      <c r="V51" s="54" t="str">
        <f aca="false">IF($B51="Dairy",COUNTIF($B$5:$B51,"Dairy"),"")</f>
        <v/>
      </c>
      <c r="W51" s="54" t="str">
        <f aca="false">IF($B51="Breeding Stock",COUNTIF($B$5:$B51,"Breeding Stock"),"")</f>
        <v/>
      </c>
    </row>
    <row r="52" customFormat="false" ht="15" hidden="false" customHeight="false" outlineLevel="0" collapsed="false">
      <c r="A52" s="38"/>
      <c r="B52" s="38"/>
      <c r="C52" s="38"/>
      <c r="D52" s="38"/>
      <c r="E52" s="38"/>
      <c r="F52" s="49"/>
      <c r="G52" s="38"/>
      <c r="H52" s="38"/>
      <c r="I52" s="50"/>
      <c r="J52" s="50"/>
      <c r="K52" s="51"/>
      <c r="L52" s="50"/>
      <c r="M52" s="50"/>
      <c r="N52" s="52" t="str">
        <f aca="false">IF(OR($K52="",$L52=""),"",$K52+$L52)</f>
        <v/>
      </c>
      <c r="O52" s="47" t="str">
        <f aca="true">IF(OR($K52="",$L52=""),"",IF($Q52="Sold",$L52,MIN($L52,MAX(0,TODAY()-$K52))))</f>
        <v/>
      </c>
      <c r="P52" s="47" t="str">
        <f aca="false">IF(OR($K52="",$L52=""),"",IF(O52&lt;=$L52*0.33,"Phase 1 - Adaptation",IF(O52&lt;=$L52*0.66,"Phase 2 - Growth","Phase 3 - Finishing")))</f>
        <v/>
      </c>
      <c r="Q52" s="38"/>
      <c r="R52" s="32"/>
      <c r="S52" s="53" t="str">
        <f aca="false">IF($A52="","",IF(SUMPRODUCT(MAX(('Weight Log'!$A$5:$A$154=$A52)*('Weight Log'!$C$5:$C$154)))=0,$I52,SUMPRODUCT(MAX(('Weight Log'!$A$5:$A$154=$A52)*('Weight Log'!$C$5:$C$154)))))</f>
        <v/>
      </c>
      <c r="T52" s="53" t="str">
        <f aca="false">IF($A52="","",S52-I52)</f>
        <v/>
      </c>
      <c r="U52" s="54" t="str">
        <f aca="false">IF($B52="Qurbani",COUNTIF($B$5:$B52,"Qurbani"),"")</f>
        <v/>
      </c>
      <c r="V52" s="54" t="str">
        <f aca="false">IF($B52="Dairy",COUNTIF($B$5:$B52,"Dairy"),"")</f>
        <v/>
      </c>
      <c r="W52" s="54" t="str">
        <f aca="false">IF($B52="Breeding Stock",COUNTIF($B$5:$B52,"Breeding Stock"),"")</f>
        <v/>
      </c>
    </row>
    <row r="53" customFormat="false" ht="15" hidden="false" customHeight="false" outlineLevel="0" collapsed="false">
      <c r="A53" s="38"/>
      <c r="B53" s="38"/>
      <c r="C53" s="38"/>
      <c r="D53" s="38"/>
      <c r="E53" s="38"/>
      <c r="F53" s="49"/>
      <c r="G53" s="38"/>
      <c r="H53" s="38"/>
      <c r="I53" s="50"/>
      <c r="J53" s="50"/>
      <c r="K53" s="51"/>
      <c r="L53" s="50"/>
      <c r="M53" s="50"/>
      <c r="N53" s="52" t="str">
        <f aca="false">IF(OR($K53="",$L53=""),"",$K53+$L53)</f>
        <v/>
      </c>
      <c r="O53" s="47" t="str">
        <f aca="true">IF(OR($K53="",$L53=""),"",IF($Q53="Sold",$L53,MIN($L53,MAX(0,TODAY()-$K53))))</f>
        <v/>
      </c>
      <c r="P53" s="47" t="str">
        <f aca="false">IF(OR($K53="",$L53=""),"",IF(O53&lt;=$L53*0.33,"Phase 1 - Adaptation",IF(O53&lt;=$L53*0.66,"Phase 2 - Growth","Phase 3 - Finishing")))</f>
        <v/>
      </c>
      <c r="Q53" s="38"/>
      <c r="R53" s="32"/>
      <c r="S53" s="53" t="str">
        <f aca="false">IF($A53="","",IF(SUMPRODUCT(MAX(('Weight Log'!$A$5:$A$154=$A53)*('Weight Log'!$C$5:$C$154)))=0,$I53,SUMPRODUCT(MAX(('Weight Log'!$A$5:$A$154=$A53)*('Weight Log'!$C$5:$C$154)))))</f>
        <v/>
      </c>
      <c r="T53" s="53" t="str">
        <f aca="false">IF($A53="","",S53-I53)</f>
        <v/>
      </c>
      <c r="U53" s="54" t="str">
        <f aca="false">IF($B53="Qurbani",COUNTIF($B$5:$B53,"Qurbani"),"")</f>
        <v/>
      </c>
      <c r="V53" s="54" t="str">
        <f aca="false">IF($B53="Dairy",COUNTIF($B$5:$B53,"Dairy"),"")</f>
        <v/>
      </c>
      <c r="W53" s="54" t="str">
        <f aca="false">IF($B53="Breeding Stock",COUNTIF($B$5:$B53,"Breeding Stock"),"")</f>
        <v/>
      </c>
    </row>
    <row r="54" customFormat="false" ht="15" hidden="false" customHeight="false" outlineLevel="0" collapsed="false">
      <c r="A54" s="38"/>
      <c r="B54" s="38"/>
      <c r="C54" s="38"/>
      <c r="D54" s="38"/>
      <c r="E54" s="38"/>
      <c r="F54" s="49"/>
      <c r="G54" s="38"/>
      <c r="H54" s="38"/>
      <c r="I54" s="50"/>
      <c r="J54" s="50"/>
      <c r="K54" s="51"/>
      <c r="L54" s="50"/>
      <c r="M54" s="50"/>
      <c r="N54" s="52" t="str">
        <f aca="false">IF(OR($K54="",$L54=""),"",$K54+$L54)</f>
        <v/>
      </c>
      <c r="O54" s="47" t="str">
        <f aca="true">IF(OR($K54="",$L54=""),"",IF($Q54="Sold",$L54,MIN($L54,MAX(0,TODAY()-$K54))))</f>
        <v/>
      </c>
      <c r="P54" s="47" t="str">
        <f aca="false">IF(OR($K54="",$L54=""),"",IF(O54&lt;=$L54*0.33,"Phase 1 - Adaptation",IF(O54&lt;=$L54*0.66,"Phase 2 - Growth","Phase 3 - Finishing")))</f>
        <v/>
      </c>
      <c r="Q54" s="38"/>
      <c r="R54" s="32"/>
      <c r="S54" s="53" t="str">
        <f aca="false">IF($A54="","",IF(SUMPRODUCT(MAX(('Weight Log'!$A$5:$A$154=$A54)*('Weight Log'!$C$5:$C$154)))=0,$I54,SUMPRODUCT(MAX(('Weight Log'!$A$5:$A$154=$A54)*('Weight Log'!$C$5:$C$154)))))</f>
        <v/>
      </c>
      <c r="T54" s="53" t="str">
        <f aca="false">IF($A54="","",S54-I54)</f>
        <v/>
      </c>
      <c r="U54" s="54" t="str">
        <f aca="false">IF($B54="Qurbani",COUNTIF($B$5:$B54,"Qurbani"),"")</f>
        <v/>
      </c>
      <c r="V54" s="54" t="str">
        <f aca="false">IF($B54="Dairy",COUNTIF($B$5:$B54,"Dairy"),"")</f>
        <v/>
      </c>
      <c r="W54" s="54" t="str">
        <f aca="false">IF($B54="Breeding Stock",COUNTIF($B$5:$B54,"Breeding Stock"),"")</f>
        <v/>
      </c>
    </row>
    <row r="55" customFormat="false" ht="15" hidden="false" customHeight="false" outlineLevel="0" collapsed="false">
      <c r="A55" s="38"/>
      <c r="B55" s="38"/>
      <c r="C55" s="38"/>
      <c r="D55" s="38"/>
      <c r="E55" s="38"/>
      <c r="F55" s="49"/>
      <c r="G55" s="38"/>
      <c r="H55" s="38"/>
      <c r="I55" s="50"/>
      <c r="J55" s="50"/>
      <c r="K55" s="51"/>
      <c r="L55" s="50"/>
      <c r="M55" s="50"/>
      <c r="N55" s="52" t="str">
        <f aca="false">IF(OR($K55="",$L55=""),"",$K55+$L55)</f>
        <v/>
      </c>
      <c r="O55" s="47" t="str">
        <f aca="true">IF(OR($K55="",$L55=""),"",IF($Q55="Sold",$L55,MIN($L55,MAX(0,TODAY()-$K55))))</f>
        <v/>
      </c>
      <c r="P55" s="47" t="str">
        <f aca="false">IF(OR($K55="",$L55=""),"",IF(O55&lt;=$L55*0.33,"Phase 1 - Adaptation",IF(O55&lt;=$L55*0.66,"Phase 2 - Growth","Phase 3 - Finishing")))</f>
        <v/>
      </c>
      <c r="Q55" s="38"/>
      <c r="R55" s="32"/>
      <c r="S55" s="53" t="str">
        <f aca="false">IF($A55="","",IF(SUMPRODUCT(MAX(('Weight Log'!$A$5:$A$154=$A55)*('Weight Log'!$C$5:$C$154)))=0,$I55,SUMPRODUCT(MAX(('Weight Log'!$A$5:$A$154=$A55)*('Weight Log'!$C$5:$C$154)))))</f>
        <v/>
      </c>
      <c r="T55" s="53" t="str">
        <f aca="false">IF($A55="","",S55-I55)</f>
        <v/>
      </c>
      <c r="U55" s="54" t="str">
        <f aca="false">IF($B55="Qurbani",COUNTIF($B$5:$B55,"Qurbani"),"")</f>
        <v/>
      </c>
      <c r="V55" s="54" t="str">
        <f aca="false">IF($B55="Dairy",COUNTIF($B$5:$B55,"Dairy"),"")</f>
        <v/>
      </c>
      <c r="W55" s="54" t="str">
        <f aca="false">IF($B55="Breeding Stock",COUNTIF($B$5:$B55,"Breeding Stock"),"")</f>
        <v/>
      </c>
    </row>
    <row r="56" customFormat="false" ht="15" hidden="false" customHeight="false" outlineLevel="0" collapsed="false">
      <c r="A56" s="38"/>
      <c r="B56" s="38"/>
      <c r="C56" s="38"/>
      <c r="D56" s="38"/>
      <c r="E56" s="38"/>
      <c r="F56" s="49"/>
      <c r="G56" s="38"/>
      <c r="H56" s="38"/>
      <c r="I56" s="50"/>
      <c r="J56" s="50"/>
      <c r="K56" s="51"/>
      <c r="L56" s="50"/>
      <c r="M56" s="50"/>
      <c r="N56" s="52" t="str">
        <f aca="false">IF(OR($K56="",$L56=""),"",$K56+$L56)</f>
        <v/>
      </c>
      <c r="O56" s="47" t="str">
        <f aca="true">IF(OR($K56="",$L56=""),"",IF($Q56="Sold",$L56,MIN($L56,MAX(0,TODAY()-$K56))))</f>
        <v/>
      </c>
      <c r="P56" s="47" t="str">
        <f aca="false">IF(OR($K56="",$L56=""),"",IF(O56&lt;=$L56*0.33,"Phase 1 - Adaptation",IF(O56&lt;=$L56*0.66,"Phase 2 - Growth","Phase 3 - Finishing")))</f>
        <v/>
      </c>
      <c r="Q56" s="38"/>
      <c r="R56" s="32"/>
      <c r="S56" s="53" t="str">
        <f aca="false">IF($A56="","",IF(SUMPRODUCT(MAX(('Weight Log'!$A$5:$A$154=$A56)*('Weight Log'!$C$5:$C$154)))=0,$I56,SUMPRODUCT(MAX(('Weight Log'!$A$5:$A$154=$A56)*('Weight Log'!$C$5:$C$154)))))</f>
        <v/>
      </c>
      <c r="T56" s="53" t="str">
        <f aca="false">IF($A56="","",S56-I56)</f>
        <v/>
      </c>
      <c r="U56" s="54" t="str">
        <f aca="false">IF($B56="Qurbani",COUNTIF($B$5:$B56,"Qurbani"),"")</f>
        <v/>
      </c>
      <c r="V56" s="54" t="str">
        <f aca="false">IF($B56="Dairy",COUNTIF($B$5:$B56,"Dairy"),"")</f>
        <v/>
      </c>
      <c r="W56" s="54" t="str">
        <f aca="false">IF($B56="Breeding Stock",COUNTIF($B$5:$B56,"Breeding Stock"),"")</f>
        <v/>
      </c>
    </row>
    <row r="57" customFormat="false" ht="15" hidden="false" customHeight="false" outlineLevel="0" collapsed="false">
      <c r="A57" s="38"/>
      <c r="B57" s="38"/>
      <c r="C57" s="38"/>
      <c r="D57" s="38"/>
      <c r="E57" s="38"/>
      <c r="F57" s="49"/>
      <c r="G57" s="38"/>
      <c r="H57" s="38"/>
      <c r="I57" s="50"/>
      <c r="J57" s="50"/>
      <c r="K57" s="51"/>
      <c r="L57" s="50"/>
      <c r="M57" s="50"/>
      <c r="N57" s="52" t="str">
        <f aca="false">IF(OR($K57="",$L57=""),"",$K57+$L57)</f>
        <v/>
      </c>
      <c r="O57" s="47" t="str">
        <f aca="true">IF(OR($K57="",$L57=""),"",IF($Q57="Sold",$L57,MIN($L57,MAX(0,TODAY()-$K57))))</f>
        <v/>
      </c>
      <c r="P57" s="47" t="str">
        <f aca="false">IF(OR($K57="",$L57=""),"",IF(O57&lt;=$L57*0.33,"Phase 1 - Adaptation",IF(O57&lt;=$L57*0.66,"Phase 2 - Growth","Phase 3 - Finishing")))</f>
        <v/>
      </c>
      <c r="Q57" s="38"/>
      <c r="R57" s="32"/>
      <c r="S57" s="53" t="str">
        <f aca="false">IF($A57="","",IF(SUMPRODUCT(MAX(('Weight Log'!$A$5:$A$154=$A57)*('Weight Log'!$C$5:$C$154)))=0,$I57,SUMPRODUCT(MAX(('Weight Log'!$A$5:$A$154=$A57)*('Weight Log'!$C$5:$C$154)))))</f>
        <v/>
      </c>
      <c r="T57" s="53" t="str">
        <f aca="false">IF($A57="","",S57-I57)</f>
        <v/>
      </c>
      <c r="U57" s="54" t="str">
        <f aca="false">IF($B57="Qurbani",COUNTIF($B$5:$B57,"Qurbani"),"")</f>
        <v/>
      </c>
      <c r="V57" s="54" t="str">
        <f aca="false">IF($B57="Dairy",COUNTIF($B$5:$B57,"Dairy"),"")</f>
        <v/>
      </c>
      <c r="W57" s="54" t="str">
        <f aca="false">IF($B57="Breeding Stock",COUNTIF($B$5:$B57,"Breeding Stock"),"")</f>
        <v/>
      </c>
    </row>
    <row r="58" customFormat="false" ht="15" hidden="false" customHeight="false" outlineLevel="0" collapsed="false">
      <c r="A58" s="38"/>
      <c r="B58" s="38"/>
      <c r="C58" s="38"/>
      <c r="D58" s="38"/>
      <c r="E58" s="38"/>
      <c r="F58" s="49"/>
      <c r="G58" s="38"/>
      <c r="H58" s="38"/>
      <c r="I58" s="50"/>
      <c r="J58" s="50"/>
      <c r="K58" s="51"/>
      <c r="L58" s="50"/>
      <c r="M58" s="50"/>
      <c r="N58" s="52" t="str">
        <f aca="false">IF(OR($K58="",$L58=""),"",$K58+$L58)</f>
        <v/>
      </c>
      <c r="O58" s="47" t="str">
        <f aca="true">IF(OR($K58="",$L58=""),"",IF($Q58="Sold",$L58,MIN($L58,MAX(0,TODAY()-$K58))))</f>
        <v/>
      </c>
      <c r="P58" s="47" t="str">
        <f aca="false">IF(OR($K58="",$L58=""),"",IF(O58&lt;=$L58*0.33,"Phase 1 - Adaptation",IF(O58&lt;=$L58*0.66,"Phase 2 - Growth","Phase 3 - Finishing")))</f>
        <v/>
      </c>
      <c r="Q58" s="38"/>
      <c r="R58" s="32"/>
      <c r="S58" s="53" t="str">
        <f aca="false">IF($A58="","",IF(SUMPRODUCT(MAX(('Weight Log'!$A$5:$A$154=$A58)*('Weight Log'!$C$5:$C$154)))=0,$I58,SUMPRODUCT(MAX(('Weight Log'!$A$5:$A$154=$A58)*('Weight Log'!$C$5:$C$154)))))</f>
        <v/>
      </c>
      <c r="T58" s="53" t="str">
        <f aca="false">IF($A58="","",S58-I58)</f>
        <v/>
      </c>
      <c r="U58" s="54" t="str">
        <f aca="false">IF($B58="Qurbani",COUNTIF($B$5:$B58,"Qurbani"),"")</f>
        <v/>
      </c>
      <c r="V58" s="54" t="str">
        <f aca="false">IF($B58="Dairy",COUNTIF($B$5:$B58,"Dairy"),"")</f>
        <v/>
      </c>
      <c r="W58" s="54" t="str">
        <f aca="false">IF($B58="Breeding Stock",COUNTIF($B$5:$B58,"Breeding Stock"),"")</f>
        <v/>
      </c>
    </row>
    <row r="59" customFormat="false" ht="15" hidden="false" customHeight="false" outlineLevel="0" collapsed="false">
      <c r="A59" s="38"/>
      <c r="B59" s="38"/>
      <c r="C59" s="38"/>
      <c r="D59" s="38"/>
      <c r="E59" s="38"/>
      <c r="F59" s="49"/>
      <c r="G59" s="38"/>
      <c r="H59" s="38"/>
      <c r="I59" s="50"/>
      <c r="J59" s="50"/>
      <c r="K59" s="51"/>
      <c r="L59" s="50"/>
      <c r="M59" s="50"/>
      <c r="N59" s="52" t="str">
        <f aca="false">IF(OR($K59="",$L59=""),"",$K59+$L59)</f>
        <v/>
      </c>
      <c r="O59" s="47" t="str">
        <f aca="true">IF(OR($K59="",$L59=""),"",IF($Q59="Sold",$L59,MIN($L59,MAX(0,TODAY()-$K59))))</f>
        <v/>
      </c>
      <c r="P59" s="47" t="str">
        <f aca="false">IF(OR($K59="",$L59=""),"",IF(O59&lt;=$L59*0.33,"Phase 1 - Adaptation",IF(O59&lt;=$L59*0.66,"Phase 2 - Growth","Phase 3 - Finishing")))</f>
        <v/>
      </c>
      <c r="Q59" s="38"/>
      <c r="R59" s="32"/>
      <c r="S59" s="53" t="str">
        <f aca="false">IF($A59="","",IF(SUMPRODUCT(MAX(('Weight Log'!$A$5:$A$154=$A59)*('Weight Log'!$C$5:$C$154)))=0,$I59,SUMPRODUCT(MAX(('Weight Log'!$A$5:$A$154=$A59)*('Weight Log'!$C$5:$C$154)))))</f>
        <v/>
      </c>
      <c r="T59" s="53" t="str">
        <f aca="false">IF($A59="","",S59-I59)</f>
        <v/>
      </c>
      <c r="U59" s="54" t="str">
        <f aca="false">IF($B59="Qurbani",COUNTIF($B$5:$B59,"Qurbani"),"")</f>
        <v/>
      </c>
      <c r="V59" s="54" t="str">
        <f aca="false">IF($B59="Dairy",COUNTIF($B$5:$B59,"Dairy"),"")</f>
        <v/>
      </c>
      <c r="W59" s="54" t="str">
        <f aca="false">IF($B59="Breeding Stock",COUNTIF($B$5:$B59,"Breeding Stock"),"")</f>
        <v/>
      </c>
    </row>
    <row r="60" customFormat="false" ht="15" hidden="false" customHeight="false" outlineLevel="0" collapsed="false">
      <c r="A60" s="38"/>
      <c r="B60" s="38"/>
      <c r="C60" s="38"/>
      <c r="D60" s="38"/>
      <c r="E60" s="38"/>
      <c r="F60" s="49"/>
      <c r="G60" s="38"/>
      <c r="H60" s="38"/>
      <c r="I60" s="50"/>
      <c r="J60" s="50"/>
      <c r="K60" s="51"/>
      <c r="L60" s="50"/>
      <c r="M60" s="50"/>
      <c r="N60" s="52" t="str">
        <f aca="false">IF(OR($K60="",$L60=""),"",$K60+$L60)</f>
        <v/>
      </c>
      <c r="O60" s="47" t="str">
        <f aca="true">IF(OR($K60="",$L60=""),"",IF($Q60="Sold",$L60,MIN($L60,MAX(0,TODAY()-$K60))))</f>
        <v/>
      </c>
      <c r="P60" s="47" t="str">
        <f aca="false">IF(OR($K60="",$L60=""),"",IF(O60&lt;=$L60*0.33,"Phase 1 - Adaptation",IF(O60&lt;=$L60*0.66,"Phase 2 - Growth","Phase 3 - Finishing")))</f>
        <v/>
      </c>
      <c r="Q60" s="38"/>
      <c r="R60" s="32"/>
      <c r="S60" s="53" t="str">
        <f aca="false">IF($A60="","",IF(SUMPRODUCT(MAX(('Weight Log'!$A$5:$A$154=$A60)*('Weight Log'!$C$5:$C$154)))=0,$I60,SUMPRODUCT(MAX(('Weight Log'!$A$5:$A$154=$A60)*('Weight Log'!$C$5:$C$154)))))</f>
        <v/>
      </c>
      <c r="T60" s="53" t="str">
        <f aca="false">IF($A60="","",S60-I60)</f>
        <v/>
      </c>
      <c r="U60" s="54" t="str">
        <f aca="false">IF($B60="Qurbani",COUNTIF($B$5:$B60,"Qurbani"),"")</f>
        <v/>
      </c>
      <c r="V60" s="54" t="str">
        <f aca="false">IF($B60="Dairy",COUNTIF($B$5:$B60,"Dairy"),"")</f>
        <v/>
      </c>
      <c r="W60" s="54" t="str">
        <f aca="false">IF($B60="Breeding Stock",COUNTIF($B$5:$B60,"Breeding Stock"),"")</f>
        <v/>
      </c>
    </row>
    <row r="61" customFormat="false" ht="15" hidden="false" customHeight="false" outlineLevel="0" collapsed="false">
      <c r="A61" s="38"/>
      <c r="B61" s="38"/>
      <c r="C61" s="38"/>
      <c r="D61" s="38"/>
      <c r="E61" s="38"/>
      <c r="F61" s="49"/>
      <c r="G61" s="38"/>
      <c r="H61" s="38"/>
      <c r="I61" s="50"/>
      <c r="J61" s="50"/>
      <c r="K61" s="51"/>
      <c r="L61" s="50"/>
      <c r="M61" s="50"/>
      <c r="N61" s="52" t="str">
        <f aca="false">IF(OR($K61="",$L61=""),"",$K61+$L61)</f>
        <v/>
      </c>
      <c r="O61" s="47" t="str">
        <f aca="true">IF(OR($K61="",$L61=""),"",IF($Q61="Sold",$L61,MIN($L61,MAX(0,TODAY()-$K61))))</f>
        <v/>
      </c>
      <c r="P61" s="47" t="str">
        <f aca="false">IF(OR($K61="",$L61=""),"",IF(O61&lt;=$L61*0.33,"Phase 1 - Adaptation",IF(O61&lt;=$L61*0.66,"Phase 2 - Growth","Phase 3 - Finishing")))</f>
        <v/>
      </c>
      <c r="Q61" s="38"/>
      <c r="R61" s="32"/>
      <c r="S61" s="53" t="str">
        <f aca="false">IF($A61="","",IF(SUMPRODUCT(MAX(('Weight Log'!$A$5:$A$154=$A61)*('Weight Log'!$C$5:$C$154)))=0,$I61,SUMPRODUCT(MAX(('Weight Log'!$A$5:$A$154=$A61)*('Weight Log'!$C$5:$C$154)))))</f>
        <v/>
      </c>
      <c r="T61" s="53" t="str">
        <f aca="false">IF($A61="","",S61-I61)</f>
        <v/>
      </c>
      <c r="U61" s="54" t="str">
        <f aca="false">IF($B61="Qurbani",COUNTIF($B$5:$B61,"Qurbani"),"")</f>
        <v/>
      </c>
      <c r="V61" s="54" t="str">
        <f aca="false">IF($B61="Dairy",COUNTIF($B$5:$B61,"Dairy"),"")</f>
        <v/>
      </c>
      <c r="W61" s="54" t="str">
        <f aca="false">IF($B61="Breeding Stock",COUNTIF($B$5:$B61,"Breeding Stock"),"")</f>
        <v/>
      </c>
    </row>
    <row r="62" customFormat="false" ht="15" hidden="false" customHeight="false" outlineLevel="0" collapsed="false">
      <c r="A62" s="38"/>
      <c r="B62" s="38"/>
      <c r="C62" s="38"/>
      <c r="D62" s="38"/>
      <c r="E62" s="38"/>
      <c r="F62" s="49"/>
      <c r="G62" s="38"/>
      <c r="H62" s="38"/>
      <c r="I62" s="50"/>
      <c r="J62" s="50"/>
      <c r="K62" s="51"/>
      <c r="L62" s="50"/>
      <c r="M62" s="50"/>
      <c r="N62" s="52" t="str">
        <f aca="false">IF(OR($K62="",$L62=""),"",$K62+$L62)</f>
        <v/>
      </c>
      <c r="O62" s="47" t="str">
        <f aca="true">IF(OR($K62="",$L62=""),"",IF($Q62="Sold",$L62,MIN($L62,MAX(0,TODAY()-$K62))))</f>
        <v/>
      </c>
      <c r="P62" s="47" t="str">
        <f aca="false">IF(OR($K62="",$L62=""),"",IF(O62&lt;=$L62*0.33,"Phase 1 - Adaptation",IF(O62&lt;=$L62*0.66,"Phase 2 - Growth","Phase 3 - Finishing")))</f>
        <v/>
      </c>
      <c r="Q62" s="38"/>
      <c r="R62" s="32"/>
      <c r="S62" s="53" t="str">
        <f aca="false">IF($A62="","",IF(SUMPRODUCT(MAX(('Weight Log'!$A$5:$A$154=$A62)*('Weight Log'!$C$5:$C$154)))=0,$I62,SUMPRODUCT(MAX(('Weight Log'!$A$5:$A$154=$A62)*('Weight Log'!$C$5:$C$154)))))</f>
        <v/>
      </c>
      <c r="T62" s="53" t="str">
        <f aca="false">IF($A62="","",S62-I62)</f>
        <v/>
      </c>
      <c r="U62" s="54" t="str">
        <f aca="false">IF($B62="Qurbani",COUNTIF($B$5:$B62,"Qurbani"),"")</f>
        <v/>
      </c>
      <c r="V62" s="54" t="str">
        <f aca="false">IF($B62="Dairy",COUNTIF($B$5:$B62,"Dairy"),"")</f>
        <v/>
      </c>
      <c r="W62" s="54" t="str">
        <f aca="false">IF($B62="Breeding Stock",COUNTIF($B$5:$B62,"Breeding Stock"),"")</f>
        <v/>
      </c>
    </row>
    <row r="63" customFormat="false" ht="15" hidden="false" customHeight="false" outlineLevel="0" collapsed="false">
      <c r="A63" s="38"/>
      <c r="B63" s="38"/>
      <c r="C63" s="38"/>
      <c r="D63" s="38"/>
      <c r="E63" s="38"/>
      <c r="F63" s="49"/>
      <c r="G63" s="38"/>
      <c r="H63" s="38"/>
      <c r="I63" s="50"/>
      <c r="J63" s="50"/>
      <c r="K63" s="51"/>
      <c r="L63" s="50"/>
      <c r="M63" s="50"/>
      <c r="N63" s="52" t="str">
        <f aca="false">IF(OR($K63="",$L63=""),"",$K63+$L63)</f>
        <v/>
      </c>
      <c r="O63" s="47" t="str">
        <f aca="true">IF(OR($K63="",$L63=""),"",IF($Q63="Sold",$L63,MIN($L63,MAX(0,TODAY()-$K63))))</f>
        <v/>
      </c>
      <c r="P63" s="47" t="str">
        <f aca="false">IF(OR($K63="",$L63=""),"",IF(O63&lt;=$L63*0.33,"Phase 1 - Adaptation",IF(O63&lt;=$L63*0.66,"Phase 2 - Growth","Phase 3 - Finishing")))</f>
        <v/>
      </c>
      <c r="Q63" s="38"/>
      <c r="R63" s="32"/>
      <c r="S63" s="53" t="str">
        <f aca="false">IF($A63="","",IF(SUMPRODUCT(MAX(('Weight Log'!$A$5:$A$154=$A63)*('Weight Log'!$C$5:$C$154)))=0,$I63,SUMPRODUCT(MAX(('Weight Log'!$A$5:$A$154=$A63)*('Weight Log'!$C$5:$C$154)))))</f>
        <v/>
      </c>
      <c r="T63" s="53" t="str">
        <f aca="false">IF($A63="","",S63-I63)</f>
        <v/>
      </c>
      <c r="U63" s="54" t="str">
        <f aca="false">IF($B63="Qurbani",COUNTIF($B$5:$B63,"Qurbani"),"")</f>
        <v/>
      </c>
      <c r="V63" s="54" t="str">
        <f aca="false">IF($B63="Dairy",COUNTIF($B$5:$B63,"Dairy"),"")</f>
        <v/>
      </c>
      <c r="W63" s="54" t="str">
        <f aca="false">IF($B63="Breeding Stock",COUNTIF($B$5:$B63,"Breeding Stock"),"")</f>
        <v/>
      </c>
    </row>
    <row r="64" customFormat="false" ht="15" hidden="false" customHeight="false" outlineLevel="0" collapsed="false">
      <c r="A64" s="38"/>
      <c r="B64" s="38"/>
      <c r="C64" s="38"/>
      <c r="D64" s="38"/>
      <c r="E64" s="38"/>
      <c r="F64" s="49"/>
      <c r="G64" s="38"/>
      <c r="H64" s="38"/>
      <c r="I64" s="50"/>
      <c r="J64" s="50"/>
      <c r="K64" s="51"/>
      <c r="L64" s="50"/>
      <c r="M64" s="50"/>
      <c r="N64" s="52" t="str">
        <f aca="false">IF(OR($K64="",$L64=""),"",$K64+$L64)</f>
        <v/>
      </c>
      <c r="O64" s="47" t="str">
        <f aca="true">IF(OR($K64="",$L64=""),"",IF($Q64="Sold",$L64,MIN($L64,MAX(0,TODAY()-$K64))))</f>
        <v/>
      </c>
      <c r="P64" s="47" t="str">
        <f aca="false">IF(OR($K64="",$L64=""),"",IF(O64&lt;=$L64*0.33,"Phase 1 - Adaptation",IF(O64&lt;=$L64*0.66,"Phase 2 - Growth","Phase 3 - Finishing")))</f>
        <v/>
      </c>
      <c r="Q64" s="38"/>
      <c r="R64" s="32"/>
      <c r="S64" s="53" t="str">
        <f aca="false">IF($A64="","",IF(SUMPRODUCT(MAX(('Weight Log'!$A$5:$A$154=$A64)*('Weight Log'!$C$5:$C$154)))=0,$I64,SUMPRODUCT(MAX(('Weight Log'!$A$5:$A$154=$A64)*('Weight Log'!$C$5:$C$154)))))</f>
        <v/>
      </c>
      <c r="T64" s="53" t="str">
        <f aca="false">IF($A64="","",S64-I64)</f>
        <v/>
      </c>
      <c r="U64" s="54" t="str">
        <f aca="false">IF($B64="Qurbani",COUNTIF($B$5:$B64,"Qurbani"),"")</f>
        <v/>
      </c>
      <c r="V64" s="54" t="str">
        <f aca="false">IF($B64="Dairy",COUNTIF($B$5:$B64,"Dairy"),"")</f>
        <v/>
      </c>
      <c r="W64" s="54" t="str">
        <f aca="false">IF($B64="Breeding Stock",COUNTIF($B$5:$B64,"Breeding Stock"),"")</f>
        <v/>
      </c>
    </row>
    <row r="65" customFormat="false" ht="15" hidden="false" customHeight="false" outlineLevel="0" collapsed="false">
      <c r="A65" s="38"/>
      <c r="B65" s="38"/>
      <c r="C65" s="38"/>
      <c r="D65" s="38"/>
      <c r="E65" s="38"/>
      <c r="F65" s="49"/>
      <c r="G65" s="38"/>
      <c r="H65" s="38"/>
      <c r="I65" s="50"/>
      <c r="J65" s="50"/>
      <c r="K65" s="51"/>
      <c r="L65" s="50"/>
      <c r="M65" s="50"/>
      <c r="N65" s="52" t="str">
        <f aca="false">IF(OR($K65="",$L65=""),"",$K65+$L65)</f>
        <v/>
      </c>
      <c r="O65" s="47" t="str">
        <f aca="true">IF(OR($K65="",$L65=""),"",IF($Q65="Sold",$L65,MIN($L65,MAX(0,TODAY()-$K65))))</f>
        <v/>
      </c>
      <c r="P65" s="47" t="str">
        <f aca="false">IF(OR($K65="",$L65=""),"",IF(O65&lt;=$L65*0.33,"Phase 1 - Adaptation",IF(O65&lt;=$L65*0.66,"Phase 2 - Growth","Phase 3 - Finishing")))</f>
        <v/>
      </c>
      <c r="Q65" s="38"/>
      <c r="R65" s="32"/>
      <c r="S65" s="53" t="str">
        <f aca="false">IF($A65="","",IF(SUMPRODUCT(MAX(('Weight Log'!$A$5:$A$154=$A65)*('Weight Log'!$C$5:$C$154)))=0,$I65,SUMPRODUCT(MAX(('Weight Log'!$A$5:$A$154=$A65)*('Weight Log'!$C$5:$C$154)))))</f>
        <v/>
      </c>
      <c r="T65" s="53" t="str">
        <f aca="false">IF($A65="","",S65-I65)</f>
        <v/>
      </c>
      <c r="U65" s="54" t="str">
        <f aca="false">IF($B65="Qurbani",COUNTIF($B$5:$B65,"Qurbani"),"")</f>
        <v/>
      </c>
      <c r="V65" s="54" t="str">
        <f aca="false">IF($B65="Dairy",COUNTIF($B$5:$B65,"Dairy"),"")</f>
        <v/>
      </c>
      <c r="W65" s="54" t="str">
        <f aca="false">IF($B65="Breeding Stock",COUNTIF($B$5:$B65,"Breeding Stock"),"")</f>
        <v/>
      </c>
    </row>
    <row r="66" customFormat="false" ht="15" hidden="false" customHeight="false" outlineLevel="0" collapsed="false">
      <c r="A66" s="38"/>
      <c r="B66" s="38"/>
      <c r="C66" s="38"/>
      <c r="D66" s="38"/>
      <c r="E66" s="38"/>
      <c r="F66" s="49"/>
      <c r="G66" s="38"/>
      <c r="H66" s="38"/>
      <c r="I66" s="50"/>
      <c r="J66" s="50"/>
      <c r="K66" s="51"/>
      <c r="L66" s="50"/>
      <c r="M66" s="50"/>
      <c r="N66" s="52" t="str">
        <f aca="false">IF(OR($K66="",$L66=""),"",$K66+$L66)</f>
        <v/>
      </c>
      <c r="O66" s="47" t="str">
        <f aca="true">IF(OR($K66="",$L66=""),"",IF($Q66="Sold",$L66,MIN($L66,MAX(0,TODAY()-$K66))))</f>
        <v/>
      </c>
      <c r="P66" s="47" t="str">
        <f aca="false">IF(OR($K66="",$L66=""),"",IF(O66&lt;=$L66*0.33,"Phase 1 - Adaptation",IF(O66&lt;=$L66*0.66,"Phase 2 - Growth","Phase 3 - Finishing")))</f>
        <v/>
      </c>
      <c r="Q66" s="38"/>
      <c r="R66" s="32"/>
      <c r="S66" s="53" t="str">
        <f aca="false">IF($A66="","",IF(SUMPRODUCT(MAX(('Weight Log'!$A$5:$A$154=$A66)*('Weight Log'!$C$5:$C$154)))=0,$I66,SUMPRODUCT(MAX(('Weight Log'!$A$5:$A$154=$A66)*('Weight Log'!$C$5:$C$154)))))</f>
        <v/>
      </c>
      <c r="T66" s="53" t="str">
        <f aca="false">IF($A66="","",S66-I66)</f>
        <v/>
      </c>
      <c r="U66" s="54" t="str">
        <f aca="false">IF($B66="Qurbani",COUNTIF($B$5:$B66,"Qurbani"),"")</f>
        <v/>
      </c>
      <c r="V66" s="54" t="str">
        <f aca="false">IF($B66="Dairy",COUNTIF($B$5:$B66,"Dairy"),"")</f>
        <v/>
      </c>
      <c r="W66" s="54" t="str">
        <f aca="false">IF($B66="Breeding Stock",COUNTIF($B$5:$B66,"Breeding Stock"),"")</f>
        <v/>
      </c>
    </row>
    <row r="67" customFormat="false" ht="15" hidden="false" customHeight="false" outlineLevel="0" collapsed="false">
      <c r="A67" s="38"/>
      <c r="B67" s="38"/>
      <c r="C67" s="38"/>
      <c r="D67" s="38"/>
      <c r="E67" s="38"/>
      <c r="F67" s="49"/>
      <c r="G67" s="38"/>
      <c r="H67" s="38"/>
      <c r="I67" s="50"/>
      <c r="J67" s="50"/>
      <c r="K67" s="51"/>
      <c r="L67" s="50"/>
      <c r="M67" s="50"/>
      <c r="N67" s="52" t="str">
        <f aca="false">IF(OR($K67="",$L67=""),"",$K67+$L67)</f>
        <v/>
      </c>
      <c r="O67" s="47" t="str">
        <f aca="true">IF(OR($K67="",$L67=""),"",IF($Q67="Sold",$L67,MIN($L67,MAX(0,TODAY()-$K67))))</f>
        <v/>
      </c>
      <c r="P67" s="47" t="str">
        <f aca="false">IF(OR($K67="",$L67=""),"",IF(O67&lt;=$L67*0.33,"Phase 1 - Adaptation",IF(O67&lt;=$L67*0.66,"Phase 2 - Growth","Phase 3 - Finishing")))</f>
        <v/>
      </c>
      <c r="Q67" s="38"/>
      <c r="R67" s="32"/>
      <c r="S67" s="53" t="str">
        <f aca="false">IF($A67="","",IF(SUMPRODUCT(MAX(('Weight Log'!$A$5:$A$154=$A67)*('Weight Log'!$C$5:$C$154)))=0,$I67,SUMPRODUCT(MAX(('Weight Log'!$A$5:$A$154=$A67)*('Weight Log'!$C$5:$C$154)))))</f>
        <v/>
      </c>
      <c r="T67" s="53" t="str">
        <f aca="false">IF($A67="","",S67-I67)</f>
        <v/>
      </c>
      <c r="U67" s="54" t="str">
        <f aca="false">IF($B67="Qurbani",COUNTIF($B$5:$B67,"Qurbani"),"")</f>
        <v/>
      </c>
      <c r="V67" s="54" t="str">
        <f aca="false">IF($B67="Dairy",COUNTIF($B$5:$B67,"Dairy"),"")</f>
        <v/>
      </c>
      <c r="W67" s="54" t="str">
        <f aca="false">IF($B67="Breeding Stock",COUNTIF($B$5:$B67,"Breeding Stock"),"")</f>
        <v/>
      </c>
    </row>
    <row r="68" customFormat="false" ht="15" hidden="false" customHeight="false" outlineLevel="0" collapsed="false">
      <c r="A68" s="38"/>
      <c r="B68" s="38"/>
      <c r="C68" s="38"/>
      <c r="D68" s="38"/>
      <c r="E68" s="38"/>
      <c r="F68" s="49"/>
      <c r="G68" s="38"/>
      <c r="H68" s="38"/>
      <c r="I68" s="50"/>
      <c r="J68" s="50"/>
      <c r="K68" s="51"/>
      <c r="L68" s="50"/>
      <c r="M68" s="50"/>
      <c r="N68" s="52" t="str">
        <f aca="false">IF(OR($K68="",$L68=""),"",$K68+$L68)</f>
        <v/>
      </c>
      <c r="O68" s="47" t="str">
        <f aca="true">IF(OR($K68="",$L68=""),"",IF($Q68="Sold",$L68,MIN($L68,MAX(0,TODAY()-$K68))))</f>
        <v/>
      </c>
      <c r="P68" s="47" t="str">
        <f aca="false">IF(OR($K68="",$L68=""),"",IF(O68&lt;=$L68*0.33,"Phase 1 - Adaptation",IF(O68&lt;=$L68*0.66,"Phase 2 - Growth","Phase 3 - Finishing")))</f>
        <v/>
      </c>
      <c r="Q68" s="38"/>
      <c r="R68" s="32"/>
      <c r="S68" s="53" t="str">
        <f aca="false">IF($A68="","",IF(SUMPRODUCT(MAX(('Weight Log'!$A$5:$A$154=$A68)*('Weight Log'!$C$5:$C$154)))=0,$I68,SUMPRODUCT(MAX(('Weight Log'!$A$5:$A$154=$A68)*('Weight Log'!$C$5:$C$154)))))</f>
        <v/>
      </c>
      <c r="T68" s="53" t="str">
        <f aca="false">IF($A68="","",S68-I68)</f>
        <v/>
      </c>
      <c r="U68" s="54" t="str">
        <f aca="false">IF($B68="Qurbani",COUNTIF($B$5:$B68,"Qurbani"),"")</f>
        <v/>
      </c>
      <c r="V68" s="54" t="str">
        <f aca="false">IF($B68="Dairy",COUNTIF($B$5:$B68,"Dairy"),"")</f>
        <v/>
      </c>
      <c r="W68" s="54" t="str">
        <f aca="false">IF($B68="Breeding Stock",COUNTIF($B$5:$B68,"Breeding Stock"),"")</f>
        <v/>
      </c>
    </row>
    <row r="69" customFormat="false" ht="15" hidden="false" customHeight="false" outlineLevel="0" collapsed="false">
      <c r="A69" s="38"/>
      <c r="B69" s="38"/>
      <c r="C69" s="38"/>
      <c r="D69" s="38"/>
      <c r="E69" s="38"/>
      <c r="F69" s="49"/>
      <c r="G69" s="38"/>
      <c r="H69" s="38"/>
      <c r="I69" s="50"/>
      <c r="J69" s="50"/>
      <c r="K69" s="51"/>
      <c r="L69" s="50"/>
      <c r="M69" s="50"/>
      <c r="N69" s="52" t="str">
        <f aca="false">IF(OR($K69="",$L69=""),"",$K69+$L69)</f>
        <v/>
      </c>
      <c r="O69" s="47" t="str">
        <f aca="true">IF(OR($K69="",$L69=""),"",IF($Q69="Sold",$L69,MIN($L69,MAX(0,TODAY()-$K69))))</f>
        <v/>
      </c>
      <c r="P69" s="47" t="str">
        <f aca="false">IF(OR($K69="",$L69=""),"",IF(O69&lt;=$L69*0.33,"Phase 1 - Adaptation",IF(O69&lt;=$L69*0.66,"Phase 2 - Growth","Phase 3 - Finishing")))</f>
        <v/>
      </c>
      <c r="Q69" s="38"/>
      <c r="R69" s="32"/>
      <c r="S69" s="53" t="str">
        <f aca="false">IF($A69="","",IF(SUMPRODUCT(MAX(('Weight Log'!$A$5:$A$154=$A69)*('Weight Log'!$C$5:$C$154)))=0,$I69,SUMPRODUCT(MAX(('Weight Log'!$A$5:$A$154=$A69)*('Weight Log'!$C$5:$C$154)))))</f>
        <v/>
      </c>
      <c r="T69" s="53" t="str">
        <f aca="false">IF($A69="","",S69-I69)</f>
        <v/>
      </c>
      <c r="U69" s="54" t="str">
        <f aca="false">IF($B69="Qurbani",COUNTIF($B$5:$B69,"Qurbani"),"")</f>
        <v/>
      </c>
      <c r="V69" s="54" t="str">
        <f aca="false">IF($B69="Dairy",COUNTIF($B$5:$B69,"Dairy"),"")</f>
        <v/>
      </c>
      <c r="W69" s="54" t="str">
        <f aca="false">IF($B69="Breeding Stock",COUNTIF($B$5:$B69,"Breeding Stock"),"")</f>
        <v/>
      </c>
    </row>
    <row r="70" customFormat="false" ht="15" hidden="false" customHeight="false" outlineLevel="0" collapsed="false">
      <c r="A70" s="38"/>
      <c r="B70" s="38"/>
      <c r="C70" s="38"/>
      <c r="D70" s="38"/>
      <c r="E70" s="38"/>
      <c r="F70" s="49"/>
      <c r="G70" s="38"/>
      <c r="H70" s="38"/>
      <c r="I70" s="50"/>
      <c r="J70" s="50"/>
      <c r="K70" s="51"/>
      <c r="L70" s="50"/>
      <c r="M70" s="50"/>
      <c r="N70" s="52" t="str">
        <f aca="false">IF(OR($K70="",$L70=""),"",$K70+$L70)</f>
        <v/>
      </c>
      <c r="O70" s="47" t="str">
        <f aca="true">IF(OR($K70="",$L70=""),"",IF($Q70="Sold",$L70,MIN($L70,MAX(0,TODAY()-$K70))))</f>
        <v/>
      </c>
      <c r="P70" s="47" t="str">
        <f aca="false">IF(OR($K70="",$L70=""),"",IF(O70&lt;=$L70*0.33,"Phase 1 - Adaptation",IF(O70&lt;=$L70*0.66,"Phase 2 - Growth","Phase 3 - Finishing")))</f>
        <v/>
      </c>
      <c r="Q70" s="38"/>
      <c r="R70" s="32"/>
      <c r="S70" s="53" t="str">
        <f aca="false">IF($A70="","",IF(SUMPRODUCT(MAX(('Weight Log'!$A$5:$A$154=$A70)*('Weight Log'!$C$5:$C$154)))=0,$I70,SUMPRODUCT(MAX(('Weight Log'!$A$5:$A$154=$A70)*('Weight Log'!$C$5:$C$154)))))</f>
        <v/>
      </c>
      <c r="T70" s="53" t="str">
        <f aca="false">IF($A70="","",S70-I70)</f>
        <v/>
      </c>
      <c r="U70" s="54" t="str">
        <f aca="false">IF($B70="Qurbani",COUNTIF($B$5:$B70,"Qurbani"),"")</f>
        <v/>
      </c>
      <c r="V70" s="54" t="str">
        <f aca="false">IF($B70="Dairy",COUNTIF($B$5:$B70,"Dairy"),"")</f>
        <v/>
      </c>
      <c r="W70" s="54" t="str">
        <f aca="false">IF($B70="Breeding Stock",COUNTIF($B$5:$B70,"Breeding Stock"),"")</f>
        <v/>
      </c>
    </row>
    <row r="71" customFormat="false" ht="15" hidden="false" customHeight="false" outlineLevel="0" collapsed="false">
      <c r="A71" s="38"/>
      <c r="B71" s="38"/>
      <c r="C71" s="38"/>
      <c r="D71" s="38"/>
      <c r="E71" s="38"/>
      <c r="F71" s="49"/>
      <c r="G71" s="38"/>
      <c r="H71" s="38"/>
      <c r="I71" s="50"/>
      <c r="J71" s="50"/>
      <c r="K71" s="51"/>
      <c r="L71" s="50"/>
      <c r="M71" s="50"/>
      <c r="N71" s="52" t="str">
        <f aca="false">IF(OR($K71="",$L71=""),"",$K71+$L71)</f>
        <v/>
      </c>
      <c r="O71" s="47" t="str">
        <f aca="true">IF(OR($K71="",$L71=""),"",IF($Q71="Sold",$L71,MIN($L71,MAX(0,TODAY()-$K71))))</f>
        <v/>
      </c>
      <c r="P71" s="47" t="str">
        <f aca="false">IF(OR($K71="",$L71=""),"",IF(O71&lt;=$L71*0.33,"Phase 1 - Adaptation",IF(O71&lt;=$L71*0.66,"Phase 2 - Growth","Phase 3 - Finishing")))</f>
        <v/>
      </c>
      <c r="Q71" s="38"/>
      <c r="R71" s="32"/>
      <c r="S71" s="53" t="str">
        <f aca="false">IF($A71="","",IF(SUMPRODUCT(MAX(('Weight Log'!$A$5:$A$154=$A71)*('Weight Log'!$C$5:$C$154)))=0,$I71,SUMPRODUCT(MAX(('Weight Log'!$A$5:$A$154=$A71)*('Weight Log'!$C$5:$C$154)))))</f>
        <v/>
      </c>
      <c r="T71" s="53" t="str">
        <f aca="false">IF($A71="","",S71-I71)</f>
        <v/>
      </c>
      <c r="U71" s="54" t="str">
        <f aca="false">IF($B71="Qurbani",COUNTIF($B$5:$B71,"Qurbani"),"")</f>
        <v/>
      </c>
      <c r="V71" s="54" t="str">
        <f aca="false">IF($B71="Dairy",COUNTIF($B$5:$B71,"Dairy"),"")</f>
        <v/>
      </c>
      <c r="W71" s="54" t="str">
        <f aca="false">IF($B71="Breeding Stock",COUNTIF($B$5:$B71,"Breeding Stock"),"")</f>
        <v/>
      </c>
    </row>
    <row r="72" customFormat="false" ht="15" hidden="false" customHeight="false" outlineLevel="0" collapsed="false">
      <c r="A72" s="38"/>
      <c r="B72" s="38"/>
      <c r="C72" s="38"/>
      <c r="D72" s="38"/>
      <c r="E72" s="38"/>
      <c r="F72" s="49"/>
      <c r="G72" s="38"/>
      <c r="H72" s="38"/>
      <c r="I72" s="50"/>
      <c r="J72" s="50"/>
      <c r="K72" s="51"/>
      <c r="L72" s="50"/>
      <c r="M72" s="50"/>
      <c r="N72" s="52" t="str">
        <f aca="false">IF(OR($K72="",$L72=""),"",$K72+$L72)</f>
        <v/>
      </c>
      <c r="O72" s="47" t="str">
        <f aca="true">IF(OR($K72="",$L72=""),"",IF($Q72="Sold",$L72,MIN($L72,MAX(0,TODAY()-$K72))))</f>
        <v/>
      </c>
      <c r="P72" s="47" t="str">
        <f aca="false">IF(OR($K72="",$L72=""),"",IF(O72&lt;=$L72*0.33,"Phase 1 - Adaptation",IF(O72&lt;=$L72*0.66,"Phase 2 - Growth","Phase 3 - Finishing")))</f>
        <v/>
      </c>
      <c r="Q72" s="38"/>
      <c r="R72" s="32"/>
      <c r="S72" s="53" t="str">
        <f aca="false">IF($A72="","",IF(SUMPRODUCT(MAX(('Weight Log'!$A$5:$A$154=$A72)*('Weight Log'!$C$5:$C$154)))=0,$I72,SUMPRODUCT(MAX(('Weight Log'!$A$5:$A$154=$A72)*('Weight Log'!$C$5:$C$154)))))</f>
        <v/>
      </c>
      <c r="T72" s="53" t="str">
        <f aca="false">IF($A72="","",S72-I72)</f>
        <v/>
      </c>
      <c r="U72" s="54" t="str">
        <f aca="false">IF($B72="Qurbani",COUNTIF($B$5:$B72,"Qurbani"),"")</f>
        <v/>
      </c>
      <c r="V72" s="54" t="str">
        <f aca="false">IF($B72="Dairy",COUNTIF($B$5:$B72,"Dairy"),"")</f>
        <v/>
      </c>
      <c r="W72" s="54" t="str">
        <f aca="false">IF($B72="Breeding Stock",COUNTIF($B$5:$B72,"Breeding Stock"),"")</f>
        <v/>
      </c>
    </row>
    <row r="73" customFormat="false" ht="15" hidden="false" customHeight="false" outlineLevel="0" collapsed="false">
      <c r="A73" s="38"/>
      <c r="B73" s="38"/>
      <c r="C73" s="38"/>
      <c r="D73" s="38"/>
      <c r="E73" s="38"/>
      <c r="F73" s="49"/>
      <c r="G73" s="38"/>
      <c r="H73" s="38"/>
      <c r="I73" s="50"/>
      <c r="J73" s="50"/>
      <c r="K73" s="51"/>
      <c r="L73" s="50"/>
      <c r="M73" s="50"/>
      <c r="N73" s="52" t="str">
        <f aca="false">IF(OR($K73="",$L73=""),"",$K73+$L73)</f>
        <v/>
      </c>
      <c r="O73" s="47" t="str">
        <f aca="true">IF(OR($K73="",$L73=""),"",IF($Q73="Sold",$L73,MIN($L73,MAX(0,TODAY()-$K73))))</f>
        <v/>
      </c>
      <c r="P73" s="47" t="str">
        <f aca="false">IF(OR($K73="",$L73=""),"",IF(O73&lt;=$L73*0.33,"Phase 1 - Adaptation",IF(O73&lt;=$L73*0.66,"Phase 2 - Growth","Phase 3 - Finishing")))</f>
        <v/>
      </c>
      <c r="Q73" s="38"/>
      <c r="R73" s="32"/>
      <c r="S73" s="53" t="str">
        <f aca="false">IF($A73="","",IF(SUMPRODUCT(MAX(('Weight Log'!$A$5:$A$154=$A73)*('Weight Log'!$C$5:$C$154)))=0,$I73,SUMPRODUCT(MAX(('Weight Log'!$A$5:$A$154=$A73)*('Weight Log'!$C$5:$C$154)))))</f>
        <v/>
      </c>
      <c r="T73" s="53" t="str">
        <f aca="false">IF($A73="","",S73-I73)</f>
        <v/>
      </c>
      <c r="U73" s="54" t="str">
        <f aca="false">IF($B73="Qurbani",COUNTIF($B$5:$B73,"Qurbani"),"")</f>
        <v/>
      </c>
      <c r="V73" s="54" t="str">
        <f aca="false">IF($B73="Dairy",COUNTIF($B$5:$B73,"Dairy"),"")</f>
        <v/>
      </c>
      <c r="W73" s="54" t="str">
        <f aca="false">IF($B73="Breeding Stock",COUNTIF($B$5:$B73,"Breeding Stock"),"")</f>
        <v/>
      </c>
    </row>
    <row r="74" customFormat="false" ht="15" hidden="false" customHeight="false" outlineLevel="0" collapsed="false">
      <c r="A74" s="38"/>
      <c r="B74" s="38"/>
      <c r="C74" s="38"/>
      <c r="D74" s="38"/>
      <c r="E74" s="38"/>
      <c r="F74" s="49"/>
      <c r="G74" s="38"/>
      <c r="H74" s="38"/>
      <c r="I74" s="50"/>
      <c r="J74" s="50"/>
      <c r="K74" s="51"/>
      <c r="L74" s="50"/>
      <c r="M74" s="50"/>
      <c r="N74" s="52" t="str">
        <f aca="false">IF(OR($K74="",$L74=""),"",$K74+$L74)</f>
        <v/>
      </c>
      <c r="O74" s="47" t="str">
        <f aca="true">IF(OR($K74="",$L74=""),"",IF($Q74="Sold",$L74,MIN($L74,MAX(0,TODAY()-$K74))))</f>
        <v/>
      </c>
      <c r="P74" s="47" t="str">
        <f aca="false">IF(OR($K74="",$L74=""),"",IF(O74&lt;=$L74*0.33,"Phase 1 - Adaptation",IF(O74&lt;=$L74*0.66,"Phase 2 - Growth","Phase 3 - Finishing")))</f>
        <v/>
      </c>
      <c r="Q74" s="38"/>
      <c r="R74" s="32"/>
      <c r="S74" s="53" t="str">
        <f aca="false">IF($A74="","",IF(SUMPRODUCT(MAX(('Weight Log'!$A$5:$A$154=$A74)*('Weight Log'!$C$5:$C$154)))=0,$I74,SUMPRODUCT(MAX(('Weight Log'!$A$5:$A$154=$A74)*('Weight Log'!$C$5:$C$154)))))</f>
        <v/>
      </c>
      <c r="T74" s="53" t="str">
        <f aca="false">IF($A74="","",S74-I74)</f>
        <v/>
      </c>
      <c r="U74" s="54" t="str">
        <f aca="false">IF($B74="Qurbani",COUNTIF($B$5:$B74,"Qurbani"),"")</f>
        <v/>
      </c>
      <c r="V74" s="54" t="str">
        <f aca="false">IF($B74="Dairy",COUNTIF($B$5:$B74,"Dairy"),"")</f>
        <v/>
      </c>
      <c r="W74" s="54" t="str">
        <f aca="false">IF($B74="Breeding Stock",COUNTIF($B$5:$B74,"Breeding Stock"),"")</f>
        <v/>
      </c>
    </row>
  </sheetData>
  <mergeCells count="2">
    <mergeCell ref="A1:T1"/>
    <mergeCell ref="A2:T2"/>
  </mergeCells>
  <dataValidations count="5">
    <dataValidation allowBlank="true" errorStyle="stop" operator="between" showDropDown="false" showErrorMessage="false" showInputMessage="false" sqref="B5:B74" type="list">
      <formula1>"Fattening,Qurbani,Dairy,Breeding Stock"</formula1>
      <formula2>0</formula2>
    </dataValidation>
    <dataValidation allowBlank="true" errorStyle="stop" operator="between" showDropDown="false" showErrorMessage="false" showInputMessage="false" sqref="D5:D74" type="list">
      <formula1>"Male,Female"</formula1>
      <formula2>0</formula2>
    </dataValidation>
    <dataValidation allowBlank="true" errorStyle="stop" operator="between" showDropDown="false" showErrorMessage="false" showInputMessage="false" sqref="E5:E74" type="list">
      <formula1>"Born on Farm,Purchased - Mandi,Purchased - Other"</formula1>
      <formula2>0</formula2>
    </dataValidation>
    <dataValidation allowBlank="true" errorStyle="stop" operator="between" showDropDown="false" showErrorMessage="false" showInputMessage="false" sqref="G5:H74" type="list">
      <formula1>$A$5:$A$74</formula1>
      <formula2>0</formula2>
    </dataValidation>
    <dataValidation allowBlank="true" errorStyle="stop" operator="between" showDropDown="false" showErrorMessage="false" showInputMessage="false" sqref="Q5:Q74" type="list">
      <formula1>"Active,Sold,Deceased,Transferred"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30" t="s">
        <v>245</v>
      </c>
      <c r="B1" s="30"/>
      <c r="C1" s="30"/>
      <c r="D1" s="30"/>
    </row>
    <row r="2" customFormat="false" ht="15" hidden="false" customHeight="false" outlineLevel="0" collapsed="false">
      <c r="A2" s="48" t="s">
        <v>246</v>
      </c>
      <c r="B2" s="48"/>
      <c r="C2" s="48"/>
      <c r="D2" s="48"/>
    </row>
    <row r="4" customFormat="false" ht="24" hidden="false" customHeight="true" outlineLevel="0" collapsed="false">
      <c r="A4" s="55" t="s">
        <v>247</v>
      </c>
      <c r="B4" s="56" t="s">
        <v>238</v>
      </c>
      <c r="C4" s="56"/>
    </row>
    <row r="6" customFormat="false" ht="15" hidden="false" customHeight="false" outlineLevel="0" collapsed="false">
      <c r="A6" s="9" t="s">
        <v>248</v>
      </c>
      <c r="B6" s="9"/>
      <c r="C6" s="9"/>
      <c r="D6" s="9"/>
    </row>
    <row r="7" customFormat="false" ht="15" hidden="false" customHeight="false" outlineLevel="0" collapsed="false">
      <c r="A7" s="57" t="s">
        <v>217</v>
      </c>
      <c r="B7" s="58" t="str">
        <f aca="false">IF($B$4="","",IFERROR(INDEX('Animal Register'!$B:$B,MATCH($B$4,'Animal Register'!$A:$A,0)),"-"))</f>
        <v>Fattening</v>
      </c>
      <c r="C7" s="58"/>
      <c r="D7" s="58"/>
    </row>
    <row r="8" customFormat="false" ht="15" hidden="false" customHeight="false" outlineLevel="0" collapsed="false">
      <c r="A8" s="57" t="s">
        <v>218</v>
      </c>
      <c r="B8" s="47" t="str">
        <f aca="false">IF($B$4="","",IFERROR(INDEX('Animal Register'!$C:$C,MATCH($B$4,'Animal Register'!$A:$A,0)),"-"))</f>
        <v>Mix Breed</v>
      </c>
      <c r="C8" s="47"/>
      <c r="D8" s="47"/>
    </row>
    <row r="9" customFormat="false" ht="15" hidden="false" customHeight="false" outlineLevel="0" collapsed="false">
      <c r="A9" s="57" t="s">
        <v>219</v>
      </c>
      <c r="B9" s="47" t="str">
        <f aca="false">IF($B$4="","",IFERROR(INDEX('Animal Register'!$D:$D,MATCH($B$4,'Animal Register'!$A:$A,0)),"-"))</f>
        <v>Male</v>
      </c>
      <c r="C9" s="47"/>
      <c r="D9" s="47"/>
    </row>
    <row r="10" customFormat="false" ht="15" hidden="false" customHeight="false" outlineLevel="0" collapsed="false">
      <c r="A10" s="57" t="s">
        <v>220</v>
      </c>
      <c r="B10" s="47" t="str">
        <f aca="false">IF($B$4="","",IFERROR(INDEX('Animal Register'!$E:$E,MATCH($B$4,'Animal Register'!$A:$A,0)),"-"))</f>
        <v>Purchased - Mandi</v>
      </c>
      <c r="C10" s="47"/>
      <c r="D10" s="47"/>
    </row>
    <row r="11" customFormat="false" ht="15" hidden="false" customHeight="false" outlineLevel="0" collapsed="false">
      <c r="A11" s="57" t="s">
        <v>221</v>
      </c>
      <c r="B11" s="52" t="n">
        <f aca="false">IF($B$4="","",IFERROR(INDEX('Animal Register'!$F:$F,MATCH($B$4,'Animal Register'!$A:$A,0)),"-"))</f>
        <v>46240</v>
      </c>
      <c r="C11" s="52"/>
      <c r="D11" s="52"/>
    </row>
    <row r="12" customFormat="false" ht="15" hidden="false" customHeight="false" outlineLevel="0" collapsed="false">
      <c r="A12" s="57" t="s">
        <v>222</v>
      </c>
      <c r="B12" s="47" t="str">
        <f aca="false">IF($B$4="","",IF(IFERROR(INDEX('Animal Register'!$G:$G,MATCH($B$4,'Animal Register'!$A:$A,0)),"")="","-",INDEX('Animal Register'!$G:$G,MATCH($B$4,'Animal Register'!$A:$A,0))))</f>
        <v>-</v>
      </c>
      <c r="C12" s="47"/>
      <c r="D12" s="47"/>
    </row>
    <row r="13" customFormat="false" ht="15" hidden="false" customHeight="false" outlineLevel="0" collapsed="false">
      <c r="A13" s="57" t="s">
        <v>223</v>
      </c>
      <c r="B13" s="47" t="str">
        <f aca="false">IF($B$4="","",IF(IFERROR(INDEX('Animal Register'!$H:$H,MATCH($B$4,'Animal Register'!$A:$A,0)),"")="","-",INDEX('Animal Register'!$H:$H,MATCH($B$4,'Animal Register'!$A:$A,0))))</f>
        <v>-</v>
      </c>
      <c r="C13" s="47"/>
      <c r="D13" s="47"/>
    </row>
    <row r="14" customFormat="false" ht="15" hidden="false" customHeight="false" outlineLevel="0" collapsed="false">
      <c r="A14" s="57" t="s">
        <v>225</v>
      </c>
      <c r="B14" s="59" t="n">
        <f aca="false">IF($B$4="","",IFERROR(INDEX('Animal Register'!$J:$J,MATCH($B$4,'Animal Register'!$A:$A,0)),"-"))</f>
        <v>48000</v>
      </c>
      <c r="C14" s="59"/>
      <c r="D14" s="59"/>
    </row>
    <row r="15" customFormat="false" ht="15" hidden="false" customHeight="false" outlineLevel="0" collapsed="false">
      <c r="A15" s="57" t="s">
        <v>212</v>
      </c>
      <c r="B15" s="58" t="str">
        <f aca="false">IF($B$4="","",IFERROR(INDEX('Animal Register'!$Q:$Q,MATCH($B$4,'Animal Register'!$A:$A,0)),"-"))</f>
        <v>Active</v>
      </c>
      <c r="C15" s="58"/>
      <c r="D15" s="58"/>
    </row>
    <row r="16" customFormat="false" ht="15" hidden="false" customHeight="false" outlineLevel="0" collapsed="false">
      <c r="A16" s="57" t="s">
        <v>232</v>
      </c>
      <c r="B16" s="47" t="str">
        <f aca="false">IF($B$4="","",IFERROR(INDEX('Animal Register'!$R:$R,MATCH($B$4,'Animal Register'!$A:$A,0)),"-"))</f>
        <v>Example row - apna data yahan se neeche likhna shuru karein</v>
      </c>
      <c r="C16" s="47"/>
      <c r="D16" s="47"/>
    </row>
    <row r="18" customFormat="false" ht="15" hidden="false" customHeight="false" outlineLevel="0" collapsed="false">
      <c r="A18" s="9" t="s">
        <v>249</v>
      </c>
      <c r="B18" s="9"/>
      <c r="C18" s="9"/>
      <c r="D18" s="9"/>
    </row>
    <row r="19" customFormat="false" ht="15" hidden="false" customHeight="false" outlineLevel="0" collapsed="false">
      <c r="A19" s="57" t="s">
        <v>226</v>
      </c>
      <c r="B19" s="52" t="n">
        <f aca="false">IF($B$4="","",IFERROR(INDEX('Animal Register'!$K:$K,MATCH($B$4,'Animal Register'!$A:$A,0)),"-"))</f>
        <v>46240</v>
      </c>
      <c r="C19" s="52"/>
      <c r="D19" s="52"/>
    </row>
    <row r="20" customFormat="false" ht="15" hidden="false" customHeight="false" outlineLevel="0" collapsed="false">
      <c r="A20" s="57" t="s">
        <v>227</v>
      </c>
      <c r="B20" s="47" t="n">
        <f aca="false">IF($B$4="","",IFERROR(INDEX('Animal Register'!$L:$L,MATCH($B$4,'Animal Register'!$A:$A,0)),"-"))</f>
        <v>100</v>
      </c>
      <c r="C20" s="47"/>
      <c r="D20" s="47"/>
    </row>
    <row r="21" customFormat="false" ht="15" hidden="false" customHeight="false" outlineLevel="0" collapsed="false">
      <c r="A21" s="57" t="s">
        <v>229</v>
      </c>
      <c r="B21" s="52" t="n">
        <f aca="false">IF($B$4="","",IFERROR(INDEX('Animal Register'!$N:$N,MATCH($B$4,'Animal Register'!$A:$A,0)),"-"))</f>
        <v>46340</v>
      </c>
      <c r="C21" s="52"/>
      <c r="D21" s="52"/>
    </row>
    <row r="22" customFormat="false" ht="15" hidden="false" customHeight="false" outlineLevel="0" collapsed="false">
      <c r="A22" s="57" t="s">
        <v>230</v>
      </c>
      <c r="B22" s="47" t="n">
        <f aca="false">IF($B$4="","",IFERROR(INDEX('Animal Register'!$O:$O,MATCH($B$4,'Animal Register'!$A:$A,0)),"-"))</f>
        <v>9</v>
      </c>
      <c r="C22" s="47"/>
      <c r="D22" s="47"/>
    </row>
    <row r="23" customFormat="false" ht="15" hidden="false" customHeight="false" outlineLevel="0" collapsed="false">
      <c r="A23" s="57" t="s">
        <v>231</v>
      </c>
      <c r="B23" s="58" t="str">
        <f aca="false">IF($B$4="","",IFERROR(INDEX('Animal Register'!$P:$P,MATCH($B$4,'Animal Register'!$A:$A,0)),"-"))</f>
        <v>Phase 1 - Adaptation</v>
      </c>
      <c r="C23" s="58"/>
      <c r="D23" s="58"/>
    </row>
    <row r="25" customFormat="false" ht="15" hidden="false" customHeight="false" outlineLevel="0" collapsed="false">
      <c r="A25" s="9" t="s">
        <v>250</v>
      </c>
      <c r="B25" s="9"/>
      <c r="C25" s="9"/>
      <c r="D25" s="9"/>
    </row>
    <row r="26" customFormat="false" ht="15" hidden="false" customHeight="false" outlineLevel="0" collapsed="false">
      <c r="A26" s="57" t="s">
        <v>224</v>
      </c>
      <c r="B26" s="53" t="n">
        <f aca="false">IF($B$4="","",IFERROR(INDEX('Animal Register'!$I:$I,MATCH($B$4,'Animal Register'!$A:$A,0)),"-"))</f>
        <v>212</v>
      </c>
      <c r="C26" s="53"/>
      <c r="D26" s="53"/>
    </row>
    <row r="27" customFormat="false" ht="15" hidden="false" customHeight="false" outlineLevel="0" collapsed="false">
      <c r="A27" s="57" t="s">
        <v>233</v>
      </c>
      <c r="B27" s="60" t="n">
        <f aca="false">IF($B$4="","",IFERROR(INDEX('Animal Register'!$S:$S,MATCH($B$4,'Animal Register'!$A:$A,0)),"-"))</f>
        <v>212</v>
      </c>
      <c r="C27" s="60"/>
      <c r="D27" s="60"/>
    </row>
    <row r="28" customFormat="false" ht="15" hidden="false" customHeight="false" outlineLevel="0" collapsed="false">
      <c r="A28" s="57" t="s">
        <v>251</v>
      </c>
      <c r="B28" s="53" t="n">
        <f aca="false">IF($B$4="","",IFERROR(INDEX('Animal Register'!$T:$T,MATCH($B$4,'Animal Register'!$A:$A,0)),"-"))</f>
        <v>0</v>
      </c>
      <c r="C28" s="53"/>
      <c r="D28" s="53"/>
    </row>
    <row r="29" customFormat="false" ht="15" hidden="false" customHeight="false" outlineLevel="0" collapsed="false">
      <c r="A29" s="57" t="s">
        <v>228</v>
      </c>
      <c r="B29" s="47" t="n">
        <f aca="false">IF($B$4="","",IFERROR(INDEX('Animal Register'!$M:$M,MATCH($B$4,'Animal Register'!$A:$A,0)),"-"))</f>
        <v>1150</v>
      </c>
      <c r="C29" s="47"/>
      <c r="D29" s="47"/>
    </row>
    <row r="30" customFormat="false" ht="15" hidden="false" customHeight="false" outlineLevel="0" collapsed="false">
      <c r="A30" s="57" t="s">
        <v>252</v>
      </c>
      <c r="B30" s="58" t="n">
        <f aca="false">IF($B$4="","",IFERROR(INDEX('Weight &amp; Growth Tracker'!$J:$J,MATCH($B$4,'Weight &amp; Growth Tracker'!$A:$A,0)),"-"))</f>
        <v>0</v>
      </c>
      <c r="C30" s="58"/>
      <c r="D30" s="58"/>
    </row>
    <row r="31" customFormat="false" ht="15" hidden="false" customHeight="false" outlineLevel="0" collapsed="false">
      <c r="A31" s="57" t="s">
        <v>253</v>
      </c>
      <c r="B31" s="52" t="n">
        <f aca="false">IF($B$4="","",IFERROR(INDEX('Weight &amp; Growth Tracker'!$F:$F,MATCH($B$4,'Weight &amp; Growth Tracker'!$A:$A,0)),"-"))</f>
        <v>46240</v>
      </c>
      <c r="C31" s="52"/>
      <c r="D31" s="52"/>
    </row>
    <row r="32" customFormat="false" ht="15" hidden="false" customHeight="false" outlineLevel="0" collapsed="false">
      <c r="A32" s="57" t="s">
        <v>254</v>
      </c>
      <c r="B32" s="47" t="n">
        <f aca="false">IF($B$4="","",IFERROR(INDEX('Weight &amp; Growth Tracker'!$G:$G,MATCH($B$4,'Weight &amp; Growth Tracker'!$A:$A,0)),"-"))</f>
        <v>2.5</v>
      </c>
      <c r="C32" s="47"/>
      <c r="D32" s="47"/>
    </row>
    <row r="33" customFormat="false" ht="15" hidden="false" customHeight="false" outlineLevel="0" collapsed="false">
      <c r="A33" s="57" t="s">
        <v>255</v>
      </c>
      <c r="B33" s="58" t="str">
        <f aca="false">IF($B$4="","",IFERROR(INDEX('Weight &amp; Growth Tracker'!$L:$L,MATCH($B$4,'Weight &amp; Growth Tracker'!$A:$A,0)),"-"))</f>
        <v>Behind Target</v>
      </c>
      <c r="C33" s="58"/>
      <c r="D33" s="58"/>
    </row>
    <row r="35" customFormat="false" ht="15" hidden="false" customHeight="false" outlineLevel="0" collapsed="false">
      <c r="A35" s="9" t="s">
        <v>256</v>
      </c>
      <c r="B35" s="9"/>
      <c r="C35" s="9"/>
      <c r="D35" s="9"/>
    </row>
    <row r="36" customFormat="false" ht="15" hidden="false" customHeight="false" outlineLevel="0" collapsed="false">
      <c r="A36" s="57" t="s">
        <v>257</v>
      </c>
      <c r="B36" s="47" t="n">
        <f aca="false">IF($B$4="","",COUNTIF('Daily Feeding'!$B:$B,$B$4))</f>
        <v>1</v>
      </c>
      <c r="C36" s="47"/>
      <c r="D36" s="47"/>
    </row>
    <row r="37" customFormat="false" ht="15" hidden="false" customHeight="false" outlineLevel="0" collapsed="false">
      <c r="A37" s="57" t="s">
        <v>258</v>
      </c>
      <c r="B37" s="53" t="n">
        <f aca="false">IF($B$4="","",ROUND(SUMIF('Daily Feeding'!$B:$B,$B$4,'Daily Feeding'!$I:$I)+SUMIF('Daily Feeding'!$B:$B,$B$4,'Daily Feeding'!$J:$J),1))</f>
        <v>6.4</v>
      </c>
      <c r="C37" s="53"/>
      <c r="D37" s="53"/>
    </row>
    <row r="38" customFormat="false" ht="15" hidden="false" customHeight="false" outlineLevel="0" collapsed="false">
      <c r="A38" s="57" t="s">
        <v>259</v>
      </c>
      <c r="B38" s="34" t="n">
        <f aca="false">IF($B$4="","",IFERROR(ROUND(AVERAGEIF('Daily Feeding'!$B:$B,$B$4,'Daily Feeding'!$M:$M),2),"-"))</f>
        <v>13.04</v>
      </c>
      <c r="C38" s="34"/>
      <c r="D38" s="34"/>
    </row>
    <row r="39" customFormat="false" ht="15" hidden="false" customHeight="false" outlineLevel="0" collapsed="false">
      <c r="A39" s="57" t="s">
        <v>260</v>
      </c>
      <c r="B39" s="59" t="n">
        <f aca="false">IF($B$4="","",ROUND(SUMIF('Cost Tracker'!$B:$B,$B$4,'Cost Tracker'!$F:$F),0))</f>
        <v>0</v>
      </c>
      <c r="C39" s="59"/>
      <c r="D39" s="59"/>
    </row>
    <row r="41" customFormat="false" ht="15" hidden="false" customHeight="false" outlineLevel="0" collapsed="false">
      <c r="A41" s="9" t="s">
        <v>261</v>
      </c>
      <c r="B41" s="9"/>
      <c r="C41" s="9"/>
      <c r="D41" s="9"/>
    </row>
    <row r="42" customFormat="false" ht="15" hidden="false" customHeight="false" outlineLevel="0" collapsed="false">
      <c r="A42" s="57" t="s">
        <v>262</v>
      </c>
      <c r="B42" s="47" t="n">
        <f aca="false">IF($B$4="","",COUNTIF('Health Log'!$A:$A,$B$4))</f>
        <v>1</v>
      </c>
      <c r="C42" s="47"/>
      <c r="D42" s="47"/>
    </row>
    <row r="43" customFormat="false" ht="15" hidden="false" customHeight="false" outlineLevel="0" collapsed="false">
      <c r="A43" s="57" t="s">
        <v>263</v>
      </c>
      <c r="B43" s="52" t="n">
        <f aca="false">IF($B$4="","",IF(SUMPRODUCT(MAX(('Health Log'!$A$4:$A$103=$B$4)*ROW('Health Log'!$A$4:$A$103)))=0,"-",INDEX('Health Log'!$B:$B,SUMPRODUCT(MAX(('Health Log'!$A$4:$A$103=$B$4)*ROW('Health Log'!$A$4:$A$103))))))</f>
        <v>46240</v>
      </c>
      <c r="C43" s="52"/>
      <c r="D43" s="52"/>
    </row>
    <row r="44" customFormat="false" ht="15" hidden="false" customHeight="false" outlineLevel="0" collapsed="false">
      <c r="A44" s="57" t="s">
        <v>264</v>
      </c>
      <c r="B44" s="47" t="str">
        <f aca="false">IF($B$4="","",IF(SUMPRODUCT(MAX(('Health Log'!$A$4:$A$103=$B$4)*ROW('Health Log'!$A$4:$A$103)))=0,"-",INDEX('Health Log'!$C:$C,SUMPRODUCT(MAX(('Health Log'!$A$4:$A$103=$B$4)*ROW('Health Log'!$A$4:$A$103))))))</f>
        <v>Deworming</v>
      </c>
      <c r="C44" s="47"/>
      <c r="D44" s="47"/>
    </row>
    <row r="45" customFormat="false" ht="15" hidden="false" customHeight="false" outlineLevel="0" collapsed="false">
      <c r="A45" s="57" t="s">
        <v>265</v>
      </c>
      <c r="B45" s="47" t="str">
        <f aca="false">IF($B$4="","",IF(SUMPRODUCT(MAX(('Health Log'!$A$4:$A$103=$B$4)*ROW('Health Log'!$A$4:$A$103)))=0,"-",INDEX('Health Log'!$D:$D,SUMPRODUCT(MAX(('Health Log'!$A$4:$A$103=$B$4)*ROW('Health Log'!$A$4:$A$103))))))</f>
        <v>Example - apna medicine naam likhein</v>
      </c>
      <c r="C45" s="47"/>
      <c r="D45" s="47"/>
    </row>
    <row r="46" customFormat="false" ht="15" hidden="false" customHeight="false" outlineLevel="0" collapsed="false">
      <c r="A46" s="57" t="s">
        <v>266</v>
      </c>
      <c r="B46" s="61" t="n">
        <f aca="true">IF($B$4="","",COUNTIFS('Health Log'!$A:$A,$B$4,'Health Log'!$F:$F,"&lt;&gt;",'Health Log'!$F:$F,"&lt;"&amp;TODAY()))</f>
        <v>0</v>
      </c>
      <c r="C46" s="61"/>
      <c r="D46" s="61"/>
    </row>
  </sheetData>
  <mergeCells count="40">
    <mergeCell ref="A1:D1"/>
    <mergeCell ref="A2:D2"/>
    <mergeCell ref="B4:C4"/>
    <mergeCell ref="A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A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A35:D35"/>
    <mergeCell ref="B36:D36"/>
    <mergeCell ref="B37:D37"/>
    <mergeCell ref="B38:D38"/>
    <mergeCell ref="B39:D39"/>
    <mergeCell ref="A41:D41"/>
    <mergeCell ref="B42:D42"/>
    <mergeCell ref="B43:D43"/>
    <mergeCell ref="B44:D44"/>
    <mergeCell ref="B45:D45"/>
    <mergeCell ref="B46:D46"/>
  </mergeCells>
  <conditionalFormatting sqref="B33">
    <cfRule type="expression" priority="2" aboveAverage="0" equalAverage="0" bottom="0" percent="0" rank="0" text="" dxfId="0">
      <formula>B33="Behind Target"</formula>
    </cfRule>
  </conditionalFormatting>
  <conditionalFormatting sqref="B46">
    <cfRule type="expression" priority="3" aboveAverage="0" equalAverage="0" bottom="0" percent="0" rank="0" text="" dxfId="0">
      <formula>B46&gt;0</formula>
    </cfRule>
  </conditionalFormatting>
  <dataValidations count="1">
    <dataValidation allowBlank="true" errorStyle="stop" operator="between" showDropDown="false" showErrorMessage="false" showInputMessage="false" sqref="B4" type="list">
      <formula1>'Animal Register'!$A$5:$A$74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U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30" t="s">
        <v>267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customFormat="false" ht="15" hidden="false" customHeight="false" outlineLevel="0" collapsed="false">
      <c r="A2" s="48" t="s">
        <v>268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customFormat="false" ht="15" hidden="false" customHeight="false" outlineLevel="0" collapsed="false">
      <c r="Q3" s="9" t="s">
        <v>269</v>
      </c>
      <c r="R3" s="9"/>
      <c r="S3" s="9"/>
      <c r="T3" s="9"/>
      <c r="U3" s="9"/>
    </row>
    <row r="4" customFormat="false" ht="26.85" hidden="false" customHeight="false" outlineLevel="0" collapsed="false">
      <c r="A4" s="31" t="s">
        <v>216</v>
      </c>
      <c r="B4" s="31" t="s">
        <v>218</v>
      </c>
      <c r="C4" s="31" t="s">
        <v>270</v>
      </c>
      <c r="D4" s="31" t="s">
        <v>271</v>
      </c>
      <c r="E4" s="31" t="s">
        <v>272</v>
      </c>
      <c r="F4" s="31" t="s">
        <v>233</v>
      </c>
      <c r="G4" s="31" t="s">
        <v>230</v>
      </c>
      <c r="H4" s="31" t="s">
        <v>273</v>
      </c>
      <c r="I4" s="31" t="s">
        <v>231</v>
      </c>
      <c r="J4" s="31" t="s">
        <v>274</v>
      </c>
      <c r="K4" s="31" t="s">
        <v>275</v>
      </c>
      <c r="L4" s="31" t="s">
        <v>276</v>
      </c>
      <c r="M4" s="31" t="s">
        <v>277</v>
      </c>
      <c r="N4" s="31" t="s">
        <v>278</v>
      </c>
      <c r="Q4" s="31" t="s">
        <v>216</v>
      </c>
      <c r="R4" s="31" t="s">
        <v>274</v>
      </c>
      <c r="S4" s="31" t="s">
        <v>275</v>
      </c>
      <c r="T4" s="31" t="s">
        <v>276</v>
      </c>
      <c r="U4" s="31" t="s">
        <v>277</v>
      </c>
    </row>
    <row r="5" customFormat="false" ht="15" hidden="false" customHeight="false" outlineLevel="0" collapsed="false">
      <c r="A5" s="47" t="str">
        <f aca="false">IFERROR(INDEX('Animal Register'!$A:$A,MATCH(1,'Animal Register'!$U:$U,0)),"")</f>
        <v/>
      </c>
      <c r="B5" s="47" t="str">
        <f aca="false">IF($A5="","",INDEX('Animal Register'!$C:$C,MATCH($A5,'Animal Register'!$A:$A,0)))</f>
        <v/>
      </c>
      <c r="C5" s="52" t="str">
        <f aca="false">IF($A5="","",INDEX('Animal Register'!$K:$K,MATCH($A5,'Animal Register'!$A:$A,0)))</f>
        <v/>
      </c>
      <c r="D5" s="53" t="str">
        <f aca="false">IF($A5="","",INDEX('Animal Register'!$I:$I,MATCH($A5,'Animal Register'!$A:$A,0)))</f>
        <v/>
      </c>
      <c r="E5" s="53" t="str">
        <f aca="false">IF($A5="","",INDEX('Animal Register'!$J:$J,MATCH($A5,'Animal Register'!$A:$A,0)))</f>
        <v/>
      </c>
      <c r="F5" s="53" t="str">
        <f aca="false">IF($A5="","",INDEX('Animal Register'!$S:$S,MATCH($A5,'Animal Register'!$A:$A,0)))</f>
        <v/>
      </c>
      <c r="G5" s="47" t="str">
        <f aca="false">IF($A5="","",INDEX('Animal Register'!$O:$O,MATCH($A5,'Animal Register'!$A:$A,0)))</f>
        <v/>
      </c>
      <c r="H5" s="52" t="str">
        <f aca="false">IF($A5="","",INDEX('Animal Register'!$N:$N,MATCH($A5,'Animal Register'!$A:$A,0)))</f>
        <v/>
      </c>
      <c r="I5" s="47" t="str">
        <f aca="false">IF($A5="","",INDEX('Animal Register'!$P:$P,MATCH($A5,'Animal Register'!$A:$A,0)))</f>
        <v/>
      </c>
      <c r="J5" s="52" t="str">
        <f aca="false">IF($A5="","",IFERROR(INDEX($R$5:$R$104,MATCH($A5,$Q$5:$Q$104,0)),"-"))</f>
        <v/>
      </c>
      <c r="K5" s="53" t="str">
        <f aca="false">IF($A5="","",IFERROR(INDEX($S$5:$S$104,MATCH($A5,$Q$5:$Q$104,0)),"-"))</f>
        <v/>
      </c>
      <c r="L5" s="53" t="str">
        <f aca="false">IF($A5="","",IFERROR(INDEX($T$5:$T$104,MATCH($A5,$Q$5:$Q$104,0)),"-"))</f>
        <v/>
      </c>
      <c r="M5" s="47" t="str">
        <f aca="false">IF($A5="","",IFERROR(INDEX($U$5:$U$104,MATCH($A5,$Q$5:$Q$104,0)),"-"))</f>
        <v/>
      </c>
      <c r="N5" s="53" t="str">
        <f aca="false">IF($A5="","",IF(ISNUMBER(L5),L5-E5,"-"))</f>
        <v/>
      </c>
      <c r="Q5" s="50"/>
      <c r="R5" s="51"/>
      <c r="S5" s="62"/>
      <c r="T5" s="50"/>
      <c r="U5" s="38"/>
    </row>
    <row r="6" customFormat="false" ht="15" hidden="false" customHeight="false" outlineLevel="0" collapsed="false">
      <c r="A6" s="47" t="str">
        <f aca="false">IFERROR(INDEX('Animal Register'!$A:$A,MATCH(2,'Animal Register'!$U:$U,0)),"")</f>
        <v/>
      </c>
      <c r="B6" s="47" t="str">
        <f aca="false">IF($A6="","",INDEX('Animal Register'!$C:$C,MATCH($A6,'Animal Register'!$A:$A,0)))</f>
        <v/>
      </c>
      <c r="C6" s="52" t="str">
        <f aca="false">IF($A6="","",INDEX('Animal Register'!$K:$K,MATCH($A6,'Animal Register'!$A:$A,0)))</f>
        <v/>
      </c>
      <c r="D6" s="53" t="str">
        <f aca="false">IF($A6="","",INDEX('Animal Register'!$I:$I,MATCH($A6,'Animal Register'!$A:$A,0)))</f>
        <v/>
      </c>
      <c r="E6" s="53" t="str">
        <f aca="false">IF($A6="","",INDEX('Animal Register'!$J:$J,MATCH($A6,'Animal Register'!$A:$A,0)))</f>
        <v/>
      </c>
      <c r="F6" s="53" t="str">
        <f aca="false">IF($A6="","",INDEX('Animal Register'!$S:$S,MATCH($A6,'Animal Register'!$A:$A,0)))</f>
        <v/>
      </c>
      <c r="G6" s="47" t="str">
        <f aca="false">IF($A6="","",INDEX('Animal Register'!$O:$O,MATCH($A6,'Animal Register'!$A:$A,0)))</f>
        <v/>
      </c>
      <c r="H6" s="52" t="str">
        <f aca="false">IF($A6="","",INDEX('Animal Register'!$N:$N,MATCH($A6,'Animal Register'!$A:$A,0)))</f>
        <v/>
      </c>
      <c r="I6" s="47" t="str">
        <f aca="false">IF($A6="","",INDEX('Animal Register'!$P:$P,MATCH($A6,'Animal Register'!$A:$A,0)))</f>
        <v/>
      </c>
      <c r="J6" s="52" t="str">
        <f aca="false">IF($A6="","",IFERROR(INDEX($R$5:$R$104,MATCH($A6,$Q$5:$Q$104,0)),"-"))</f>
        <v/>
      </c>
      <c r="K6" s="53" t="str">
        <f aca="false">IF($A6="","",IFERROR(INDEX($S$5:$S$104,MATCH($A6,$Q$5:$Q$104,0)),"-"))</f>
        <v/>
      </c>
      <c r="L6" s="53" t="str">
        <f aca="false">IF($A6="","",IFERROR(INDEX($T$5:$T$104,MATCH($A6,$Q$5:$Q$104,0)),"-"))</f>
        <v/>
      </c>
      <c r="M6" s="47" t="str">
        <f aca="false">IF($A6="","",IFERROR(INDEX($U$5:$U$104,MATCH($A6,$Q$5:$Q$104,0)),"-"))</f>
        <v/>
      </c>
      <c r="N6" s="53" t="str">
        <f aca="false">IF($A6="","",IF(ISNUMBER(L6),L6-E6,"-"))</f>
        <v/>
      </c>
      <c r="Q6" s="50"/>
      <c r="R6" s="51"/>
      <c r="S6" s="62"/>
      <c r="T6" s="50"/>
      <c r="U6" s="38"/>
    </row>
    <row r="7" customFormat="false" ht="15" hidden="false" customHeight="false" outlineLevel="0" collapsed="false">
      <c r="A7" s="47" t="str">
        <f aca="false">IFERROR(INDEX('Animal Register'!$A:$A,MATCH(3,'Animal Register'!$U:$U,0)),"")</f>
        <v/>
      </c>
      <c r="B7" s="47" t="str">
        <f aca="false">IF($A7="","",INDEX('Animal Register'!$C:$C,MATCH($A7,'Animal Register'!$A:$A,0)))</f>
        <v/>
      </c>
      <c r="C7" s="52" t="str">
        <f aca="false">IF($A7="","",INDEX('Animal Register'!$K:$K,MATCH($A7,'Animal Register'!$A:$A,0)))</f>
        <v/>
      </c>
      <c r="D7" s="53" t="str">
        <f aca="false">IF($A7="","",INDEX('Animal Register'!$I:$I,MATCH($A7,'Animal Register'!$A:$A,0)))</f>
        <v/>
      </c>
      <c r="E7" s="53" t="str">
        <f aca="false">IF($A7="","",INDEX('Animal Register'!$J:$J,MATCH($A7,'Animal Register'!$A:$A,0)))</f>
        <v/>
      </c>
      <c r="F7" s="53" t="str">
        <f aca="false">IF($A7="","",INDEX('Animal Register'!$S:$S,MATCH($A7,'Animal Register'!$A:$A,0)))</f>
        <v/>
      </c>
      <c r="G7" s="47" t="str">
        <f aca="false">IF($A7="","",INDEX('Animal Register'!$O:$O,MATCH($A7,'Animal Register'!$A:$A,0)))</f>
        <v/>
      </c>
      <c r="H7" s="52" t="str">
        <f aca="false">IF($A7="","",INDEX('Animal Register'!$N:$N,MATCH($A7,'Animal Register'!$A:$A,0)))</f>
        <v/>
      </c>
      <c r="I7" s="47" t="str">
        <f aca="false">IF($A7="","",INDEX('Animal Register'!$P:$P,MATCH($A7,'Animal Register'!$A:$A,0)))</f>
        <v/>
      </c>
      <c r="J7" s="52" t="str">
        <f aca="false">IF($A7="","",IFERROR(INDEX($R$5:$R$104,MATCH($A7,$Q$5:$Q$104,0)),"-"))</f>
        <v/>
      </c>
      <c r="K7" s="53" t="str">
        <f aca="false">IF($A7="","",IFERROR(INDEX($S$5:$S$104,MATCH($A7,$Q$5:$Q$104,0)),"-"))</f>
        <v/>
      </c>
      <c r="L7" s="53" t="str">
        <f aca="false">IF($A7="","",IFERROR(INDEX($T$5:$T$104,MATCH($A7,$Q$5:$Q$104,0)),"-"))</f>
        <v/>
      </c>
      <c r="M7" s="47" t="str">
        <f aca="false">IF($A7="","",IFERROR(INDEX($U$5:$U$104,MATCH($A7,$Q$5:$Q$104,0)),"-"))</f>
        <v/>
      </c>
      <c r="N7" s="53" t="str">
        <f aca="false">IF($A7="","",IF(ISNUMBER(L7),L7-E7,"-"))</f>
        <v/>
      </c>
      <c r="Q7" s="50"/>
      <c r="R7" s="51"/>
      <c r="S7" s="62"/>
      <c r="T7" s="50"/>
      <c r="U7" s="38"/>
    </row>
    <row r="8" customFormat="false" ht="15" hidden="false" customHeight="false" outlineLevel="0" collapsed="false">
      <c r="A8" s="47" t="str">
        <f aca="false">IFERROR(INDEX('Animal Register'!$A:$A,MATCH(4,'Animal Register'!$U:$U,0)),"")</f>
        <v/>
      </c>
      <c r="B8" s="47" t="str">
        <f aca="false">IF($A8="","",INDEX('Animal Register'!$C:$C,MATCH($A8,'Animal Register'!$A:$A,0)))</f>
        <v/>
      </c>
      <c r="C8" s="52" t="str">
        <f aca="false">IF($A8="","",INDEX('Animal Register'!$K:$K,MATCH($A8,'Animal Register'!$A:$A,0)))</f>
        <v/>
      </c>
      <c r="D8" s="53" t="str">
        <f aca="false">IF($A8="","",INDEX('Animal Register'!$I:$I,MATCH($A8,'Animal Register'!$A:$A,0)))</f>
        <v/>
      </c>
      <c r="E8" s="53" t="str">
        <f aca="false">IF($A8="","",INDEX('Animal Register'!$J:$J,MATCH($A8,'Animal Register'!$A:$A,0)))</f>
        <v/>
      </c>
      <c r="F8" s="53" t="str">
        <f aca="false">IF($A8="","",INDEX('Animal Register'!$S:$S,MATCH($A8,'Animal Register'!$A:$A,0)))</f>
        <v/>
      </c>
      <c r="G8" s="47" t="str">
        <f aca="false">IF($A8="","",INDEX('Animal Register'!$O:$O,MATCH($A8,'Animal Register'!$A:$A,0)))</f>
        <v/>
      </c>
      <c r="H8" s="52" t="str">
        <f aca="false">IF($A8="","",INDEX('Animal Register'!$N:$N,MATCH($A8,'Animal Register'!$A:$A,0)))</f>
        <v/>
      </c>
      <c r="I8" s="47" t="str">
        <f aca="false">IF($A8="","",INDEX('Animal Register'!$P:$P,MATCH($A8,'Animal Register'!$A:$A,0)))</f>
        <v/>
      </c>
      <c r="J8" s="52" t="str">
        <f aca="false">IF($A8="","",IFERROR(INDEX($R$5:$R$104,MATCH($A8,$Q$5:$Q$104,0)),"-"))</f>
        <v/>
      </c>
      <c r="K8" s="53" t="str">
        <f aca="false">IF($A8="","",IFERROR(INDEX($S$5:$S$104,MATCH($A8,$Q$5:$Q$104,0)),"-"))</f>
        <v/>
      </c>
      <c r="L8" s="53" t="str">
        <f aca="false">IF($A8="","",IFERROR(INDEX($T$5:$T$104,MATCH($A8,$Q$5:$Q$104,0)),"-"))</f>
        <v/>
      </c>
      <c r="M8" s="47" t="str">
        <f aca="false">IF($A8="","",IFERROR(INDEX($U$5:$U$104,MATCH($A8,$Q$5:$Q$104,0)),"-"))</f>
        <v/>
      </c>
      <c r="N8" s="53" t="str">
        <f aca="false">IF($A8="","",IF(ISNUMBER(L8),L8-E8,"-"))</f>
        <v/>
      </c>
      <c r="Q8" s="50"/>
      <c r="R8" s="51"/>
      <c r="S8" s="62"/>
      <c r="T8" s="50"/>
      <c r="U8" s="38"/>
    </row>
    <row r="9" customFormat="false" ht="15" hidden="false" customHeight="false" outlineLevel="0" collapsed="false">
      <c r="A9" s="47" t="str">
        <f aca="false">IFERROR(INDEX('Animal Register'!$A:$A,MATCH(5,'Animal Register'!$U:$U,0)),"")</f>
        <v/>
      </c>
      <c r="B9" s="47" t="str">
        <f aca="false">IF($A9="","",INDEX('Animal Register'!$C:$C,MATCH($A9,'Animal Register'!$A:$A,0)))</f>
        <v/>
      </c>
      <c r="C9" s="52" t="str">
        <f aca="false">IF($A9="","",INDEX('Animal Register'!$K:$K,MATCH($A9,'Animal Register'!$A:$A,0)))</f>
        <v/>
      </c>
      <c r="D9" s="53" t="str">
        <f aca="false">IF($A9="","",INDEX('Animal Register'!$I:$I,MATCH($A9,'Animal Register'!$A:$A,0)))</f>
        <v/>
      </c>
      <c r="E9" s="53" t="str">
        <f aca="false">IF($A9="","",INDEX('Animal Register'!$J:$J,MATCH($A9,'Animal Register'!$A:$A,0)))</f>
        <v/>
      </c>
      <c r="F9" s="53" t="str">
        <f aca="false">IF($A9="","",INDEX('Animal Register'!$S:$S,MATCH($A9,'Animal Register'!$A:$A,0)))</f>
        <v/>
      </c>
      <c r="G9" s="47" t="str">
        <f aca="false">IF($A9="","",INDEX('Animal Register'!$O:$O,MATCH($A9,'Animal Register'!$A:$A,0)))</f>
        <v/>
      </c>
      <c r="H9" s="52" t="str">
        <f aca="false">IF($A9="","",INDEX('Animal Register'!$N:$N,MATCH($A9,'Animal Register'!$A:$A,0)))</f>
        <v/>
      </c>
      <c r="I9" s="47" t="str">
        <f aca="false">IF($A9="","",INDEX('Animal Register'!$P:$P,MATCH($A9,'Animal Register'!$A:$A,0)))</f>
        <v/>
      </c>
      <c r="J9" s="52" t="str">
        <f aca="false">IF($A9="","",IFERROR(INDEX($R$5:$R$104,MATCH($A9,$Q$5:$Q$104,0)),"-"))</f>
        <v/>
      </c>
      <c r="K9" s="53" t="str">
        <f aca="false">IF($A9="","",IFERROR(INDEX($S$5:$S$104,MATCH($A9,$Q$5:$Q$104,0)),"-"))</f>
        <v/>
      </c>
      <c r="L9" s="53" t="str">
        <f aca="false">IF($A9="","",IFERROR(INDEX($T$5:$T$104,MATCH($A9,$Q$5:$Q$104,0)),"-"))</f>
        <v/>
      </c>
      <c r="M9" s="47" t="str">
        <f aca="false">IF($A9="","",IFERROR(INDEX($U$5:$U$104,MATCH($A9,$Q$5:$Q$104,0)),"-"))</f>
        <v/>
      </c>
      <c r="N9" s="53" t="str">
        <f aca="false">IF($A9="","",IF(ISNUMBER(L9),L9-E9,"-"))</f>
        <v/>
      </c>
      <c r="Q9" s="50"/>
      <c r="R9" s="51"/>
      <c r="S9" s="62"/>
      <c r="T9" s="50"/>
      <c r="U9" s="38"/>
    </row>
    <row r="10" customFormat="false" ht="15" hidden="false" customHeight="false" outlineLevel="0" collapsed="false">
      <c r="A10" s="47" t="str">
        <f aca="false">IFERROR(INDEX('Animal Register'!$A:$A,MATCH(6,'Animal Register'!$U:$U,0)),"")</f>
        <v/>
      </c>
      <c r="B10" s="47" t="str">
        <f aca="false">IF($A10="","",INDEX('Animal Register'!$C:$C,MATCH($A10,'Animal Register'!$A:$A,0)))</f>
        <v/>
      </c>
      <c r="C10" s="52" t="str">
        <f aca="false">IF($A10="","",INDEX('Animal Register'!$K:$K,MATCH($A10,'Animal Register'!$A:$A,0)))</f>
        <v/>
      </c>
      <c r="D10" s="53" t="str">
        <f aca="false">IF($A10="","",INDEX('Animal Register'!$I:$I,MATCH($A10,'Animal Register'!$A:$A,0)))</f>
        <v/>
      </c>
      <c r="E10" s="53" t="str">
        <f aca="false">IF($A10="","",INDEX('Animal Register'!$J:$J,MATCH($A10,'Animal Register'!$A:$A,0)))</f>
        <v/>
      </c>
      <c r="F10" s="53" t="str">
        <f aca="false">IF($A10="","",INDEX('Animal Register'!$S:$S,MATCH($A10,'Animal Register'!$A:$A,0)))</f>
        <v/>
      </c>
      <c r="G10" s="47" t="str">
        <f aca="false">IF($A10="","",INDEX('Animal Register'!$O:$O,MATCH($A10,'Animal Register'!$A:$A,0)))</f>
        <v/>
      </c>
      <c r="H10" s="52" t="str">
        <f aca="false">IF($A10="","",INDEX('Animal Register'!$N:$N,MATCH($A10,'Animal Register'!$A:$A,0)))</f>
        <v/>
      </c>
      <c r="I10" s="47" t="str">
        <f aca="false">IF($A10="","",INDEX('Animal Register'!$P:$P,MATCH($A10,'Animal Register'!$A:$A,0)))</f>
        <v/>
      </c>
      <c r="J10" s="52" t="str">
        <f aca="false">IF($A10="","",IFERROR(INDEX($R$5:$R$104,MATCH($A10,$Q$5:$Q$104,0)),"-"))</f>
        <v/>
      </c>
      <c r="K10" s="53" t="str">
        <f aca="false">IF($A10="","",IFERROR(INDEX($S$5:$S$104,MATCH($A10,$Q$5:$Q$104,0)),"-"))</f>
        <v/>
      </c>
      <c r="L10" s="53" t="str">
        <f aca="false">IF($A10="","",IFERROR(INDEX($T$5:$T$104,MATCH($A10,$Q$5:$Q$104,0)),"-"))</f>
        <v/>
      </c>
      <c r="M10" s="47" t="str">
        <f aca="false">IF($A10="","",IFERROR(INDEX($U$5:$U$104,MATCH($A10,$Q$5:$Q$104,0)),"-"))</f>
        <v/>
      </c>
      <c r="N10" s="53" t="str">
        <f aca="false">IF($A10="","",IF(ISNUMBER(L10),L10-E10,"-"))</f>
        <v/>
      </c>
      <c r="Q10" s="50"/>
      <c r="R10" s="51"/>
      <c r="S10" s="62"/>
      <c r="T10" s="50"/>
      <c r="U10" s="38"/>
    </row>
    <row r="11" customFormat="false" ht="15" hidden="false" customHeight="false" outlineLevel="0" collapsed="false">
      <c r="A11" s="47" t="str">
        <f aca="false">IFERROR(INDEX('Animal Register'!$A:$A,MATCH(7,'Animal Register'!$U:$U,0)),"")</f>
        <v/>
      </c>
      <c r="B11" s="47" t="str">
        <f aca="false">IF($A11="","",INDEX('Animal Register'!$C:$C,MATCH($A11,'Animal Register'!$A:$A,0)))</f>
        <v/>
      </c>
      <c r="C11" s="52" t="str">
        <f aca="false">IF($A11="","",INDEX('Animal Register'!$K:$K,MATCH($A11,'Animal Register'!$A:$A,0)))</f>
        <v/>
      </c>
      <c r="D11" s="53" t="str">
        <f aca="false">IF($A11="","",INDEX('Animal Register'!$I:$I,MATCH($A11,'Animal Register'!$A:$A,0)))</f>
        <v/>
      </c>
      <c r="E11" s="53" t="str">
        <f aca="false">IF($A11="","",INDEX('Animal Register'!$J:$J,MATCH($A11,'Animal Register'!$A:$A,0)))</f>
        <v/>
      </c>
      <c r="F11" s="53" t="str">
        <f aca="false">IF($A11="","",INDEX('Animal Register'!$S:$S,MATCH($A11,'Animal Register'!$A:$A,0)))</f>
        <v/>
      </c>
      <c r="G11" s="47" t="str">
        <f aca="false">IF($A11="","",INDEX('Animal Register'!$O:$O,MATCH($A11,'Animal Register'!$A:$A,0)))</f>
        <v/>
      </c>
      <c r="H11" s="52" t="str">
        <f aca="false">IF($A11="","",INDEX('Animal Register'!$N:$N,MATCH($A11,'Animal Register'!$A:$A,0)))</f>
        <v/>
      </c>
      <c r="I11" s="47" t="str">
        <f aca="false">IF($A11="","",INDEX('Animal Register'!$P:$P,MATCH($A11,'Animal Register'!$A:$A,0)))</f>
        <v/>
      </c>
      <c r="J11" s="52" t="str">
        <f aca="false">IF($A11="","",IFERROR(INDEX($R$5:$R$104,MATCH($A11,$Q$5:$Q$104,0)),"-"))</f>
        <v/>
      </c>
      <c r="K11" s="53" t="str">
        <f aca="false">IF($A11="","",IFERROR(INDEX($S$5:$S$104,MATCH($A11,$Q$5:$Q$104,0)),"-"))</f>
        <v/>
      </c>
      <c r="L11" s="53" t="str">
        <f aca="false">IF($A11="","",IFERROR(INDEX($T$5:$T$104,MATCH($A11,$Q$5:$Q$104,0)),"-"))</f>
        <v/>
      </c>
      <c r="M11" s="47" t="str">
        <f aca="false">IF($A11="","",IFERROR(INDEX($U$5:$U$104,MATCH($A11,$Q$5:$Q$104,0)),"-"))</f>
        <v/>
      </c>
      <c r="N11" s="53" t="str">
        <f aca="false">IF($A11="","",IF(ISNUMBER(L11),L11-E11,"-"))</f>
        <v/>
      </c>
      <c r="Q11" s="50"/>
      <c r="R11" s="51"/>
      <c r="S11" s="62"/>
      <c r="T11" s="50"/>
      <c r="U11" s="38"/>
    </row>
    <row r="12" customFormat="false" ht="15" hidden="false" customHeight="false" outlineLevel="0" collapsed="false">
      <c r="A12" s="47" t="str">
        <f aca="false">IFERROR(INDEX('Animal Register'!$A:$A,MATCH(8,'Animal Register'!$U:$U,0)),"")</f>
        <v/>
      </c>
      <c r="B12" s="47" t="str">
        <f aca="false">IF($A12="","",INDEX('Animal Register'!$C:$C,MATCH($A12,'Animal Register'!$A:$A,0)))</f>
        <v/>
      </c>
      <c r="C12" s="52" t="str">
        <f aca="false">IF($A12="","",INDEX('Animal Register'!$K:$K,MATCH($A12,'Animal Register'!$A:$A,0)))</f>
        <v/>
      </c>
      <c r="D12" s="53" t="str">
        <f aca="false">IF($A12="","",INDEX('Animal Register'!$I:$I,MATCH($A12,'Animal Register'!$A:$A,0)))</f>
        <v/>
      </c>
      <c r="E12" s="53" t="str">
        <f aca="false">IF($A12="","",INDEX('Animal Register'!$J:$J,MATCH($A12,'Animal Register'!$A:$A,0)))</f>
        <v/>
      </c>
      <c r="F12" s="53" t="str">
        <f aca="false">IF($A12="","",INDEX('Animal Register'!$S:$S,MATCH($A12,'Animal Register'!$A:$A,0)))</f>
        <v/>
      </c>
      <c r="G12" s="47" t="str">
        <f aca="false">IF($A12="","",INDEX('Animal Register'!$O:$O,MATCH($A12,'Animal Register'!$A:$A,0)))</f>
        <v/>
      </c>
      <c r="H12" s="52" t="str">
        <f aca="false">IF($A12="","",INDEX('Animal Register'!$N:$N,MATCH($A12,'Animal Register'!$A:$A,0)))</f>
        <v/>
      </c>
      <c r="I12" s="47" t="str">
        <f aca="false">IF($A12="","",INDEX('Animal Register'!$P:$P,MATCH($A12,'Animal Register'!$A:$A,0)))</f>
        <v/>
      </c>
      <c r="J12" s="52" t="str">
        <f aca="false">IF($A12="","",IFERROR(INDEX($R$5:$R$104,MATCH($A12,$Q$5:$Q$104,0)),"-"))</f>
        <v/>
      </c>
      <c r="K12" s="53" t="str">
        <f aca="false">IF($A12="","",IFERROR(INDEX($S$5:$S$104,MATCH($A12,$Q$5:$Q$104,0)),"-"))</f>
        <v/>
      </c>
      <c r="L12" s="53" t="str">
        <f aca="false">IF($A12="","",IFERROR(INDEX($T$5:$T$104,MATCH($A12,$Q$5:$Q$104,0)),"-"))</f>
        <v/>
      </c>
      <c r="M12" s="47" t="str">
        <f aca="false">IF($A12="","",IFERROR(INDEX($U$5:$U$104,MATCH($A12,$Q$5:$Q$104,0)),"-"))</f>
        <v/>
      </c>
      <c r="N12" s="53" t="str">
        <f aca="false">IF($A12="","",IF(ISNUMBER(L12),L12-E12,"-"))</f>
        <v/>
      </c>
      <c r="Q12" s="50"/>
      <c r="R12" s="51"/>
      <c r="S12" s="62"/>
      <c r="T12" s="50"/>
      <c r="U12" s="38"/>
    </row>
    <row r="13" customFormat="false" ht="15" hidden="false" customHeight="false" outlineLevel="0" collapsed="false">
      <c r="A13" s="47" t="str">
        <f aca="false">IFERROR(INDEX('Animal Register'!$A:$A,MATCH(9,'Animal Register'!$U:$U,0)),"")</f>
        <v/>
      </c>
      <c r="B13" s="47" t="str">
        <f aca="false">IF($A13="","",INDEX('Animal Register'!$C:$C,MATCH($A13,'Animal Register'!$A:$A,0)))</f>
        <v/>
      </c>
      <c r="C13" s="52" t="str">
        <f aca="false">IF($A13="","",INDEX('Animal Register'!$K:$K,MATCH($A13,'Animal Register'!$A:$A,0)))</f>
        <v/>
      </c>
      <c r="D13" s="53" t="str">
        <f aca="false">IF($A13="","",INDEX('Animal Register'!$I:$I,MATCH($A13,'Animal Register'!$A:$A,0)))</f>
        <v/>
      </c>
      <c r="E13" s="53" t="str">
        <f aca="false">IF($A13="","",INDEX('Animal Register'!$J:$J,MATCH($A13,'Animal Register'!$A:$A,0)))</f>
        <v/>
      </c>
      <c r="F13" s="53" t="str">
        <f aca="false">IF($A13="","",INDEX('Animal Register'!$S:$S,MATCH($A13,'Animal Register'!$A:$A,0)))</f>
        <v/>
      </c>
      <c r="G13" s="47" t="str">
        <f aca="false">IF($A13="","",INDEX('Animal Register'!$O:$O,MATCH($A13,'Animal Register'!$A:$A,0)))</f>
        <v/>
      </c>
      <c r="H13" s="52" t="str">
        <f aca="false">IF($A13="","",INDEX('Animal Register'!$N:$N,MATCH($A13,'Animal Register'!$A:$A,0)))</f>
        <v/>
      </c>
      <c r="I13" s="47" t="str">
        <f aca="false">IF($A13="","",INDEX('Animal Register'!$P:$P,MATCH($A13,'Animal Register'!$A:$A,0)))</f>
        <v/>
      </c>
      <c r="J13" s="52" t="str">
        <f aca="false">IF($A13="","",IFERROR(INDEX($R$5:$R$104,MATCH($A13,$Q$5:$Q$104,0)),"-"))</f>
        <v/>
      </c>
      <c r="K13" s="53" t="str">
        <f aca="false">IF($A13="","",IFERROR(INDEX($S$5:$S$104,MATCH($A13,$Q$5:$Q$104,0)),"-"))</f>
        <v/>
      </c>
      <c r="L13" s="53" t="str">
        <f aca="false">IF($A13="","",IFERROR(INDEX($T$5:$T$104,MATCH($A13,$Q$5:$Q$104,0)),"-"))</f>
        <v/>
      </c>
      <c r="M13" s="47" t="str">
        <f aca="false">IF($A13="","",IFERROR(INDEX($U$5:$U$104,MATCH($A13,$Q$5:$Q$104,0)),"-"))</f>
        <v/>
      </c>
      <c r="N13" s="53" t="str">
        <f aca="false">IF($A13="","",IF(ISNUMBER(L13),L13-E13,"-"))</f>
        <v/>
      </c>
      <c r="Q13" s="50"/>
      <c r="R13" s="51"/>
      <c r="S13" s="62"/>
      <c r="T13" s="50"/>
      <c r="U13" s="38"/>
    </row>
    <row r="14" customFormat="false" ht="15" hidden="false" customHeight="false" outlineLevel="0" collapsed="false">
      <c r="A14" s="47" t="str">
        <f aca="false">IFERROR(INDEX('Animal Register'!$A:$A,MATCH(10,'Animal Register'!$U:$U,0)),"")</f>
        <v/>
      </c>
      <c r="B14" s="47" t="str">
        <f aca="false">IF($A14="","",INDEX('Animal Register'!$C:$C,MATCH($A14,'Animal Register'!$A:$A,0)))</f>
        <v/>
      </c>
      <c r="C14" s="52" t="str">
        <f aca="false">IF($A14="","",INDEX('Animal Register'!$K:$K,MATCH($A14,'Animal Register'!$A:$A,0)))</f>
        <v/>
      </c>
      <c r="D14" s="53" t="str">
        <f aca="false">IF($A14="","",INDEX('Animal Register'!$I:$I,MATCH($A14,'Animal Register'!$A:$A,0)))</f>
        <v/>
      </c>
      <c r="E14" s="53" t="str">
        <f aca="false">IF($A14="","",INDEX('Animal Register'!$J:$J,MATCH($A14,'Animal Register'!$A:$A,0)))</f>
        <v/>
      </c>
      <c r="F14" s="53" t="str">
        <f aca="false">IF($A14="","",INDEX('Animal Register'!$S:$S,MATCH($A14,'Animal Register'!$A:$A,0)))</f>
        <v/>
      </c>
      <c r="G14" s="47" t="str">
        <f aca="false">IF($A14="","",INDEX('Animal Register'!$O:$O,MATCH($A14,'Animal Register'!$A:$A,0)))</f>
        <v/>
      </c>
      <c r="H14" s="52" t="str">
        <f aca="false">IF($A14="","",INDEX('Animal Register'!$N:$N,MATCH($A14,'Animal Register'!$A:$A,0)))</f>
        <v/>
      </c>
      <c r="I14" s="47" t="str">
        <f aca="false">IF($A14="","",INDEX('Animal Register'!$P:$P,MATCH($A14,'Animal Register'!$A:$A,0)))</f>
        <v/>
      </c>
      <c r="J14" s="52" t="str">
        <f aca="false">IF($A14="","",IFERROR(INDEX($R$5:$R$104,MATCH($A14,$Q$5:$Q$104,0)),"-"))</f>
        <v/>
      </c>
      <c r="K14" s="53" t="str">
        <f aca="false">IF($A14="","",IFERROR(INDEX($S$5:$S$104,MATCH($A14,$Q$5:$Q$104,0)),"-"))</f>
        <v/>
      </c>
      <c r="L14" s="53" t="str">
        <f aca="false">IF($A14="","",IFERROR(INDEX($T$5:$T$104,MATCH($A14,$Q$5:$Q$104,0)),"-"))</f>
        <v/>
      </c>
      <c r="M14" s="47" t="str">
        <f aca="false">IF($A14="","",IFERROR(INDEX($U$5:$U$104,MATCH($A14,$Q$5:$Q$104,0)),"-"))</f>
        <v/>
      </c>
      <c r="N14" s="53" t="str">
        <f aca="false">IF($A14="","",IF(ISNUMBER(L14),L14-E14,"-"))</f>
        <v/>
      </c>
      <c r="Q14" s="50"/>
      <c r="R14" s="51"/>
      <c r="S14" s="62"/>
      <c r="T14" s="50"/>
      <c r="U14" s="38"/>
    </row>
    <row r="15" customFormat="false" ht="15" hidden="false" customHeight="false" outlineLevel="0" collapsed="false">
      <c r="A15" s="47" t="str">
        <f aca="false">IFERROR(INDEX('Animal Register'!$A:$A,MATCH(11,'Animal Register'!$U:$U,0)),"")</f>
        <v/>
      </c>
      <c r="B15" s="47" t="str">
        <f aca="false">IF($A15="","",INDEX('Animal Register'!$C:$C,MATCH($A15,'Animal Register'!$A:$A,0)))</f>
        <v/>
      </c>
      <c r="C15" s="52" t="str">
        <f aca="false">IF($A15="","",INDEX('Animal Register'!$K:$K,MATCH($A15,'Animal Register'!$A:$A,0)))</f>
        <v/>
      </c>
      <c r="D15" s="53" t="str">
        <f aca="false">IF($A15="","",INDEX('Animal Register'!$I:$I,MATCH($A15,'Animal Register'!$A:$A,0)))</f>
        <v/>
      </c>
      <c r="E15" s="53" t="str">
        <f aca="false">IF($A15="","",INDEX('Animal Register'!$J:$J,MATCH($A15,'Animal Register'!$A:$A,0)))</f>
        <v/>
      </c>
      <c r="F15" s="53" t="str">
        <f aca="false">IF($A15="","",INDEX('Animal Register'!$S:$S,MATCH($A15,'Animal Register'!$A:$A,0)))</f>
        <v/>
      </c>
      <c r="G15" s="47" t="str">
        <f aca="false">IF($A15="","",INDEX('Animal Register'!$O:$O,MATCH($A15,'Animal Register'!$A:$A,0)))</f>
        <v/>
      </c>
      <c r="H15" s="52" t="str">
        <f aca="false">IF($A15="","",INDEX('Animal Register'!$N:$N,MATCH($A15,'Animal Register'!$A:$A,0)))</f>
        <v/>
      </c>
      <c r="I15" s="47" t="str">
        <f aca="false">IF($A15="","",INDEX('Animal Register'!$P:$P,MATCH($A15,'Animal Register'!$A:$A,0)))</f>
        <v/>
      </c>
      <c r="J15" s="52" t="str">
        <f aca="false">IF($A15="","",IFERROR(INDEX($R$5:$R$104,MATCH($A15,$Q$5:$Q$104,0)),"-"))</f>
        <v/>
      </c>
      <c r="K15" s="53" t="str">
        <f aca="false">IF($A15="","",IFERROR(INDEX($S$5:$S$104,MATCH($A15,$Q$5:$Q$104,0)),"-"))</f>
        <v/>
      </c>
      <c r="L15" s="53" t="str">
        <f aca="false">IF($A15="","",IFERROR(INDEX($T$5:$T$104,MATCH($A15,$Q$5:$Q$104,0)),"-"))</f>
        <v/>
      </c>
      <c r="M15" s="47" t="str">
        <f aca="false">IF($A15="","",IFERROR(INDEX($U$5:$U$104,MATCH($A15,$Q$5:$Q$104,0)),"-"))</f>
        <v/>
      </c>
      <c r="N15" s="53" t="str">
        <f aca="false">IF($A15="","",IF(ISNUMBER(L15),L15-E15,"-"))</f>
        <v/>
      </c>
      <c r="Q15" s="50"/>
      <c r="R15" s="51"/>
      <c r="S15" s="62"/>
      <c r="T15" s="50"/>
      <c r="U15" s="38"/>
    </row>
    <row r="16" customFormat="false" ht="15" hidden="false" customHeight="false" outlineLevel="0" collapsed="false">
      <c r="A16" s="47" t="str">
        <f aca="false">IFERROR(INDEX('Animal Register'!$A:$A,MATCH(12,'Animal Register'!$U:$U,0)),"")</f>
        <v/>
      </c>
      <c r="B16" s="47" t="str">
        <f aca="false">IF($A16="","",INDEX('Animal Register'!$C:$C,MATCH($A16,'Animal Register'!$A:$A,0)))</f>
        <v/>
      </c>
      <c r="C16" s="52" t="str">
        <f aca="false">IF($A16="","",INDEX('Animal Register'!$K:$K,MATCH($A16,'Animal Register'!$A:$A,0)))</f>
        <v/>
      </c>
      <c r="D16" s="53" t="str">
        <f aca="false">IF($A16="","",INDEX('Animal Register'!$I:$I,MATCH($A16,'Animal Register'!$A:$A,0)))</f>
        <v/>
      </c>
      <c r="E16" s="53" t="str">
        <f aca="false">IF($A16="","",INDEX('Animal Register'!$J:$J,MATCH($A16,'Animal Register'!$A:$A,0)))</f>
        <v/>
      </c>
      <c r="F16" s="53" t="str">
        <f aca="false">IF($A16="","",INDEX('Animal Register'!$S:$S,MATCH($A16,'Animal Register'!$A:$A,0)))</f>
        <v/>
      </c>
      <c r="G16" s="47" t="str">
        <f aca="false">IF($A16="","",INDEX('Animal Register'!$O:$O,MATCH($A16,'Animal Register'!$A:$A,0)))</f>
        <v/>
      </c>
      <c r="H16" s="52" t="str">
        <f aca="false">IF($A16="","",INDEX('Animal Register'!$N:$N,MATCH($A16,'Animal Register'!$A:$A,0)))</f>
        <v/>
      </c>
      <c r="I16" s="47" t="str">
        <f aca="false">IF($A16="","",INDEX('Animal Register'!$P:$P,MATCH($A16,'Animal Register'!$A:$A,0)))</f>
        <v/>
      </c>
      <c r="J16" s="52" t="str">
        <f aca="false">IF($A16="","",IFERROR(INDEX($R$5:$R$104,MATCH($A16,$Q$5:$Q$104,0)),"-"))</f>
        <v/>
      </c>
      <c r="K16" s="53" t="str">
        <f aca="false">IF($A16="","",IFERROR(INDEX($S$5:$S$104,MATCH($A16,$Q$5:$Q$104,0)),"-"))</f>
        <v/>
      </c>
      <c r="L16" s="53" t="str">
        <f aca="false">IF($A16="","",IFERROR(INDEX($T$5:$T$104,MATCH($A16,$Q$5:$Q$104,0)),"-"))</f>
        <v/>
      </c>
      <c r="M16" s="47" t="str">
        <f aca="false">IF($A16="","",IFERROR(INDEX($U$5:$U$104,MATCH($A16,$Q$5:$Q$104,0)),"-"))</f>
        <v/>
      </c>
      <c r="N16" s="53" t="str">
        <f aca="false">IF($A16="","",IF(ISNUMBER(L16),L16-E16,"-"))</f>
        <v/>
      </c>
      <c r="Q16" s="50"/>
      <c r="R16" s="51"/>
      <c r="S16" s="62"/>
      <c r="T16" s="50"/>
      <c r="U16" s="38"/>
    </row>
    <row r="17" customFormat="false" ht="15" hidden="false" customHeight="false" outlineLevel="0" collapsed="false">
      <c r="A17" s="47" t="str">
        <f aca="false">IFERROR(INDEX('Animal Register'!$A:$A,MATCH(13,'Animal Register'!$U:$U,0)),"")</f>
        <v/>
      </c>
      <c r="B17" s="47" t="str">
        <f aca="false">IF($A17="","",INDEX('Animal Register'!$C:$C,MATCH($A17,'Animal Register'!$A:$A,0)))</f>
        <v/>
      </c>
      <c r="C17" s="52" t="str">
        <f aca="false">IF($A17="","",INDEX('Animal Register'!$K:$K,MATCH($A17,'Animal Register'!$A:$A,0)))</f>
        <v/>
      </c>
      <c r="D17" s="53" t="str">
        <f aca="false">IF($A17="","",INDEX('Animal Register'!$I:$I,MATCH($A17,'Animal Register'!$A:$A,0)))</f>
        <v/>
      </c>
      <c r="E17" s="53" t="str">
        <f aca="false">IF($A17="","",INDEX('Animal Register'!$J:$J,MATCH($A17,'Animal Register'!$A:$A,0)))</f>
        <v/>
      </c>
      <c r="F17" s="53" t="str">
        <f aca="false">IF($A17="","",INDEX('Animal Register'!$S:$S,MATCH($A17,'Animal Register'!$A:$A,0)))</f>
        <v/>
      </c>
      <c r="G17" s="47" t="str">
        <f aca="false">IF($A17="","",INDEX('Animal Register'!$O:$O,MATCH($A17,'Animal Register'!$A:$A,0)))</f>
        <v/>
      </c>
      <c r="H17" s="52" t="str">
        <f aca="false">IF($A17="","",INDEX('Animal Register'!$N:$N,MATCH($A17,'Animal Register'!$A:$A,0)))</f>
        <v/>
      </c>
      <c r="I17" s="47" t="str">
        <f aca="false">IF($A17="","",INDEX('Animal Register'!$P:$P,MATCH($A17,'Animal Register'!$A:$A,0)))</f>
        <v/>
      </c>
      <c r="J17" s="52" t="str">
        <f aca="false">IF($A17="","",IFERROR(INDEX($R$5:$R$104,MATCH($A17,$Q$5:$Q$104,0)),"-"))</f>
        <v/>
      </c>
      <c r="K17" s="53" t="str">
        <f aca="false">IF($A17="","",IFERROR(INDEX($S$5:$S$104,MATCH($A17,$Q$5:$Q$104,0)),"-"))</f>
        <v/>
      </c>
      <c r="L17" s="53" t="str">
        <f aca="false">IF($A17="","",IFERROR(INDEX($T$5:$T$104,MATCH($A17,$Q$5:$Q$104,0)),"-"))</f>
        <v/>
      </c>
      <c r="M17" s="47" t="str">
        <f aca="false">IF($A17="","",IFERROR(INDEX($U$5:$U$104,MATCH($A17,$Q$5:$Q$104,0)),"-"))</f>
        <v/>
      </c>
      <c r="N17" s="53" t="str">
        <f aca="false">IF($A17="","",IF(ISNUMBER(L17),L17-E17,"-"))</f>
        <v/>
      </c>
      <c r="Q17" s="50"/>
      <c r="R17" s="51"/>
      <c r="S17" s="62"/>
      <c r="T17" s="50"/>
      <c r="U17" s="38"/>
    </row>
    <row r="18" customFormat="false" ht="15" hidden="false" customHeight="false" outlineLevel="0" collapsed="false">
      <c r="A18" s="47" t="str">
        <f aca="false">IFERROR(INDEX('Animal Register'!$A:$A,MATCH(14,'Animal Register'!$U:$U,0)),"")</f>
        <v/>
      </c>
      <c r="B18" s="47" t="str">
        <f aca="false">IF($A18="","",INDEX('Animal Register'!$C:$C,MATCH($A18,'Animal Register'!$A:$A,0)))</f>
        <v/>
      </c>
      <c r="C18" s="52" t="str">
        <f aca="false">IF($A18="","",INDEX('Animal Register'!$K:$K,MATCH($A18,'Animal Register'!$A:$A,0)))</f>
        <v/>
      </c>
      <c r="D18" s="53" t="str">
        <f aca="false">IF($A18="","",INDEX('Animal Register'!$I:$I,MATCH($A18,'Animal Register'!$A:$A,0)))</f>
        <v/>
      </c>
      <c r="E18" s="53" t="str">
        <f aca="false">IF($A18="","",INDEX('Animal Register'!$J:$J,MATCH($A18,'Animal Register'!$A:$A,0)))</f>
        <v/>
      </c>
      <c r="F18" s="53" t="str">
        <f aca="false">IF($A18="","",INDEX('Animal Register'!$S:$S,MATCH($A18,'Animal Register'!$A:$A,0)))</f>
        <v/>
      </c>
      <c r="G18" s="47" t="str">
        <f aca="false">IF($A18="","",INDEX('Animal Register'!$O:$O,MATCH($A18,'Animal Register'!$A:$A,0)))</f>
        <v/>
      </c>
      <c r="H18" s="52" t="str">
        <f aca="false">IF($A18="","",INDEX('Animal Register'!$N:$N,MATCH($A18,'Animal Register'!$A:$A,0)))</f>
        <v/>
      </c>
      <c r="I18" s="47" t="str">
        <f aca="false">IF($A18="","",INDEX('Animal Register'!$P:$P,MATCH($A18,'Animal Register'!$A:$A,0)))</f>
        <v/>
      </c>
      <c r="J18" s="52" t="str">
        <f aca="false">IF($A18="","",IFERROR(INDEX($R$5:$R$104,MATCH($A18,$Q$5:$Q$104,0)),"-"))</f>
        <v/>
      </c>
      <c r="K18" s="53" t="str">
        <f aca="false">IF($A18="","",IFERROR(INDEX($S$5:$S$104,MATCH($A18,$Q$5:$Q$104,0)),"-"))</f>
        <v/>
      </c>
      <c r="L18" s="53" t="str">
        <f aca="false">IF($A18="","",IFERROR(INDEX($T$5:$T$104,MATCH($A18,$Q$5:$Q$104,0)),"-"))</f>
        <v/>
      </c>
      <c r="M18" s="47" t="str">
        <f aca="false">IF($A18="","",IFERROR(INDEX($U$5:$U$104,MATCH($A18,$Q$5:$Q$104,0)),"-"))</f>
        <v/>
      </c>
      <c r="N18" s="53" t="str">
        <f aca="false">IF($A18="","",IF(ISNUMBER(L18),L18-E18,"-"))</f>
        <v/>
      </c>
      <c r="Q18" s="50"/>
      <c r="R18" s="51"/>
      <c r="S18" s="62"/>
      <c r="T18" s="50"/>
      <c r="U18" s="38"/>
    </row>
    <row r="19" customFormat="false" ht="15" hidden="false" customHeight="false" outlineLevel="0" collapsed="false">
      <c r="A19" s="47" t="str">
        <f aca="false">IFERROR(INDEX('Animal Register'!$A:$A,MATCH(15,'Animal Register'!$U:$U,0)),"")</f>
        <v/>
      </c>
      <c r="B19" s="47" t="str">
        <f aca="false">IF($A19="","",INDEX('Animal Register'!$C:$C,MATCH($A19,'Animal Register'!$A:$A,0)))</f>
        <v/>
      </c>
      <c r="C19" s="52" t="str">
        <f aca="false">IF($A19="","",INDEX('Animal Register'!$K:$K,MATCH($A19,'Animal Register'!$A:$A,0)))</f>
        <v/>
      </c>
      <c r="D19" s="53" t="str">
        <f aca="false">IF($A19="","",INDEX('Animal Register'!$I:$I,MATCH($A19,'Animal Register'!$A:$A,0)))</f>
        <v/>
      </c>
      <c r="E19" s="53" t="str">
        <f aca="false">IF($A19="","",INDEX('Animal Register'!$J:$J,MATCH($A19,'Animal Register'!$A:$A,0)))</f>
        <v/>
      </c>
      <c r="F19" s="53" t="str">
        <f aca="false">IF($A19="","",INDEX('Animal Register'!$S:$S,MATCH($A19,'Animal Register'!$A:$A,0)))</f>
        <v/>
      </c>
      <c r="G19" s="47" t="str">
        <f aca="false">IF($A19="","",INDEX('Animal Register'!$O:$O,MATCH($A19,'Animal Register'!$A:$A,0)))</f>
        <v/>
      </c>
      <c r="H19" s="52" t="str">
        <f aca="false">IF($A19="","",INDEX('Animal Register'!$N:$N,MATCH($A19,'Animal Register'!$A:$A,0)))</f>
        <v/>
      </c>
      <c r="I19" s="47" t="str">
        <f aca="false">IF($A19="","",INDEX('Animal Register'!$P:$P,MATCH($A19,'Animal Register'!$A:$A,0)))</f>
        <v/>
      </c>
      <c r="J19" s="52" t="str">
        <f aca="false">IF($A19="","",IFERROR(INDEX($R$5:$R$104,MATCH($A19,$Q$5:$Q$104,0)),"-"))</f>
        <v/>
      </c>
      <c r="K19" s="53" t="str">
        <f aca="false">IF($A19="","",IFERROR(INDEX($S$5:$S$104,MATCH($A19,$Q$5:$Q$104,0)),"-"))</f>
        <v/>
      </c>
      <c r="L19" s="53" t="str">
        <f aca="false">IF($A19="","",IFERROR(INDEX($T$5:$T$104,MATCH($A19,$Q$5:$Q$104,0)),"-"))</f>
        <v/>
      </c>
      <c r="M19" s="47" t="str">
        <f aca="false">IF($A19="","",IFERROR(INDEX($U$5:$U$104,MATCH($A19,$Q$5:$Q$104,0)),"-"))</f>
        <v/>
      </c>
      <c r="N19" s="53" t="str">
        <f aca="false">IF($A19="","",IF(ISNUMBER(L19),L19-E19,"-"))</f>
        <v/>
      </c>
      <c r="Q19" s="50"/>
      <c r="R19" s="51"/>
      <c r="S19" s="62"/>
      <c r="T19" s="50"/>
      <c r="U19" s="38"/>
    </row>
    <row r="20" customFormat="false" ht="15" hidden="false" customHeight="false" outlineLevel="0" collapsed="false">
      <c r="A20" s="47" t="str">
        <f aca="false">IFERROR(INDEX('Animal Register'!$A:$A,MATCH(16,'Animal Register'!$U:$U,0)),"")</f>
        <v/>
      </c>
      <c r="B20" s="47" t="str">
        <f aca="false">IF($A20="","",INDEX('Animal Register'!$C:$C,MATCH($A20,'Animal Register'!$A:$A,0)))</f>
        <v/>
      </c>
      <c r="C20" s="52" t="str">
        <f aca="false">IF($A20="","",INDEX('Animal Register'!$K:$K,MATCH($A20,'Animal Register'!$A:$A,0)))</f>
        <v/>
      </c>
      <c r="D20" s="53" t="str">
        <f aca="false">IF($A20="","",INDEX('Animal Register'!$I:$I,MATCH($A20,'Animal Register'!$A:$A,0)))</f>
        <v/>
      </c>
      <c r="E20" s="53" t="str">
        <f aca="false">IF($A20="","",INDEX('Animal Register'!$J:$J,MATCH($A20,'Animal Register'!$A:$A,0)))</f>
        <v/>
      </c>
      <c r="F20" s="53" t="str">
        <f aca="false">IF($A20="","",INDEX('Animal Register'!$S:$S,MATCH($A20,'Animal Register'!$A:$A,0)))</f>
        <v/>
      </c>
      <c r="G20" s="47" t="str">
        <f aca="false">IF($A20="","",INDEX('Animal Register'!$O:$O,MATCH($A20,'Animal Register'!$A:$A,0)))</f>
        <v/>
      </c>
      <c r="H20" s="52" t="str">
        <f aca="false">IF($A20="","",INDEX('Animal Register'!$N:$N,MATCH($A20,'Animal Register'!$A:$A,0)))</f>
        <v/>
      </c>
      <c r="I20" s="47" t="str">
        <f aca="false">IF($A20="","",INDEX('Animal Register'!$P:$P,MATCH($A20,'Animal Register'!$A:$A,0)))</f>
        <v/>
      </c>
      <c r="J20" s="52" t="str">
        <f aca="false">IF($A20="","",IFERROR(INDEX($R$5:$R$104,MATCH($A20,$Q$5:$Q$104,0)),"-"))</f>
        <v/>
      </c>
      <c r="K20" s="53" t="str">
        <f aca="false">IF($A20="","",IFERROR(INDEX($S$5:$S$104,MATCH($A20,$Q$5:$Q$104,0)),"-"))</f>
        <v/>
      </c>
      <c r="L20" s="53" t="str">
        <f aca="false">IF($A20="","",IFERROR(INDEX($T$5:$T$104,MATCH($A20,$Q$5:$Q$104,0)),"-"))</f>
        <v/>
      </c>
      <c r="M20" s="47" t="str">
        <f aca="false">IF($A20="","",IFERROR(INDEX($U$5:$U$104,MATCH($A20,$Q$5:$Q$104,0)),"-"))</f>
        <v/>
      </c>
      <c r="N20" s="53" t="str">
        <f aca="false">IF($A20="","",IF(ISNUMBER(L20),L20-E20,"-"))</f>
        <v/>
      </c>
      <c r="Q20" s="50"/>
      <c r="R20" s="51"/>
      <c r="S20" s="62"/>
      <c r="T20" s="50"/>
      <c r="U20" s="38"/>
    </row>
    <row r="21" customFormat="false" ht="15" hidden="false" customHeight="false" outlineLevel="0" collapsed="false">
      <c r="A21" s="47" t="str">
        <f aca="false">IFERROR(INDEX('Animal Register'!$A:$A,MATCH(17,'Animal Register'!$U:$U,0)),"")</f>
        <v/>
      </c>
      <c r="B21" s="47" t="str">
        <f aca="false">IF($A21="","",INDEX('Animal Register'!$C:$C,MATCH($A21,'Animal Register'!$A:$A,0)))</f>
        <v/>
      </c>
      <c r="C21" s="52" t="str">
        <f aca="false">IF($A21="","",INDEX('Animal Register'!$K:$K,MATCH($A21,'Animal Register'!$A:$A,0)))</f>
        <v/>
      </c>
      <c r="D21" s="53" t="str">
        <f aca="false">IF($A21="","",INDEX('Animal Register'!$I:$I,MATCH($A21,'Animal Register'!$A:$A,0)))</f>
        <v/>
      </c>
      <c r="E21" s="53" t="str">
        <f aca="false">IF($A21="","",INDEX('Animal Register'!$J:$J,MATCH($A21,'Animal Register'!$A:$A,0)))</f>
        <v/>
      </c>
      <c r="F21" s="53" t="str">
        <f aca="false">IF($A21="","",INDEX('Animal Register'!$S:$S,MATCH($A21,'Animal Register'!$A:$A,0)))</f>
        <v/>
      </c>
      <c r="G21" s="47" t="str">
        <f aca="false">IF($A21="","",INDEX('Animal Register'!$O:$O,MATCH($A21,'Animal Register'!$A:$A,0)))</f>
        <v/>
      </c>
      <c r="H21" s="52" t="str">
        <f aca="false">IF($A21="","",INDEX('Animal Register'!$N:$N,MATCH($A21,'Animal Register'!$A:$A,0)))</f>
        <v/>
      </c>
      <c r="I21" s="47" t="str">
        <f aca="false">IF($A21="","",INDEX('Animal Register'!$P:$P,MATCH($A21,'Animal Register'!$A:$A,0)))</f>
        <v/>
      </c>
      <c r="J21" s="52" t="str">
        <f aca="false">IF($A21="","",IFERROR(INDEX($R$5:$R$104,MATCH($A21,$Q$5:$Q$104,0)),"-"))</f>
        <v/>
      </c>
      <c r="K21" s="53" t="str">
        <f aca="false">IF($A21="","",IFERROR(INDEX($S$5:$S$104,MATCH($A21,$Q$5:$Q$104,0)),"-"))</f>
        <v/>
      </c>
      <c r="L21" s="53" t="str">
        <f aca="false">IF($A21="","",IFERROR(INDEX($T$5:$T$104,MATCH($A21,$Q$5:$Q$104,0)),"-"))</f>
        <v/>
      </c>
      <c r="M21" s="47" t="str">
        <f aca="false">IF($A21="","",IFERROR(INDEX($U$5:$U$104,MATCH($A21,$Q$5:$Q$104,0)),"-"))</f>
        <v/>
      </c>
      <c r="N21" s="53" t="str">
        <f aca="false">IF($A21="","",IF(ISNUMBER(L21),L21-E21,"-"))</f>
        <v/>
      </c>
      <c r="Q21" s="50"/>
      <c r="R21" s="51"/>
      <c r="S21" s="62"/>
      <c r="T21" s="50"/>
      <c r="U21" s="38"/>
    </row>
    <row r="22" customFormat="false" ht="15" hidden="false" customHeight="false" outlineLevel="0" collapsed="false">
      <c r="A22" s="47" t="str">
        <f aca="false">IFERROR(INDEX('Animal Register'!$A:$A,MATCH(18,'Animal Register'!$U:$U,0)),"")</f>
        <v/>
      </c>
      <c r="B22" s="47" t="str">
        <f aca="false">IF($A22="","",INDEX('Animal Register'!$C:$C,MATCH($A22,'Animal Register'!$A:$A,0)))</f>
        <v/>
      </c>
      <c r="C22" s="52" t="str">
        <f aca="false">IF($A22="","",INDEX('Animal Register'!$K:$K,MATCH($A22,'Animal Register'!$A:$A,0)))</f>
        <v/>
      </c>
      <c r="D22" s="53" t="str">
        <f aca="false">IF($A22="","",INDEX('Animal Register'!$I:$I,MATCH($A22,'Animal Register'!$A:$A,0)))</f>
        <v/>
      </c>
      <c r="E22" s="53" t="str">
        <f aca="false">IF($A22="","",INDEX('Animal Register'!$J:$J,MATCH($A22,'Animal Register'!$A:$A,0)))</f>
        <v/>
      </c>
      <c r="F22" s="53" t="str">
        <f aca="false">IF($A22="","",INDEX('Animal Register'!$S:$S,MATCH($A22,'Animal Register'!$A:$A,0)))</f>
        <v/>
      </c>
      <c r="G22" s="47" t="str">
        <f aca="false">IF($A22="","",INDEX('Animal Register'!$O:$O,MATCH($A22,'Animal Register'!$A:$A,0)))</f>
        <v/>
      </c>
      <c r="H22" s="52" t="str">
        <f aca="false">IF($A22="","",INDEX('Animal Register'!$N:$N,MATCH($A22,'Animal Register'!$A:$A,0)))</f>
        <v/>
      </c>
      <c r="I22" s="47" t="str">
        <f aca="false">IF($A22="","",INDEX('Animal Register'!$P:$P,MATCH($A22,'Animal Register'!$A:$A,0)))</f>
        <v/>
      </c>
      <c r="J22" s="52" t="str">
        <f aca="false">IF($A22="","",IFERROR(INDEX($R$5:$R$104,MATCH($A22,$Q$5:$Q$104,0)),"-"))</f>
        <v/>
      </c>
      <c r="K22" s="53" t="str">
        <f aca="false">IF($A22="","",IFERROR(INDEX($S$5:$S$104,MATCH($A22,$Q$5:$Q$104,0)),"-"))</f>
        <v/>
      </c>
      <c r="L22" s="53" t="str">
        <f aca="false">IF($A22="","",IFERROR(INDEX($T$5:$T$104,MATCH($A22,$Q$5:$Q$104,0)),"-"))</f>
        <v/>
      </c>
      <c r="M22" s="47" t="str">
        <f aca="false">IF($A22="","",IFERROR(INDEX($U$5:$U$104,MATCH($A22,$Q$5:$Q$104,0)),"-"))</f>
        <v/>
      </c>
      <c r="N22" s="53" t="str">
        <f aca="false">IF($A22="","",IF(ISNUMBER(L22),L22-E22,"-"))</f>
        <v/>
      </c>
      <c r="Q22" s="50"/>
      <c r="R22" s="51"/>
      <c r="S22" s="62"/>
      <c r="T22" s="50"/>
      <c r="U22" s="38"/>
    </row>
    <row r="23" customFormat="false" ht="15" hidden="false" customHeight="false" outlineLevel="0" collapsed="false">
      <c r="A23" s="47" t="str">
        <f aca="false">IFERROR(INDEX('Animal Register'!$A:$A,MATCH(19,'Animal Register'!$U:$U,0)),"")</f>
        <v/>
      </c>
      <c r="B23" s="47" t="str">
        <f aca="false">IF($A23="","",INDEX('Animal Register'!$C:$C,MATCH($A23,'Animal Register'!$A:$A,0)))</f>
        <v/>
      </c>
      <c r="C23" s="52" t="str">
        <f aca="false">IF($A23="","",INDEX('Animal Register'!$K:$K,MATCH($A23,'Animal Register'!$A:$A,0)))</f>
        <v/>
      </c>
      <c r="D23" s="53" t="str">
        <f aca="false">IF($A23="","",INDEX('Animal Register'!$I:$I,MATCH($A23,'Animal Register'!$A:$A,0)))</f>
        <v/>
      </c>
      <c r="E23" s="53" t="str">
        <f aca="false">IF($A23="","",INDEX('Animal Register'!$J:$J,MATCH($A23,'Animal Register'!$A:$A,0)))</f>
        <v/>
      </c>
      <c r="F23" s="53" t="str">
        <f aca="false">IF($A23="","",INDEX('Animal Register'!$S:$S,MATCH($A23,'Animal Register'!$A:$A,0)))</f>
        <v/>
      </c>
      <c r="G23" s="47" t="str">
        <f aca="false">IF($A23="","",INDEX('Animal Register'!$O:$O,MATCH($A23,'Animal Register'!$A:$A,0)))</f>
        <v/>
      </c>
      <c r="H23" s="52" t="str">
        <f aca="false">IF($A23="","",INDEX('Animal Register'!$N:$N,MATCH($A23,'Animal Register'!$A:$A,0)))</f>
        <v/>
      </c>
      <c r="I23" s="47" t="str">
        <f aca="false">IF($A23="","",INDEX('Animal Register'!$P:$P,MATCH($A23,'Animal Register'!$A:$A,0)))</f>
        <v/>
      </c>
      <c r="J23" s="52" t="str">
        <f aca="false">IF($A23="","",IFERROR(INDEX($R$5:$R$104,MATCH($A23,$Q$5:$Q$104,0)),"-"))</f>
        <v/>
      </c>
      <c r="K23" s="53" t="str">
        <f aca="false">IF($A23="","",IFERROR(INDEX($S$5:$S$104,MATCH($A23,$Q$5:$Q$104,0)),"-"))</f>
        <v/>
      </c>
      <c r="L23" s="53" t="str">
        <f aca="false">IF($A23="","",IFERROR(INDEX($T$5:$T$104,MATCH($A23,$Q$5:$Q$104,0)),"-"))</f>
        <v/>
      </c>
      <c r="M23" s="47" t="str">
        <f aca="false">IF($A23="","",IFERROR(INDEX($U$5:$U$104,MATCH($A23,$Q$5:$Q$104,0)),"-"))</f>
        <v/>
      </c>
      <c r="N23" s="53" t="str">
        <f aca="false">IF($A23="","",IF(ISNUMBER(L23),L23-E23,"-"))</f>
        <v/>
      </c>
      <c r="Q23" s="50"/>
      <c r="R23" s="51"/>
      <c r="S23" s="62"/>
      <c r="T23" s="50"/>
      <c r="U23" s="38"/>
    </row>
    <row r="24" customFormat="false" ht="15" hidden="false" customHeight="false" outlineLevel="0" collapsed="false">
      <c r="A24" s="47" t="str">
        <f aca="false">IFERROR(INDEX('Animal Register'!$A:$A,MATCH(20,'Animal Register'!$U:$U,0)),"")</f>
        <v/>
      </c>
      <c r="B24" s="47" t="str">
        <f aca="false">IF($A24="","",INDEX('Animal Register'!$C:$C,MATCH($A24,'Animal Register'!$A:$A,0)))</f>
        <v/>
      </c>
      <c r="C24" s="52" t="str">
        <f aca="false">IF($A24="","",INDEX('Animal Register'!$K:$K,MATCH($A24,'Animal Register'!$A:$A,0)))</f>
        <v/>
      </c>
      <c r="D24" s="53" t="str">
        <f aca="false">IF($A24="","",INDEX('Animal Register'!$I:$I,MATCH($A24,'Animal Register'!$A:$A,0)))</f>
        <v/>
      </c>
      <c r="E24" s="53" t="str">
        <f aca="false">IF($A24="","",INDEX('Animal Register'!$J:$J,MATCH($A24,'Animal Register'!$A:$A,0)))</f>
        <v/>
      </c>
      <c r="F24" s="53" t="str">
        <f aca="false">IF($A24="","",INDEX('Animal Register'!$S:$S,MATCH($A24,'Animal Register'!$A:$A,0)))</f>
        <v/>
      </c>
      <c r="G24" s="47" t="str">
        <f aca="false">IF($A24="","",INDEX('Animal Register'!$O:$O,MATCH($A24,'Animal Register'!$A:$A,0)))</f>
        <v/>
      </c>
      <c r="H24" s="52" t="str">
        <f aca="false">IF($A24="","",INDEX('Animal Register'!$N:$N,MATCH($A24,'Animal Register'!$A:$A,0)))</f>
        <v/>
      </c>
      <c r="I24" s="47" t="str">
        <f aca="false">IF($A24="","",INDEX('Animal Register'!$P:$P,MATCH($A24,'Animal Register'!$A:$A,0)))</f>
        <v/>
      </c>
      <c r="J24" s="52" t="str">
        <f aca="false">IF($A24="","",IFERROR(INDEX($R$5:$R$104,MATCH($A24,$Q$5:$Q$104,0)),"-"))</f>
        <v/>
      </c>
      <c r="K24" s="53" t="str">
        <f aca="false">IF($A24="","",IFERROR(INDEX($S$5:$S$104,MATCH($A24,$Q$5:$Q$104,0)),"-"))</f>
        <v/>
      </c>
      <c r="L24" s="53" t="str">
        <f aca="false">IF($A24="","",IFERROR(INDEX($T$5:$T$104,MATCH($A24,$Q$5:$Q$104,0)),"-"))</f>
        <v/>
      </c>
      <c r="M24" s="47" t="str">
        <f aca="false">IF($A24="","",IFERROR(INDEX($U$5:$U$104,MATCH($A24,$Q$5:$Q$104,0)),"-"))</f>
        <v/>
      </c>
      <c r="N24" s="53" t="str">
        <f aca="false">IF($A24="","",IF(ISNUMBER(L24),L24-E24,"-"))</f>
        <v/>
      </c>
      <c r="Q24" s="50"/>
      <c r="R24" s="51"/>
      <c r="S24" s="62"/>
      <c r="T24" s="50"/>
      <c r="U24" s="38"/>
    </row>
    <row r="25" customFormat="false" ht="15" hidden="false" customHeight="false" outlineLevel="0" collapsed="false">
      <c r="A25" s="47" t="str">
        <f aca="false">IFERROR(INDEX('Animal Register'!$A:$A,MATCH(21,'Animal Register'!$U:$U,0)),"")</f>
        <v/>
      </c>
      <c r="B25" s="47" t="str">
        <f aca="false">IF($A25="","",INDEX('Animal Register'!$C:$C,MATCH($A25,'Animal Register'!$A:$A,0)))</f>
        <v/>
      </c>
      <c r="C25" s="52" t="str">
        <f aca="false">IF($A25="","",INDEX('Animal Register'!$K:$K,MATCH($A25,'Animal Register'!$A:$A,0)))</f>
        <v/>
      </c>
      <c r="D25" s="53" t="str">
        <f aca="false">IF($A25="","",INDEX('Animal Register'!$I:$I,MATCH($A25,'Animal Register'!$A:$A,0)))</f>
        <v/>
      </c>
      <c r="E25" s="53" t="str">
        <f aca="false">IF($A25="","",INDEX('Animal Register'!$J:$J,MATCH($A25,'Animal Register'!$A:$A,0)))</f>
        <v/>
      </c>
      <c r="F25" s="53" t="str">
        <f aca="false">IF($A25="","",INDEX('Animal Register'!$S:$S,MATCH($A25,'Animal Register'!$A:$A,0)))</f>
        <v/>
      </c>
      <c r="G25" s="47" t="str">
        <f aca="false">IF($A25="","",INDEX('Animal Register'!$O:$O,MATCH($A25,'Animal Register'!$A:$A,0)))</f>
        <v/>
      </c>
      <c r="H25" s="52" t="str">
        <f aca="false">IF($A25="","",INDEX('Animal Register'!$N:$N,MATCH($A25,'Animal Register'!$A:$A,0)))</f>
        <v/>
      </c>
      <c r="I25" s="47" t="str">
        <f aca="false">IF($A25="","",INDEX('Animal Register'!$P:$P,MATCH($A25,'Animal Register'!$A:$A,0)))</f>
        <v/>
      </c>
      <c r="J25" s="52" t="str">
        <f aca="false">IF($A25="","",IFERROR(INDEX($R$5:$R$104,MATCH($A25,$Q$5:$Q$104,0)),"-"))</f>
        <v/>
      </c>
      <c r="K25" s="53" t="str">
        <f aca="false">IF($A25="","",IFERROR(INDEX($S$5:$S$104,MATCH($A25,$Q$5:$Q$104,0)),"-"))</f>
        <v/>
      </c>
      <c r="L25" s="53" t="str">
        <f aca="false">IF($A25="","",IFERROR(INDEX($T$5:$T$104,MATCH($A25,$Q$5:$Q$104,0)),"-"))</f>
        <v/>
      </c>
      <c r="M25" s="47" t="str">
        <f aca="false">IF($A25="","",IFERROR(INDEX($U$5:$U$104,MATCH($A25,$Q$5:$Q$104,0)),"-"))</f>
        <v/>
      </c>
      <c r="N25" s="53" t="str">
        <f aca="false">IF($A25="","",IF(ISNUMBER(L25),L25-E25,"-"))</f>
        <v/>
      </c>
      <c r="Q25" s="50"/>
      <c r="R25" s="51"/>
      <c r="S25" s="62"/>
      <c r="T25" s="50"/>
      <c r="U25" s="38"/>
    </row>
    <row r="26" customFormat="false" ht="15" hidden="false" customHeight="false" outlineLevel="0" collapsed="false">
      <c r="A26" s="47" t="str">
        <f aca="false">IFERROR(INDEX('Animal Register'!$A:$A,MATCH(22,'Animal Register'!$U:$U,0)),"")</f>
        <v/>
      </c>
      <c r="B26" s="47" t="str">
        <f aca="false">IF($A26="","",INDEX('Animal Register'!$C:$C,MATCH($A26,'Animal Register'!$A:$A,0)))</f>
        <v/>
      </c>
      <c r="C26" s="52" t="str">
        <f aca="false">IF($A26="","",INDEX('Animal Register'!$K:$K,MATCH($A26,'Animal Register'!$A:$A,0)))</f>
        <v/>
      </c>
      <c r="D26" s="53" t="str">
        <f aca="false">IF($A26="","",INDEX('Animal Register'!$I:$I,MATCH($A26,'Animal Register'!$A:$A,0)))</f>
        <v/>
      </c>
      <c r="E26" s="53" t="str">
        <f aca="false">IF($A26="","",INDEX('Animal Register'!$J:$J,MATCH($A26,'Animal Register'!$A:$A,0)))</f>
        <v/>
      </c>
      <c r="F26" s="53" t="str">
        <f aca="false">IF($A26="","",INDEX('Animal Register'!$S:$S,MATCH($A26,'Animal Register'!$A:$A,0)))</f>
        <v/>
      </c>
      <c r="G26" s="47" t="str">
        <f aca="false">IF($A26="","",INDEX('Animal Register'!$O:$O,MATCH($A26,'Animal Register'!$A:$A,0)))</f>
        <v/>
      </c>
      <c r="H26" s="52" t="str">
        <f aca="false">IF($A26="","",INDEX('Animal Register'!$N:$N,MATCH($A26,'Animal Register'!$A:$A,0)))</f>
        <v/>
      </c>
      <c r="I26" s="47" t="str">
        <f aca="false">IF($A26="","",INDEX('Animal Register'!$P:$P,MATCH($A26,'Animal Register'!$A:$A,0)))</f>
        <v/>
      </c>
      <c r="J26" s="52" t="str">
        <f aca="false">IF($A26="","",IFERROR(INDEX($R$5:$R$104,MATCH($A26,$Q$5:$Q$104,0)),"-"))</f>
        <v/>
      </c>
      <c r="K26" s="53" t="str">
        <f aca="false">IF($A26="","",IFERROR(INDEX($S$5:$S$104,MATCH($A26,$Q$5:$Q$104,0)),"-"))</f>
        <v/>
      </c>
      <c r="L26" s="53" t="str">
        <f aca="false">IF($A26="","",IFERROR(INDEX($T$5:$T$104,MATCH($A26,$Q$5:$Q$104,0)),"-"))</f>
        <v/>
      </c>
      <c r="M26" s="47" t="str">
        <f aca="false">IF($A26="","",IFERROR(INDEX($U$5:$U$104,MATCH($A26,$Q$5:$Q$104,0)),"-"))</f>
        <v/>
      </c>
      <c r="N26" s="53" t="str">
        <f aca="false">IF($A26="","",IF(ISNUMBER(L26),L26-E26,"-"))</f>
        <v/>
      </c>
      <c r="Q26" s="50"/>
      <c r="R26" s="51"/>
      <c r="S26" s="62"/>
      <c r="T26" s="50"/>
      <c r="U26" s="38"/>
    </row>
    <row r="27" customFormat="false" ht="15" hidden="false" customHeight="false" outlineLevel="0" collapsed="false">
      <c r="A27" s="47" t="str">
        <f aca="false">IFERROR(INDEX('Animal Register'!$A:$A,MATCH(23,'Animal Register'!$U:$U,0)),"")</f>
        <v/>
      </c>
      <c r="B27" s="47" t="str">
        <f aca="false">IF($A27="","",INDEX('Animal Register'!$C:$C,MATCH($A27,'Animal Register'!$A:$A,0)))</f>
        <v/>
      </c>
      <c r="C27" s="52" t="str">
        <f aca="false">IF($A27="","",INDEX('Animal Register'!$K:$K,MATCH($A27,'Animal Register'!$A:$A,0)))</f>
        <v/>
      </c>
      <c r="D27" s="53" t="str">
        <f aca="false">IF($A27="","",INDEX('Animal Register'!$I:$I,MATCH($A27,'Animal Register'!$A:$A,0)))</f>
        <v/>
      </c>
      <c r="E27" s="53" t="str">
        <f aca="false">IF($A27="","",INDEX('Animal Register'!$J:$J,MATCH($A27,'Animal Register'!$A:$A,0)))</f>
        <v/>
      </c>
      <c r="F27" s="53" t="str">
        <f aca="false">IF($A27="","",INDEX('Animal Register'!$S:$S,MATCH($A27,'Animal Register'!$A:$A,0)))</f>
        <v/>
      </c>
      <c r="G27" s="47" t="str">
        <f aca="false">IF($A27="","",INDEX('Animal Register'!$O:$O,MATCH($A27,'Animal Register'!$A:$A,0)))</f>
        <v/>
      </c>
      <c r="H27" s="52" t="str">
        <f aca="false">IF($A27="","",INDEX('Animal Register'!$N:$N,MATCH($A27,'Animal Register'!$A:$A,0)))</f>
        <v/>
      </c>
      <c r="I27" s="47" t="str">
        <f aca="false">IF($A27="","",INDEX('Animal Register'!$P:$P,MATCH($A27,'Animal Register'!$A:$A,0)))</f>
        <v/>
      </c>
      <c r="J27" s="52" t="str">
        <f aca="false">IF($A27="","",IFERROR(INDEX($R$5:$R$104,MATCH($A27,$Q$5:$Q$104,0)),"-"))</f>
        <v/>
      </c>
      <c r="K27" s="53" t="str">
        <f aca="false">IF($A27="","",IFERROR(INDEX($S$5:$S$104,MATCH($A27,$Q$5:$Q$104,0)),"-"))</f>
        <v/>
      </c>
      <c r="L27" s="53" t="str">
        <f aca="false">IF($A27="","",IFERROR(INDEX($T$5:$T$104,MATCH($A27,$Q$5:$Q$104,0)),"-"))</f>
        <v/>
      </c>
      <c r="M27" s="47" t="str">
        <f aca="false">IF($A27="","",IFERROR(INDEX($U$5:$U$104,MATCH($A27,$Q$5:$Q$104,0)),"-"))</f>
        <v/>
      </c>
      <c r="N27" s="53" t="str">
        <f aca="false">IF($A27="","",IF(ISNUMBER(L27),L27-E27,"-"))</f>
        <v/>
      </c>
      <c r="Q27" s="50"/>
      <c r="R27" s="51"/>
      <c r="S27" s="62"/>
      <c r="T27" s="50"/>
      <c r="U27" s="38"/>
    </row>
    <row r="28" customFormat="false" ht="15" hidden="false" customHeight="false" outlineLevel="0" collapsed="false">
      <c r="A28" s="47" t="str">
        <f aca="false">IFERROR(INDEX('Animal Register'!$A:$A,MATCH(24,'Animal Register'!$U:$U,0)),"")</f>
        <v/>
      </c>
      <c r="B28" s="47" t="str">
        <f aca="false">IF($A28="","",INDEX('Animal Register'!$C:$C,MATCH($A28,'Animal Register'!$A:$A,0)))</f>
        <v/>
      </c>
      <c r="C28" s="52" t="str">
        <f aca="false">IF($A28="","",INDEX('Animal Register'!$K:$K,MATCH($A28,'Animal Register'!$A:$A,0)))</f>
        <v/>
      </c>
      <c r="D28" s="53" t="str">
        <f aca="false">IF($A28="","",INDEX('Animal Register'!$I:$I,MATCH($A28,'Animal Register'!$A:$A,0)))</f>
        <v/>
      </c>
      <c r="E28" s="53" t="str">
        <f aca="false">IF($A28="","",INDEX('Animal Register'!$J:$J,MATCH($A28,'Animal Register'!$A:$A,0)))</f>
        <v/>
      </c>
      <c r="F28" s="53" t="str">
        <f aca="false">IF($A28="","",INDEX('Animal Register'!$S:$S,MATCH($A28,'Animal Register'!$A:$A,0)))</f>
        <v/>
      </c>
      <c r="G28" s="47" t="str">
        <f aca="false">IF($A28="","",INDEX('Animal Register'!$O:$O,MATCH($A28,'Animal Register'!$A:$A,0)))</f>
        <v/>
      </c>
      <c r="H28" s="52" t="str">
        <f aca="false">IF($A28="","",INDEX('Animal Register'!$N:$N,MATCH($A28,'Animal Register'!$A:$A,0)))</f>
        <v/>
      </c>
      <c r="I28" s="47" t="str">
        <f aca="false">IF($A28="","",INDEX('Animal Register'!$P:$P,MATCH($A28,'Animal Register'!$A:$A,0)))</f>
        <v/>
      </c>
      <c r="J28" s="52" t="str">
        <f aca="false">IF($A28="","",IFERROR(INDEX($R$5:$R$104,MATCH($A28,$Q$5:$Q$104,0)),"-"))</f>
        <v/>
      </c>
      <c r="K28" s="53" t="str">
        <f aca="false">IF($A28="","",IFERROR(INDEX($S$5:$S$104,MATCH($A28,$Q$5:$Q$104,0)),"-"))</f>
        <v/>
      </c>
      <c r="L28" s="53" t="str">
        <f aca="false">IF($A28="","",IFERROR(INDEX($T$5:$T$104,MATCH($A28,$Q$5:$Q$104,0)),"-"))</f>
        <v/>
      </c>
      <c r="M28" s="47" t="str">
        <f aca="false">IF($A28="","",IFERROR(INDEX($U$5:$U$104,MATCH($A28,$Q$5:$Q$104,0)),"-"))</f>
        <v/>
      </c>
      <c r="N28" s="53" t="str">
        <f aca="false">IF($A28="","",IF(ISNUMBER(L28),L28-E28,"-"))</f>
        <v/>
      </c>
      <c r="Q28" s="50"/>
      <c r="R28" s="51"/>
      <c r="S28" s="62"/>
      <c r="T28" s="50"/>
      <c r="U28" s="38"/>
    </row>
    <row r="29" customFormat="false" ht="15" hidden="false" customHeight="false" outlineLevel="0" collapsed="false">
      <c r="A29" s="47" t="str">
        <f aca="false">IFERROR(INDEX('Animal Register'!$A:$A,MATCH(25,'Animal Register'!$U:$U,0)),"")</f>
        <v/>
      </c>
      <c r="B29" s="47" t="str">
        <f aca="false">IF($A29="","",INDEX('Animal Register'!$C:$C,MATCH($A29,'Animal Register'!$A:$A,0)))</f>
        <v/>
      </c>
      <c r="C29" s="52" t="str">
        <f aca="false">IF($A29="","",INDEX('Animal Register'!$K:$K,MATCH($A29,'Animal Register'!$A:$A,0)))</f>
        <v/>
      </c>
      <c r="D29" s="53" t="str">
        <f aca="false">IF($A29="","",INDEX('Animal Register'!$I:$I,MATCH($A29,'Animal Register'!$A:$A,0)))</f>
        <v/>
      </c>
      <c r="E29" s="53" t="str">
        <f aca="false">IF($A29="","",INDEX('Animal Register'!$J:$J,MATCH($A29,'Animal Register'!$A:$A,0)))</f>
        <v/>
      </c>
      <c r="F29" s="53" t="str">
        <f aca="false">IF($A29="","",INDEX('Animal Register'!$S:$S,MATCH($A29,'Animal Register'!$A:$A,0)))</f>
        <v/>
      </c>
      <c r="G29" s="47" t="str">
        <f aca="false">IF($A29="","",INDEX('Animal Register'!$O:$O,MATCH($A29,'Animal Register'!$A:$A,0)))</f>
        <v/>
      </c>
      <c r="H29" s="52" t="str">
        <f aca="false">IF($A29="","",INDEX('Animal Register'!$N:$N,MATCH($A29,'Animal Register'!$A:$A,0)))</f>
        <v/>
      </c>
      <c r="I29" s="47" t="str">
        <f aca="false">IF($A29="","",INDEX('Animal Register'!$P:$P,MATCH($A29,'Animal Register'!$A:$A,0)))</f>
        <v/>
      </c>
      <c r="J29" s="52" t="str">
        <f aca="false">IF($A29="","",IFERROR(INDEX($R$5:$R$104,MATCH($A29,$Q$5:$Q$104,0)),"-"))</f>
        <v/>
      </c>
      <c r="K29" s="53" t="str">
        <f aca="false">IF($A29="","",IFERROR(INDEX($S$5:$S$104,MATCH($A29,$Q$5:$Q$104,0)),"-"))</f>
        <v/>
      </c>
      <c r="L29" s="53" t="str">
        <f aca="false">IF($A29="","",IFERROR(INDEX($T$5:$T$104,MATCH($A29,$Q$5:$Q$104,0)),"-"))</f>
        <v/>
      </c>
      <c r="M29" s="47" t="str">
        <f aca="false">IF($A29="","",IFERROR(INDEX($U$5:$U$104,MATCH($A29,$Q$5:$Q$104,0)),"-"))</f>
        <v/>
      </c>
      <c r="N29" s="53" t="str">
        <f aca="false">IF($A29="","",IF(ISNUMBER(L29),L29-E29,"-"))</f>
        <v/>
      </c>
      <c r="Q29" s="50"/>
      <c r="R29" s="51"/>
      <c r="S29" s="62"/>
      <c r="T29" s="50"/>
      <c r="U29" s="38"/>
    </row>
    <row r="30" customFormat="false" ht="15" hidden="false" customHeight="false" outlineLevel="0" collapsed="false">
      <c r="A30" s="47" t="str">
        <f aca="false">IFERROR(INDEX('Animal Register'!$A:$A,MATCH(26,'Animal Register'!$U:$U,0)),"")</f>
        <v/>
      </c>
      <c r="B30" s="47" t="str">
        <f aca="false">IF($A30="","",INDEX('Animal Register'!$C:$C,MATCH($A30,'Animal Register'!$A:$A,0)))</f>
        <v/>
      </c>
      <c r="C30" s="52" t="str">
        <f aca="false">IF($A30="","",INDEX('Animal Register'!$K:$K,MATCH($A30,'Animal Register'!$A:$A,0)))</f>
        <v/>
      </c>
      <c r="D30" s="53" t="str">
        <f aca="false">IF($A30="","",INDEX('Animal Register'!$I:$I,MATCH($A30,'Animal Register'!$A:$A,0)))</f>
        <v/>
      </c>
      <c r="E30" s="53" t="str">
        <f aca="false">IF($A30="","",INDEX('Animal Register'!$J:$J,MATCH($A30,'Animal Register'!$A:$A,0)))</f>
        <v/>
      </c>
      <c r="F30" s="53" t="str">
        <f aca="false">IF($A30="","",INDEX('Animal Register'!$S:$S,MATCH($A30,'Animal Register'!$A:$A,0)))</f>
        <v/>
      </c>
      <c r="G30" s="47" t="str">
        <f aca="false">IF($A30="","",INDEX('Animal Register'!$O:$O,MATCH($A30,'Animal Register'!$A:$A,0)))</f>
        <v/>
      </c>
      <c r="H30" s="52" t="str">
        <f aca="false">IF($A30="","",INDEX('Animal Register'!$N:$N,MATCH($A30,'Animal Register'!$A:$A,0)))</f>
        <v/>
      </c>
      <c r="I30" s="47" t="str">
        <f aca="false">IF($A30="","",INDEX('Animal Register'!$P:$P,MATCH($A30,'Animal Register'!$A:$A,0)))</f>
        <v/>
      </c>
      <c r="J30" s="52" t="str">
        <f aca="false">IF($A30="","",IFERROR(INDEX($R$5:$R$104,MATCH($A30,$Q$5:$Q$104,0)),"-"))</f>
        <v/>
      </c>
      <c r="K30" s="53" t="str">
        <f aca="false">IF($A30="","",IFERROR(INDEX($S$5:$S$104,MATCH($A30,$Q$5:$Q$104,0)),"-"))</f>
        <v/>
      </c>
      <c r="L30" s="53" t="str">
        <f aca="false">IF($A30="","",IFERROR(INDEX($T$5:$T$104,MATCH($A30,$Q$5:$Q$104,0)),"-"))</f>
        <v/>
      </c>
      <c r="M30" s="47" t="str">
        <f aca="false">IF($A30="","",IFERROR(INDEX($U$5:$U$104,MATCH($A30,$Q$5:$Q$104,0)),"-"))</f>
        <v/>
      </c>
      <c r="N30" s="53" t="str">
        <f aca="false">IF($A30="","",IF(ISNUMBER(L30),L30-E30,"-"))</f>
        <v/>
      </c>
      <c r="Q30" s="50"/>
      <c r="R30" s="51"/>
      <c r="S30" s="62"/>
      <c r="T30" s="50"/>
      <c r="U30" s="38"/>
    </row>
    <row r="31" customFormat="false" ht="15" hidden="false" customHeight="false" outlineLevel="0" collapsed="false">
      <c r="A31" s="47" t="str">
        <f aca="false">IFERROR(INDEX('Animal Register'!$A:$A,MATCH(27,'Animal Register'!$U:$U,0)),"")</f>
        <v/>
      </c>
      <c r="B31" s="47" t="str">
        <f aca="false">IF($A31="","",INDEX('Animal Register'!$C:$C,MATCH($A31,'Animal Register'!$A:$A,0)))</f>
        <v/>
      </c>
      <c r="C31" s="52" t="str">
        <f aca="false">IF($A31="","",INDEX('Animal Register'!$K:$K,MATCH($A31,'Animal Register'!$A:$A,0)))</f>
        <v/>
      </c>
      <c r="D31" s="53" t="str">
        <f aca="false">IF($A31="","",INDEX('Animal Register'!$I:$I,MATCH($A31,'Animal Register'!$A:$A,0)))</f>
        <v/>
      </c>
      <c r="E31" s="53" t="str">
        <f aca="false">IF($A31="","",INDEX('Animal Register'!$J:$J,MATCH($A31,'Animal Register'!$A:$A,0)))</f>
        <v/>
      </c>
      <c r="F31" s="53" t="str">
        <f aca="false">IF($A31="","",INDEX('Animal Register'!$S:$S,MATCH($A31,'Animal Register'!$A:$A,0)))</f>
        <v/>
      </c>
      <c r="G31" s="47" t="str">
        <f aca="false">IF($A31="","",INDEX('Animal Register'!$O:$O,MATCH($A31,'Animal Register'!$A:$A,0)))</f>
        <v/>
      </c>
      <c r="H31" s="52" t="str">
        <f aca="false">IF($A31="","",INDEX('Animal Register'!$N:$N,MATCH($A31,'Animal Register'!$A:$A,0)))</f>
        <v/>
      </c>
      <c r="I31" s="47" t="str">
        <f aca="false">IF($A31="","",INDEX('Animal Register'!$P:$P,MATCH($A31,'Animal Register'!$A:$A,0)))</f>
        <v/>
      </c>
      <c r="J31" s="52" t="str">
        <f aca="false">IF($A31="","",IFERROR(INDEX($R$5:$R$104,MATCH($A31,$Q$5:$Q$104,0)),"-"))</f>
        <v/>
      </c>
      <c r="K31" s="53" t="str">
        <f aca="false">IF($A31="","",IFERROR(INDEX($S$5:$S$104,MATCH($A31,$Q$5:$Q$104,0)),"-"))</f>
        <v/>
      </c>
      <c r="L31" s="53" t="str">
        <f aca="false">IF($A31="","",IFERROR(INDEX($T$5:$T$104,MATCH($A31,$Q$5:$Q$104,0)),"-"))</f>
        <v/>
      </c>
      <c r="M31" s="47" t="str">
        <f aca="false">IF($A31="","",IFERROR(INDEX($U$5:$U$104,MATCH($A31,$Q$5:$Q$104,0)),"-"))</f>
        <v/>
      </c>
      <c r="N31" s="53" t="str">
        <f aca="false">IF($A31="","",IF(ISNUMBER(L31),L31-E31,"-"))</f>
        <v/>
      </c>
      <c r="Q31" s="50"/>
      <c r="R31" s="51"/>
      <c r="S31" s="62"/>
      <c r="T31" s="50"/>
      <c r="U31" s="38"/>
    </row>
    <row r="32" customFormat="false" ht="15" hidden="false" customHeight="false" outlineLevel="0" collapsed="false">
      <c r="A32" s="47" t="str">
        <f aca="false">IFERROR(INDEX('Animal Register'!$A:$A,MATCH(28,'Animal Register'!$U:$U,0)),"")</f>
        <v/>
      </c>
      <c r="B32" s="47" t="str">
        <f aca="false">IF($A32="","",INDEX('Animal Register'!$C:$C,MATCH($A32,'Animal Register'!$A:$A,0)))</f>
        <v/>
      </c>
      <c r="C32" s="52" t="str">
        <f aca="false">IF($A32="","",INDEX('Animal Register'!$K:$K,MATCH($A32,'Animal Register'!$A:$A,0)))</f>
        <v/>
      </c>
      <c r="D32" s="53" t="str">
        <f aca="false">IF($A32="","",INDEX('Animal Register'!$I:$I,MATCH($A32,'Animal Register'!$A:$A,0)))</f>
        <v/>
      </c>
      <c r="E32" s="53" t="str">
        <f aca="false">IF($A32="","",INDEX('Animal Register'!$J:$J,MATCH($A32,'Animal Register'!$A:$A,0)))</f>
        <v/>
      </c>
      <c r="F32" s="53" t="str">
        <f aca="false">IF($A32="","",INDEX('Animal Register'!$S:$S,MATCH($A32,'Animal Register'!$A:$A,0)))</f>
        <v/>
      </c>
      <c r="G32" s="47" t="str">
        <f aca="false">IF($A32="","",INDEX('Animal Register'!$O:$O,MATCH($A32,'Animal Register'!$A:$A,0)))</f>
        <v/>
      </c>
      <c r="H32" s="52" t="str">
        <f aca="false">IF($A32="","",INDEX('Animal Register'!$N:$N,MATCH($A32,'Animal Register'!$A:$A,0)))</f>
        <v/>
      </c>
      <c r="I32" s="47" t="str">
        <f aca="false">IF($A32="","",INDEX('Animal Register'!$P:$P,MATCH($A32,'Animal Register'!$A:$A,0)))</f>
        <v/>
      </c>
      <c r="J32" s="52" t="str">
        <f aca="false">IF($A32="","",IFERROR(INDEX($R$5:$R$104,MATCH($A32,$Q$5:$Q$104,0)),"-"))</f>
        <v/>
      </c>
      <c r="K32" s="53" t="str">
        <f aca="false">IF($A32="","",IFERROR(INDEX($S$5:$S$104,MATCH($A32,$Q$5:$Q$104,0)),"-"))</f>
        <v/>
      </c>
      <c r="L32" s="53" t="str">
        <f aca="false">IF($A32="","",IFERROR(INDEX($T$5:$T$104,MATCH($A32,$Q$5:$Q$104,0)),"-"))</f>
        <v/>
      </c>
      <c r="M32" s="47" t="str">
        <f aca="false">IF($A32="","",IFERROR(INDEX($U$5:$U$104,MATCH($A32,$Q$5:$Q$104,0)),"-"))</f>
        <v/>
      </c>
      <c r="N32" s="53" t="str">
        <f aca="false">IF($A32="","",IF(ISNUMBER(L32),L32-E32,"-"))</f>
        <v/>
      </c>
      <c r="Q32" s="50"/>
      <c r="R32" s="51"/>
      <c r="S32" s="62"/>
      <c r="T32" s="50"/>
      <c r="U32" s="38"/>
    </row>
    <row r="33" customFormat="false" ht="15" hidden="false" customHeight="false" outlineLevel="0" collapsed="false">
      <c r="A33" s="47" t="str">
        <f aca="false">IFERROR(INDEX('Animal Register'!$A:$A,MATCH(29,'Animal Register'!$U:$U,0)),"")</f>
        <v/>
      </c>
      <c r="B33" s="47" t="str">
        <f aca="false">IF($A33="","",INDEX('Animal Register'!$C:$C,MATCH($A33,'Animal Register'!$A:$A,0)))</f>
        <v/>
      </c>
      <c r="C33" s="52" t="str">
        <f aca="false">IF($A33="","",INDEX('Animal Register'!$K:$K,MATCH($A33,'Animal Register'!$A:$A,0)))</f>
        <v/>
      </c>
      <c r="D33" s="53" t="str">
        <f aca="false">IF($A33="","",INDEX('Animal Register'!$I:$I,MATCH($A33,'Animal Register'!$A:$A,0)))</f>
        <v/>
      </c>
      <c r="E33" s="53" t="str">
        <f aca="false">IF($A33="","",INDEX('Animal Register'!$J:$J,MATCH($A33,'Animal Register'!$A:$A,0)))</f>
        <v/>
      </c>
      <c r="F33" s="53" t="str">
        <f aca="false">IF($A33="","",INDEX('Animal Register'!$S:$S,MATCH($A33,'Animal Register'!$A:$A,0)))</f>
        <v/>
      </c>
      <c r="G33" s="47" t="str">
        <f aca="false">IF($A33="","",INDEX('Animal Register'!$O:$O,MATCH($A33,'Animal Register'!$A:$A,0)))</f>
        <v/>
      </c>
      <c r="H33" s="52" t="str">
        <f aca="false">IF($A33="","",INDEX('Animal Register'!$N:$N,MATCH($A33,'Animal Register'!$A:$A,0)))</f>
        <v/>
      </c>
      <c r="I33" s="47" t="str">
        <f aca="false">IF($A33="","",INDEX('Animal Register'!$P:$P,MATCH($A33,'Animal Register'!$A:$A,0)))</f>
        <v/>
      </c>
      <c r="J33" s="52" t="str">
        <f aca="false">IF($A33="","",IFERROR(INDEX($R$5:$R$104,MATCH($A33,$Q$5:$Q$104,0)),"-"))</f>
        <v/>
      </c>
      <c r="K33" s="53" t="str">
        <f aca="false">IF($A33="","",IFERROR(INDEX($S$5:$S$104,MATCH($A33,$Q$5:$Q$104,0)),"-"))</f>
        <v/>
      </c>
      <c r="L33" s="53" t="str">
        <f aca="false">IF($A33="","",IFERROR(INDEX($T$5:$T$104,MATCH($A33,$Q$5:$Q$104,0)),"-"))</f>
        <v/>
      </c>
      <c r="M33" s="47" t="str">
        <f aca="false">IF($A33="","",IFERROR(INDEX($U$5:$U$104,MATCH($A33,$Q$5:$Q$104,0)),"-"))</f>
        <v/>
      </c>
      <c r="N33" s="53" t="str">
        <f aca="false">IF($A33="","",IF(ISNUMBER(L33),L33-E33,"-"))</f>
        <v/>
      </c>
      <c r="Q33" s="50"/>
      <c r="R33" s="51"/>
      <c r="S33" s="62"/>
      <c r="T33" s="50"/>
      <c r="U33" s="38"/>
    </row>
    <row r="34" customFormat="false" ht="15" hidden="false" customHeight="false" outlineLevel="0" collapsed="false">
      <c r="A34" s="47" t="str">
        <f aca="false">IFERROR(INDEX('Animal Register'!$A:$A,MATCH(30,'Animal Register'!$U:$U,0)),"")</f>
        <v/>
      </c>
      <c r="B34" s="47" t="str">
        <f aca="false">IF($A34="","",INDEX('Animal Register'!$C:$C,MATCH($A34,'Animal Register'!$A:$A,0)))</f>
        <v/>
      </c>
      <c r="C34" s="52" t="str">
        <f aca="false">IF($A34="","",INDEX('Animal Register'!$K:$K,MATCH($A34,'Animal Register'!$A:$A,0)))</f>
        <v/>
      </c>
      <c r="D34" s="53" t="str">
        <f aca="false">IF($A34="","",INDEX('Animal Register'!$I:$I,MATCH($A34,'Animal Register'!$A:$A,0)))</f>
        <v/>
      </c>
      <c r="E34" s="53" t="str">
        <f aca="false">IF($A34="","",INDEX('Animal Register'!$J:$J,MATCH($A34,'Animal Register'!$A:$A,0)))</f>
        <v/>
      </c>
      <c r="F34" s="53" t="str">
        <f aca="false">IF($A34="","",INDEX('Animal Register'!$S:$S,MATCH($A34,'Animal Register'!$A:$A,0)))</f>
        <v/>
      </c>
      <c r="G34" s="47" t="str">
        <f aca="false">IF($A34="","",INDEX('Animal Register'!$O:$O,MATCH($A34,'Animal Register'!$A:$A,0)))</f>
        <v/>
      </c>
      <c r="H34" s="52" t="str">
        <f aca="false">IF($A34="","",INDEX('Animal Register'!$N:$N,MATCH($A34,'Animal Register'!$A:$A,0)))</f>
        <v/>
      </c>
      <c r="I34" s="47" t="str">
        <f aca="false">IF($A34="","",INDEX('Animal Register'!$P:$P,MATCH($A34,'Animal Register'!$A:$A,0)))</f>
        <v/>
      </c>
      <c r="J34" s="52" t="str">
        <f aca="false">IF($A34="","",IFERROR(INDEX($R$5:$R$104,MATCH($A34,$Q$5:$Q$104,0)),"-"))</f>
        <v/>
      </c>
      <c r="K34" s="53" t="str">
        <f aca="false">IF($A34="","",IFERROR(INDEX($S$5:$S$104,MATCH($A34,$Q$5:$Q$104,0)),"-"))</f>
        <v/>
      </c>
      <c r="L34" s="53" t="str">
        <f aca="false">IF($A34="","",IFERROR(INDEX($T$5:$T$104,MATCH($A34,$Q$5:$Q$104,0)),"-"))</f>
        <v/>
      </c>
      <c r="M34" s="47" t="str">
        <f aca="false">IF($A34="","",IFERROR(INDEX($U$5:$U$104,MATCH($A34,$Q$5:$Q$104,0)),"-"))</f>
        <v/>
      </c>
      <c r="N34" s="53" t="str">
        <f aca="false">IF($A34="","",IF(ISNUMBER(L34),L34-E34,"-"))</f>
        <v/>
      </c>
      <c r="Q34" s="50"/>
      <c r="R34" s="51"/>
      <c r="S34" s="62"/>
      <c r="T34" s="50"/>
      <c r="U34" s="38"/>
    </row>
    <row r="35" customFormat="false" ht="15" hidden="false" customHeight="false" outlineLevel="0" collapsed="false">
      <c r="A35" s="47" t="str">
        <f aca="false">IFERROR(INDEX('Animal Register'!$A:$A,MATCH(31,'Animal Register'!$U:$U,0)),"")</f>
        <v/>
      </c>
      <c r="B35" s="47" t="str">
        <f aca="false">IF($A35="","",INDEX('Animal Register'!$C:$C,MATCH($A35,'Animal Register'!$A:$A,0)))</f>
        <v/>
      </c>
      <c r="C35" s="52" t="str">
        <f aca="false">IF($A35="","",INDEX('Animal Register'!$K:$K,MATCH($A35,'Animal Register'!$A:$A,0)))</f>
        <v/>
      </c>
      <c r="D35" s="53" t="str">
        <f aca="false">IF($A35="","",INDEX('Animal Register'!$I:$I,MATCH($A35,'Animal Register'!$A:$A,0)))</f>
        <v/>
      </c>
      <c r="E35" s="53" t="str">
        <f aca="false">IF($A35="","",INDEX('Animal Register'!$J:$J,MATCH($A35,'Animal Register'!$A:$A,0)))</f>
        <v/>
      </c>
      <c r="F35" s="53" t="str">
        <f aca="false">IF($A35="","",INDEX('Animal Register'!$S:$S,MATCH($A35,'Animal Register'!$A:$A,0)))</f>
        <v/>
      </c>
      <c r="G35" s="47" t="str">
        <f aca="false">IF($A35="","",INDEX('Animal Register'!$O:$O,MATCH($A35,'Animal Register'!$A:$A,0)))</f>
        <v/>
      </c>
      <c r="H35" s="52" t="str">
        <f aca="false">IF($A35="","",INDEX('Animal Register'!$N:$N,MATCH($A35,'Animal Register'!$A:$A,0)))</f>
        <v/>
      </c>
      <c r="I35" s="47" t="str">
        <f aca="false">IF($A35="","",INDEX('Animal Register'!$P:$P,MATCH($A35,'Animal Register'!$A:$A,0)))</f>
        <v/>
      </c>
      <c r="J35" s="52" t="str">
        <f aca="false">IF($A35="","",IFERROR(INDEX($R$5:$R$104,MATCH($A35,$Q$5:$Q$104,0)),"-"))</f>
        <v/>
      </c>
      <c r="K35" s="53" t="str">
        <f aca="false">IF($A35="","",IFERROR(INDEX($S$5:$S$104,MATCH($A35,$Q$5:$Q$104,0)),"-"))</f>
        <v/>
      </c>
      <c r="L35" s="53" t="str">
        <f aca="false">IF($A35="","",IFERROR(INDEX($T$5:$T$104,MATCH($A35,$Q$5:$Q$104,0)),"-"))</f>
        <v/>
      </c>
      <c r="M35" s="47" t="str">
        <f aca="false">IF($A35="","",IFERROR(INDEX($U$5:$U$104,MATCH($A35,$Q$5:$Q$104,0)),"-"))</f>
        <v/>
      </c>
      <c r="N35" s="53" t="str">
        <f aca="false">IF($A35="","",IF(ISNUMBER(L35),L35-E35,"-"))</f>
        <v/>
      </c>
      <c r="Q35" s="50"/>
      <c r="R35" s="51"/>
      <c r="S35" s="62"/>
      <c r="T35" s="50"/>
      <c r="U35" s="38"/>
    </row>
    <row r="36" customFormat="false" ht="15" hidden="false" customHeight="false" outlineLevel="0" collapsed="false">
      <c r="A36" s="47" t="str">
        <f aca="false">IFERROR(INDEX('Animal Register'!$A:$A,MATCH(32,'Animal Register'!$U:$U,0)),"")</f>
        <v/>
      </c>
      <c r="B36" s="47" t="str">
        <f aca="false">IF($A36="","",INDEX('Animal Register'!$C:$C,MATCH($A36,'Animal Register'!$A:$A,0)))</f>
        <v/>
      </c>
      <c r="C36" s="52" t="str">
        <f aca="false">IF($A36="","",INDEX('Animal Register'!$K:$K,MATCH($A36,'Animal Register'!$A:$A,0)))</f>
        <v/>
      </c>
      <c r="D36" s="53" t="str">
        <f aca="false">IF($A36="","",INDEX('Animal Register'!$I:$I,MATCH($A36,'Animal Register'!$A:$A,0)))</f>
        <v/>
      </c>
      <c r="E36" s="53" t="str">
        <f aca="false">IF($A36="","",INDEX('Animal Register'!$J:$J,MATCH($A36,'Animal Register'!$A:$A,0)))</f>
        <v/>
      </c>
      <c r="F36" s="53" t="str">
        <f aca="false">IF($A36="","",INDEX('Animal Register'!$S:$S,MATCH($A36,'Animal Register'!$A:$A,0)))</f>
        <v/>
      </c>
      <c r="G36" s="47" t="str">
        <f aca="false">IF($A36="","",INDEX('Animal Register'!$O:$O,MATCH($A36,'Animal Register'!$A:$A,0)))</f>
        <v/>
      </c>
      <c r="H36" s="52" t="str">
        <f aca="false">IF($A36="","",INDEX('Animal Register'!$N:$N,MATCH($A36,'Animal Register'!$A:$A,0)))</f>
        <v/>
      </c>
      <c r="I36" s="47" t="str">
        <f aca="false">IF($A36="","",INDEX('Animal Register'!$P:$P,MATCH($A36,'Animal Register'!$A:$A,0)))</f>
        <v/>
      </c>
      <c r="J36" s="52" t="str">
        <f aca="false">IF($A36="","",IFERROR(INDEX($R$5:$R$104,MATCH($A36,$Q$5:$Q$104,0)),"-"))</f>
        <v/>
      </c>
      <c r="K36" s="53" t="str">
        <f aca="false">IF($A36="","",IFERROR(INDEX($S$5:$S$104,MATCH($A36,$Q$5:$Q$104,0)),"-"))</f>
        <v/>
      </c>
      <c r="L36" s="53" t="str">
        <f aca="false">IF($A36="","",IFERROR(INDEX($T$5:$T$104,MATCH($A36,$Q$5:$Q$104,0)),"-"))</f>
        <v/>
      </c>
      <c r="M36" s="47" t="str">
        <f aca="false">IF($A36="","",IFERROR(INDEX($U$5:$U$104,MATCH($A36,$Q$5:$Q$104,0)),"-"))</f>
        <v/>
      </c>
      <c r="N36" s="53" t="str">
        <f aca="false">IF($A36="","",IF(ISNUMBER(L36),L36-E36,"-"))</f>
        <v/>
      </c>
      <c r="Q36" s="50"/>
      <c r="R36" s="51"/>
      <c r="S36" s="62"/>
      <c r="T36" s="50"/>
      <c r="U36" s="38"/>
    </row>
    <row r="37" customFormat="false" ht="15" hidden="false" customHeight="false" outlineLevel="0" collapsed="false">
      <c r="A37" s="47" t="str">
        <f aca="false">IFERROR(INDEX('Animal Register'!$A:$A,MATCH(33,'Animal Register'!$U:$U,0)),"")</f>
        <v/>
      </c>
      <c r="B37" s="47" t="str">
        <f aca="false">IF($A37="","",INDEX('Animal Register'!$C:$C,MATCH($A37,'Animal Register'!$A:$A,0)))</f>
        <v/>
      </c>
      <c r="C37" s="52" t="str">
        <f aca="false">IF($A37="","",INDEX('Animal Register'!$K:$K,MATCH($A37,'Animal Register'!$A:$A,0)))</f>
        <v/>
      </c>
      <c r="D37" s="53" t="str">
        <f aca="false">IF($A37="","",INDEX('Animal Register'!$I:$I,MATCH($A37,'Animal Register'!$A:$A,0)))</f>
        <v/>
      </c>
      <c r="E37" s="53" t="str">
        <f aca="false">IF($A37="","",INDEX('Animal Register'!$J:$J,MATCH($A37,'Animal Register'!$A:$A,0)))</f>
        <v/>
      </c>
      <c r="F37" s="53" t="str">
        <f aca="false">IF($A37="","",INDEX('Animal Register'!$S:$S,MATCH($A37,'Animal Register'!$A:$A,0)))</f>
        <v/>
      </c>
      <c r="G37" s="47" t="str">
        <f aca="false">IF($A37="","",INDEX('Animal Register'!$O:$O,MATCH($A37,'Animal Register'!$A:$A,0)))</f>
        <v/>
      </c>
      <c r="H37" s="52" t="str">
        <f aca="false">IF($A37="","",INDEX('Animal Register'!$N:$N,MATCH($A37,'Animal Register'!$A:$A,0)))</f>
        <v/>
      </c>
      <c r="I37" s="47" t="str">
        <f aca="false">IF($A37="","",INDEX('Animal Register'!$P:$P,MATCH($A37,'Animal Register'!$A:$A,0)))</f>
        <v/>
      </c>
      <c r="J37" s="52" t="str">
        <f aca="false">IF($A37="","",IFERROR(INDEX($R$5:$R$104,MATCH($A37,$Q$5:$Q$104,0)),"-"))</f>
        <v/>
      </c>
      <c r="K37" s="53" t="str">
        <f aca="false">IF($A37="","",IFERROR(INDEX($S$5:$S$104,MATCH($A37,$Q$5:$Q$104,0)),"-"))</f>
        <v/>
      </c>
      <c r="L37" s="53" t="str">
        <f aca="false">IF($A37="","",IFERROR(INDEX($T$5:$T$104,MATCH($A37,$Q$5:$Q$104,0)),"-"))</f>
        <v/>
      </c>
      <c r="M37" s="47" t="str">
        <f aca="false">IF($A37="","",IFERROR(INDEX($U$5:$U$104,MATCH($A37,$Q$5:$Q$104,0)),"-"))</f>
        <v/>
      </c>
      <c r="N37" s="53" t="str">
        <f aca="false">IF($A37="","",IF(ISNUMBER(L37),L37-E37,"-"))</f>
        <v/>
      </c>
      <c r="Q37" s="50"/>
      <c r="R37" s="51"/>
      <c r="S37" s="62"/>
      <c r="T37" s="50"/>
      <c r="U37" s="38"/>
    </row>
    <row r="38" customFormat="false" ht="15" hidden="false" customHeight="false" outlineLevel="0" collapsed="false">
      <c r="A38" s="47" t="str">
        <f aca="false">IFERROR(INDEX('Animal Register'!$A:$A,MATCH(34,'Animal Register'!$U:$U,0)),"")</f>
        <v/>
      </c>
      <c r="B38" s="47" t="str">
        <f aca="false">IF($A38="","",INDEX('Animal Register'!$C:$C,MATCH($A38,'Animal Register'!$A:$A,0)))</f>
        <v/>
      </c>
      <c r="C38" s="52" t="str">
        <f aca="false">IF($A38="","",INDEX('Animal Register'!$K:$K,MATCH($A38,'Animal Register'!$A:$A,0)))</f>
        <v/>
      </c>
      <c r="D38" s="53" t="str">
        <f aca="false">IF($A38="","",INDEX('Animal Register'!$I:$I,MATCH($A38,'Animal Register'!$A:$A,0)))</f>
        <v/>
      </c>
      <c r="E38" s="53" t="str">
        <f aca="false">IF($A38="","",INDEX('Animal Register'!$J:$J,MATCH($A38,'Animal Register'!$A:$A,0)))</f>
        <v/>
      </c>
      <c r="F38" s="53" t="str">
        <f aca="false">IF($A38="","",INDEX('Animal Register'!$S:$S,MATCH($A38,'Animal Register'!$A:$A,0)))</f>
        <v/>
      </c>
      <c r="G38" s="47" t="str">
        <f aca="false">IF($A38="","",INDEX('Animal Register'!$O:$O,MATCH($A38,'Animal Register'!$A:$A,0)))</f>
        <v/>
      </c>
      <c r="H38" s="52" t="str">
        <f aca="false">IF($A38="","",INDEX('Animal Register'!$N:$N,MATCH($A38,'Animal Register'!$A:$A,0)))</f>
        <v/>
      </c>
      <c r="I38" s="47" t="str">
        <f aca="false">IF($A38="","",INDEX('Animal Register'!$P:$P,MATCH($A38,'Animal Register'!$A:$A,0)))</f>
        <v/>
      </c>
      <c r="J38" s="52" t="str">
        <f aca="false">IF($A38="","",IFERROR(INDEX($R$5:$R$104,MATCH($A38,$Q$5:$Q$104,0)),"-"))</f>
        <v/>
      </c>
      <c r="K38" s="53" t="str">
        <f aca="false">IF($A38="","",IFERROR(INDEX($S$5:$S$104,MATCH($A38,$Q$5:$Q$104,0)),"-"))</f>
        <v/>
      </c>
      <c r="L38" s="53" t="str">
        <f aca="false">IF($A38="","",IFERROR(INDEX($T$5:$T$104,MATCH($A38,$Q$5:$Q$104,0)),"-"))</f>
        <v/>
      </c>
      <c r="M38" s="47" t="str">
        <f aca="false">IF($A38="","",IFERROR(INDEX($U$5:$U$104,MATCH($A38,$Q$5:$Q$104,0)),"-"))</f>
        <v/>
      </c>
      <c r="N38" s="53" t="str">
        <f aca="false">IF($A38="","",IF(ISNUMBER(L38),L38-E38,"-"))</f>
        <v/>
      </c>
      <c r="Q38" s="50"/>
      <c r="R38" s="51"/>
      <c r="S38" s="62"/>
      <c r="T38" s="50"/>
      <c r="U38" s="38"/>
    </row>
    <row r="39" customFormat="false" ht="15" hidden="false" customHeight="false" outlineLevel="0" collapsed="false">
      <c r="A39" s="47" t="str">
        <f aca="false">IFERROR(INDEX('Animal Register'!$A:$A,MATCH(35,'Animal Register'!$U:$U,0)),"")</f>
        <v/>
      </c>
      <c r="B39" s="47" t="str">
        <f aca="false">IF($A39="","",INDEX('Animal Register'!$C:$C,MATCH($A39,'Animal Register'!$A:$A,0)))</f>
        <v/>
      </c>
      <c r="C39" s="52" t="str">
        <f aca="false">IF($A39="","",INDEX('Animal Register'!$K:$K,MATCH($A39,'Animal Register'!$A:$A,0)))</f>
        <v/>
      </c>
      <c r="D39" s="53" t="str">
        <f aca="false">IF($A39="","",INDEX('Animal Register'!$I:$I,MATCH($A39,'Animal Register'!$A:$A,0)))</f>
        <v/>
      </c>
      <c r="E39" s="53" t="str">
        <f aca="false">IF($A39="","",INDEX('Animal Register'!$J:$J,MATCH($A39,'Animal Register'!$A:$A,0)))</f>
        <v/>
      </c>
      <c r="F39" s="53" t="str">
        <f aca="false">IF($A39="","",INDEX('Animal Register'!$S:$S,MATCH($A39,'Animal Register'!$A:$A,0)))</f>
        <v/>
      </c>
      <c r="G39" s="47" t="str">
        <f aca="false">IF($A39="","",INDEX('Animal Register'!$O:$O,MATCH($A39,'Animal Register'!$A:$A,0)))</f>
        <v/>
      </c>
      <c r="H39" s="52" t="str">
        <f aca="false">IF($A39="","",INDEX('Animal Register'!$N:$N,MATCH($A39,'Animal Register'!$A:$A,0)))</f>
        <v/>
      </c>
      <c r="I39" s="47" t="str">
        <f aca="false">IF($A39="","",INDEX('Animal Register'!$P:$P,MATCH($A39,'Animal Register'!$A:$A,0)))</f>
        <v/>
      </c>
      <c r="J39" s="52" t="str">
        <f aca="false">IF($A39="","",IFERROR(INDEX($R$5:$R$104,MATCH($A39,$Q$5:$Q$104,0)),"-"))</f>
        <v/>
      </c>
      <c r="K39" s="53" t="str">
        <f aca="false">IF($A39="","",IFERROR(INDEX($S$5:$S$104,MATCH($A39,$Q$5:$Q$104,0)),"-"))</f>
        <v/>
      </c>
      <c r="L39" s="53" t="str">
        <f aca="false">IF($A39="","",IFERROR(INDEX($T$5:$T$104,MATCH($A39,$Q$5:$Q$104,0)),"-"))</f>
        <v/>
      </c>
      <c r="M39" s="47" t="str">
        <f aca="false">IF($A39="","",IFERROR(INDEX($U$5:$U$104,MATCH($A39,$Q$5:$Q$104,0)),"-"))</f>
        <v/>
      </c>
      <c r="N39" s="53" t="str">
        <f aca="false">IF($A39="","",IF(ISNUMBER(L39),L39-E39,"-"))</f>
        <v/>
      </c>
      <c r="Q39" s="50"/>
      <c r="R39" s="51"/>
      <c r="S39" s="62"/>
      <c r="T39" s="50"/>
      <c r="U39" s="38"/>
    </row>
    <row r="40" customFormat="false" ht="15" hidden="false" customHeight="false" outlineLevel="0" collapsed="false">
      <c r="A40" s="47" t="str">
        <f aca="false">IFERROR(INDEX('Animal Register'!$A:$A,MATCH(36,'Animal Register'!$U:$U,0)),"")</f>
        <v/>
      </c>
      <c r="B40" s="47" t="str">
        <f aca="false">IF($A40="","",INDEX('Animal Register'!$C:$C,MATCH($A40,'Animal Register'!$A:$A,0)))</f>
        <v/>
      </c>
      <c r="C40" s="52" t="str">
        <f aca="false">IF($A40="","",INDEX('Animal Register'!$K:$K,MATCH($A40,'Animal Register'!$A:$A,0)))</f>
        <v/>
      </c>
      <c r="D40" s="53" t="str">
        <f aca="false">IF($A40="","",INDEX('Animal Register'!$I:$I,MATCH($A40,'Animal Register'!$A:$A,0)))</f>
        <v/>
      </c>
      <c r="E40" s="53" t="str">
        <f aca="false">IF($A40="","",INDEX('Animal Register'!$J:$J,MATCH($A40,'Animal Register'!$A:$A,0)))</f>
        <v/>
      </c>
      <c r="F40" s="53" t="str">
        <f aca="false">IF($A40="","",INDEX('Animal Register'!$S:$S,MATCH($A40,'Animal Register'!$A:$A,0)))</f>
        <v/>
      </c>
      <c r="G40" s="47" t="str">
        <f aca="false">IF($A40="","",INDEX('Animal Register'!$O:$O,MATCH($A40,'Animal Register'!$A:$A,0)))</f>
        <v/>
      </c>
      <c r="H40" s="52" t="str">
        <f aca="false">IF($A40="","",INDEX('Animal Register'!$N:$N,MATCH($A40,'Animal Register'!$A:$A,0)))</f>
        <v/>
      </c>
      <c r="I40" s="47" t="str">
        <f aca="false">IF($A40="","",INDEX('Animal Register'!$P:$P,MATCH($A40,'Animal Register'!$A:$A,0)))</f>
        <v/>
      </c>
      <c r="J40" s="52" t="str">
        <f aca="false">IF($A40="","",IFERROR(INDEX($R$5:$R$104,MATCH($A40,$Q$5:$Q$104,0)),"-"))</f>
        <v/>
      </c>
      <c r="K40" s="53" t="str">
        <f aca="false">IF($A40="","",IFERROR(INDEX($S$5:$S$104,MATCH($A40,$Q$5:$Q$104,0)),"-"))</f>
        <v/>
      </c>
      <c r="L40" s="53" t="str">
        <f aca="false">IF($A40="","",IFERROR(INDEX($T$5:$T$104,MATCH($A40,$Q$5:$Q$104,0)),"-"))</f>
        <v/>
      </c>
      <c r="M40" s="47" t="str">
        <f aca="false">IF($A40="","",IFERROR(INDEX($U$5:$U$104,MATCH($A40,$Q$5:$Q$104,0)),"-"))</f>
        <v/>
      </c>
      <c r="N40" s="53" t="str">
        <f aca="false">IF($A40="","",IF(ISNUMBER(L40),L40-E40,"-"))</f>
        <v/>
      </c>
      <c r="Q40" s="50"/>
      <c r="R40" s="51"/>
      <c r="S40" s="62"/>
      <c r="T40" s="50"/>
      <c r="U40" s="38"/>
    </row>
    <row r="41" customFormat="false" ht="15" hidden="false" customHeight="false" outlineLevel="0" collapsed="false">
      <c r="A41" s="47" t="str">
        <f aca="false">IFERROR(INDEX('Animal Register'!$A:$A,MATCH(37,'Animal Register'!$U:$U,0)),"")</f>
        <v/>
      </c>
      <c r="B41" s="47" t="str">
        <f aca="false">IF($A41="","",INDEX('Animal Register'!$C:$C,MATCH($A41,'Animal Register'!$A:$A,0)))</f>
        <v/>
      </c>
      <c r="C41" s="52" t="str">
        <f aca="false">IF($A41="","",INDEX('Animal Register'!$K:$K,MATCH($A41,'Animal Register'!$A:$A,0)))</f>
        <v/>
      </c>
      <c r="D41" s="53" t="str">
        <f aca="false">IF($A41="","",INDEX('Animal Register'!$I:$I,MATCH($A41,'Animal Register'!$A:$A,0)))</f>
        <v/>
      </c>
      <c r="E41" s="53" t="str">
        <f aca="false">IF($A41="","",INDEX('Animal Register'!$J:$J,MATCH($A41,'Animal Register'!$A:$A,0)))</f>
        <v/>
      </c>
      <c r="F41" s="53" t="str">
        <f aca="false">IF($A41="","",INDEX('Animal Register'!$S:$S,MATCH($A41,'Animal Register'!$A:$A,0)))</f>
        <v/>
      </c>
      <c r="G41" s="47" t="str">
        <f aca="false">IF($A41="","",INDEX('Animal Register'!$O:$O,MATCH($A41,'Animal Register'!$A:$A,0)))</f>
        <v/>
      </c>
      <c r="H41" s="52" t="str">
        <f aca="false">IF($A41="","",INDEX('Animal Register'!$N:$N,MATCH($A41,'Animal Register'!$A:$A,0)))</f>
        <v/>
      </c>
      <c r="I41" s="47" t="str">
        <f aca="false">IF($A41="","",INDEX('Animal Register'!$P:$P,MATCH($A41,'Animal Register'!$A:$A,0)))</f>
        <v/>
      </c>
      <c r="J41" s="52" t="str">
        <f aca="false">IF($A41="","",IFERROR(INDEX($R$5:$R$104,MATCH($A41,$Q$5:$Q$104,0)),"-"))</f>
        <v/>
      </c>
      <c r="K41" s="53" t="str">
        <f aca="false">IF($A41="","",IFERROR(INDEX($S$5:$S$104,MATCH($A41,$Q$5:$Q$104,0)),"-"))</f>
        <v/>
      </c>
      <c r="L41" s="53" t="str">
        <f aca="false">IF($A41="","",IFERROR(INDEX($T$5:$T$104,MATCH($A41,$Q$5:$Q$104,0)),"-"))</f>
        <v/>
      </c>
      <c r="M41" s="47" t="str">
        <f aca="false">IF($A41="","",IFERROR(INDEX($U$5:$U$104,MATCH($A41,$Q$5:$Q$104,0)),"-"))</f>
        <v/>
      </c>
      <c r="N41" s="53" t="str">
        <f aca="false">IF($A41="","",IF(ISNUMBER(L41),L41-E41,"-"))</f>
        <v/>
      </c>
      <c r="Q41" s="50"/>
      <c r="R41" s="51"/>
      <c r="S41" s="62"/>
      <c r="T41" s="50"/>
      <c r="U41" s="38"/>
    </row>
    <row r="42" customFormat="false" ht="15" hidden="false" customHeight="false" outlineLevel="0" collapsed="false">
      <c r="A42" s="47" t="str">
        <f aca="false">IFERROR(INDEX('Animal Register'!$A:$A,MATCH(38,'Animal Register'!$U:$U,0)),"")</f>
        <v/>
      </c>
      <c r="B42" s="47" t="str">
        <f aca="false">IF($A42="","",INDEX('Animal Register'!$C:$C,MATCH($A42,'Animal Register'!$A:$A,0)))</f>
        <v/>
      </c>
      <c r="C42" s="52" t="str">
        <f aca="false">IF($A42="","",INDEX('Animal Register'!$K:$K,MATCH($A42,'Animal Register'!$A:$A,0)))</f>
        <v/>
      </c>
      <c r="D42" s="53" t="str">
        <f aca="false">IF($A42="","",INDEX('Animal Register'!$I:$I,MATCH($A42,'Animal Register'!$A:$A,0)))</f>
        <v/>
      </c>
      <c r="E42" s="53" t="str">
        <f aca="false">IF($A42="","",INDEX('Animal Register'!$J:$J,MATCH($A42,'Animal Register'!$A:$A,0)))</f>
        <v/>
      </c>
      <c r="F42" s="53" t="str">
        <f aca="false">IF($A42="","",INDEX('Animal Register'!$S:$S,MATCH($A42,'Animal Register'!$A:$A,0)))</f>
        <v/>
      </c>
      <c r="G42" s="47" t="str">
        <f aca="false">IF($A42="","",INDEX('Animal Register'!$O:$O,MATCH($A42,'Animal Register'!$A:$A,0)))</f>
        <v/>
      </c>
      <c r="H42" s="52" t="str">
        <f aca="false">IF($A42="","",INDEX('Animal Register'!$N:$N,MATCH($A42,'Animal Register'!$A:$A,0)))</f>
        <v/>
      </c>
      <c r="I42" s="47" t="str">
        <f aca="false">IF($A42="","",INDEX('Animal Register'!$P:$P,MATCH($A42,'Animal Register'!$A:$A,0)))</f>
        <v/>
      </c>
      <c r="J42" s="52" t="str">
        <f aca="false">IF($A42="","",IFERROR(INDEX($R$5:$R$104,MATCH($A42,$Q$5:$Q$104,0)),"-"))</f>
        <v/>
      </c>
      <c r="K42" s="53" t="str">
        <f aca="false">IF($A42="","",IFERROR(INDEX($S$5:$S$104,MATCH($A42,$Q$5:$Q$104,0)),"-"))</f>
        <v/>
      </c>
      <c r="L42" s="53" t="str">
        <f aca="false">IF($A42="","",IFERROR(INDEX($T$5:$T$104,MATCH($A42,$Q$5:$Q$104,0)),"-"))</f>
        <v/>
      </c>
      <c r="M42" s="47" t="str">
        <f aca="false">IF($A42="","",IFERROR(INDEX($U$5:$U$104,MATCH($A42,$Q$5:$Q$104,0)),"-"))</f>
        <v/>
      </c>
      <c r="N42" s="53" t="str">
        <f aca="false">IF($A42="","",IF(ISNUMBER(L42),L42-E42,"-"))</f>
        <v/>
      </c>
      <c r="Q42" s="50"/>
      <c r="R42" s="51"/>
      <c r="S42" s="62"/>
      <c r="T42" s="50"/>
      <c r="U42" s="38"/>
    </row>
    <row r="43" customFormat="false" ht="15" hidden="false" customHeight="false" outlineLevel="0" collapsed="false">
      <c r="A43" s="47" t="str">
        <f aca="false">IFERROR(INDEX('Animal Register'!$A:$A,MATCH(39,'Animal Register'!$U:$U,0)),"")</f>
        <v/>
      </c>
      <c r="B43" s="47" t="str">
        <f aca="false">IF($A43="","",INDEX('Animal Register'!$C:$C,MATCH($A43,'Animal Register'!$A:$A,0)))</f>
        <v/>
      </c>
      <c r="C43" s="52" t="str">
        <f aca="false">IF($A43="","",INDEX('Animal Register'!$K:$K,MATCH($A43,'Animal Register'!$A:$A,0)))</f>
        <v/>
      </c>
      <c r="D43" s="53" t="str">
        <f aca="false">IF($A43="","",INDEX('Animal Register'!$I:$I,MATCH($A43,'Animal Register'!$A:$A,0)))</f>
        <v/>
      </c>
      <c r="E43" s="53" t="str">
        <f aca="false">IF($A43="","",INDEX('Animal Register'!$J:$J,MATCH($A43,'Animal Register'!$A:$A,0)))</f>
        <v/>
      </c>
      <c r="F43" s="53" t="str">
        <f aca="false">IF($A43="","",INDEX('Animal Register'!$S:$S,MATCH($A43,'Animal Register'!$A:$A,0)))</f>
        <v/>
      </c>
      <c r="G43" s="47" t="str">
        <f aca="false">IF($A43="","",INDEX('Animal Register'!$O:$O,MATCH($A43,'Animal Register'!$A:$A,0)))</f>
        <v/>
      </c>
      <c r="H43" s="52" t="str">
        <f aca="false">IF($A43="","",INDEX('Animal Register'!$N:$N,MATCH($A43,'Animal Register'!$A:$A,0)))</f>
        <v/>
      </c>
      <c r="I43" s="47" t="str">
        <f aca="false">IF($A43="","",INDEX('Animal Register'!$P:$P,MATCH($A43,'Animal Register'!$A:$A,0)))</f>
        <v/>
      </c>
      <c r="J43" s="52" t="str">
        <f aca="false">IF($A43="","",IFERROR(INDEX($R$5:$R$104,MATCH($A43,$Q$5:$Q$104,0)),"-"))</f>
        <v/>
      </c>
      <c r="K43" s="53" t="str">
        <f aca="false">IF($A43="","",IFERROR(INDEX($S$5:$S$104,MATCH($A43,$Q$5:$Q$104,0)),"-"))</f>
        <v/>
      </c>
      <c r="L43" s="53" t="str">
        <f aca="false">IF($A43="","",IFERROR(INDEX($T$5:$T$104,MATCH($A43,$Q$5:$Q$104,0)),"-"))</f>
        <v/>
      </c>
      <c r="M43" s="47" t="str">
        <f aca="false">IF($A43="","",IFERROR(INDEX($U$5:$U$104,MATCH($A43,$Q$5:$Q$104,0)),"-"))</f>
        <v/>
      </c>
      <c r="N43" s="53" t="str">
        <f aca="false">IF($A43="","",IF(ISNUMBER(L43),L43-E43,"-"))</f>
        <v/>
      </c>
      <c r="Q43" s="50"/>
      <c r="R43" s="51"/>
      <c r="S43" s="62"/>
      <c r="T43" s="50"/>
      <c r="U43" s="38"/>
    </row>
    <row r="44" customFormat="false" ht="15" hidden="false" customHeight="false" outlineLevel="0" collapsed="false">
      <c r="A44" s="47" t="str">
        <f aca="false">IFERROR(INDEX('Animal Register'!$A:$A,MATCH(40,'Animal Register'!$U:$U,0)),"")</f>
        <v/>
      </c>
      <c r="B44" s="47" t="str">
        <f aca="false">IF($A44="","",INDEX('Animal Register'!$C:$C,MATCH($A44,'Animal Register'!$A:$A,0)))</f>
        <v/>
      </c>
      <c r="C44" s="52" t="str">
        <f aca="false">IF($A44="","",INDEX('Animal Register'!$K:$K,MATCH($A44,'Animal Register'!$A:$A,0)))</f>
        <v/>
      </c>
      <c r="D44" s="53" t="str">
        <f aca="false">IF($A44="","",INDEX('Animal Register'!$I:$I,MATCH($A44,'Animal Register'!$A:$A,0)))</f>
        <v/>
      </c>
      <c r="E44" s="53" t="str">
        <f aca="false">IF($A44="","",INDEX('Animal Register'!$J:$J,MATCH($A44,'Animal Register'!$A:$A,0)))</f>
        <v/>
      </c>
      <c r="F44" s="53" t="str">
        <f aca="false">IF($A44="","",INDEX('Animal Register'!$S:$S,MATCH($A44,'Animal Register'!$A:$A,0)))</f>
        <v/>
      </c>
      <c r="G44" s="47" t="str">
        <f aca="false">IF($A44="","",INDEX('Animal Register'!$O:$O,MATCH($A44,'Animal Register'!$A:$A,0)))</f>
        <v/>
      </c>
      <c r="H44" s="52" t="str">
        <f aca="false">IF($A44="","",INDEX('Animal Register'!$N:$N,MATCH($A44,'Animal Register'!$A:$A,0)))</f>
        <v/>
      </c>
      <c r="I44" s="47" t="str">
        <f aca="false">IF($A44="","",INDEX('Animal Register'!$P:$P,MATCH($A44,'Animal Register'!$A:$A,0)))</f>
        <v/>
      </c>
      <c r="J44" s="52" t="str">
        <f aca="false">IF($A44="","",IFERROR(INDEX($R$5:$R$104,MATCH($A44,$Q$5:$Q$104,0)),"-"))</f>
        <v/>
      </c>
      <c r="K44" s="53" t="str">
        <f aca="false">IF($A44="","",IFERROR(INDEX($S$5:$S$104,MATCH($A44,$Q$5:$Q$104,0)),"-"))</f>
        <v/>
      </c>
      <c r="L44" s="53" t="str">
        <f aca="false">IF($A44="","",IFERROR(INDEX($T$5:$T$104,MATCH($A44,$Q$5:$Q$104,0)),"-"))</f>
        <v/>
      </c>
      <c r="M44" s="47" t="str">
        <f aca="false">IF($A44="","",IFERROR(INDEX($U$5:$U$104,MATCH($A44,$Q$5:$Q$104,0)),"-"))</f>
        <v/>
      </c>
      <c r="N44" s="53" t="str">
        <f aca="false">IF($A44="","",IF(ISNUMBER(L44),L44-E44,"-"))</f>
        <v/>
      </c>
      <c r="Q44" s="50"/>
      <c r="R44" s="51"/>
      <c r="S44" s="62"/>
      <c r="T44" s="50"/>
      <c r="U44" s="38"/>
    </row>
    <row r="45" customFormat="false" ht="15" hidden="false" customHeight="false" outlineLevel="0" collapsed="false">
      <c r="A45" s="47" t="str">
        <f aca="false">IFERROR(INDEX('Animal Register'!$A:$A,MATCH(41,'Animal Register'!$U:$U,0)),"")</f>
        <v/>
      </c>
      <c r="B45" s="47" t="str">
        <f aca="false">IF($A45="","",INDEX('Animal Register'!$C:$C,MATCH($A45,'Animal Register'!$A:$A,0)))</f>
        <v/>
      </c>
      <c r="C45" s="52" t="str">
        <f aca="false">IF($A45="","",INDEX('Animal Register'!$K:$K,MATCH($A45,'Animal Register'!$A:$A,0)))</f>
        <v/>
      </c>
      <c r="D45" s="53" t="str">
        <f aca="false">IF($A45="","",INDEX('Animal Register'!$I:$I,MATCH($A45,'Animal Register'!$A:$A,0)))</f>
        <v/>
      </c>
      <c r="E45" s="53" t="str">
        <f aca="false">IF($A45="","",INDEX('Animal Register'!$J:$J,MATCH($A45,'Animal Register'!$A:$A,0)))</f>
        <v/>
      </c>
      <c r="F45" s="53" t="str">
        <f aca="false">IF($A45="","",INDEX('Animal Register'!$S:$S,MATCH($A45,'Animal Register'!$A:$A,0)))</f>
        <v/>
      </c>
      <c r="G45" s="47" t="str">
        <f aca="false">IF($A45="","",INDEX('Animal Register'!$O:$O,MATCH($A45,'Animal Register'!$A:$A,0)))</f>
        <v/>
      </c>
      <c r="H45" s="52" t="str">
        <f aca="false">IF($A45="","",INDEX('Animal Register'!$N:$N,MATCH($A45,'Animal Register'!$A:$A,0)))</f>
        <v/>
      </c>
      <c r="I45" s="47" t="str">
        <f aca="false">IF($A45="","",INDEX('Animal Register'!$P:$P,MATCH($A45,'Animal Register'!$A:$A,0)))</f>
        <v/>
      </c>
      <c r="J45" s="52" t="str">
        <f aca="false">IF($A45="","",IFERROR(INDEX($R$5:$R$104,MATCH($A45,$Q$5:$Q$104,0)),"-"))</f>
        <v/>
      </c>
      <c r="K45" s="53" t="str">
        <f aca="false">IF($A45="","",IFERROR(INDEX($S$5:$S$104,MATCH($A45,$Q$5:$Q$104,0)),"-"))</f>
        <v/>
      </c>
      <c r="L45" s="53" t="str">
        <f aca="false">IF($A45="","",IFERROR(INDEX($T$5:$T$104,MATCH($A45,$Q$5:$Q$104,0)),"-"))</f>
        <v/>
      </c>
      <c r="M45" s="47" t="str">
        <f aca="false">IF($A45="","",IFERROR(INDEX($U$5:$U$104,MATCH($A45,$Q$5:$Q$104,0)),"-"))</f>
        <v/>
      </c>
      <c r="N45" s="53" t="str">
        <f aca="false">IF($A45="","",IF(ISNUMBER(L45),L45-E45,"-"))</f>
        <v/>
      </c>
      <c r="Q45" s="50"/>
      <c r="R45" s="51"/>
      <c r="S45" s="62"/>
      <c r="T45" s="50"/>
      <c r="U45" s="38"/>
    </row>
    <row r="46" customFormat="false" ht="15" hidden="false" customHeight="false" outlineLevel="0" collapsed="false">
      <c r="A46" s="47" t="str">
        <f aca="false">IFERROR(INDEX('Animal Register'!$A:$A,MATCH(42,'Animal Register'!$U:$U,0)),"")</f>
        <v/>
      </c>
      <c r="B46" s="47" t="str">
        <f aca="false">IF($A46="","",INDEX('Animal Register'!$C:$C,MATCH($A46,'Animal Register'!$A:$A,0)))</f>
        <v/>
      </c>
      <c r="C46" s="52" t="str">
        <f aca="false">IF($A46="","",INDEX('Animal Register'!$K:$K,MATCH($A46,'Animal Register'!$A:$A,0)))</f>
        <v/>
      </c>
      <c r="D46" s="53" t="str">
        <f aca="false">IF($A46="","",INDEX('Animal Register'!$I:$I,MATCH($A46,'Animal Register'!$A:$A,0)))</f>
        <v/>
      </c>
      <c r="E46" s="53" t="str">
        <f aca="false">IF($A46="","",INDEX('Animal Register'!$J:$J,MATCH($A46,'Animal Register'!$A:$A,0)))</f>
        <v/>
      </c>
      <c r="F46" s="53" t="str">
        <f aca="false">IF($A46="","",INDEX('Animal Register'!$S:$S,MATCH($A46,'Animal Register'!$A:$A,0)))</f>
        <v/>
      </c>
      <c r="G46" s="47" t="str">
        <f aca="false">IF($A46="","",INDEX('Animal Register'!$O:$O,MATCH($A46,'Animal Register'!$A:$A,0)))</f>
        <v/>
      </c>
      <c r="H46" s="52" t="str">
        <f aca="false">IF($A46="","",INDEX('Animal Register'!$N:$N,MATCH($A46,'Animal Register'!$A:$A,0)))</f>
        <v/>
      </c>
      <c r="I46" s="47" t="str">
        <f aca="false">IF($A46="","",INDEX('Animal Register'!$P:$P,MATCH($A46,'Animal Register'!$A:$A,0)))</f>
        <v/>
      </c>
      <c r="J46" s="52" t="str">
        <f aca="false">IF($A46="","",IFERROR(INDEX($R$5:$R$104,MATCH($A46,$Q$5:$Q$104,0)),"-"))</f>
        <v/>
      </c>
      <c r="K46" s="53" t="str">
        <f aca="false">IF($A46="","",IFERROR(INDEX($S$5:$S$104,MATCH($A46,$Q$5:$Q$104,0)),"-"))</f>
        <v/>
      </c>
      <c r="L46" s="53" t="str">
        <f aca="false">IF($A46="","",IFERROR(INDEX($T$5:$T$104,MATCH($A46,$Q$5:$Q$104,0)),"-"))</f>
        <v/>
      </c>
      <c r="M46" s="47" t="str">
        <f aca="false">IF($A46="","",IFERROR(INDEX($U$5:$U$104,MATCH($A46,$Q$5:$Q$104,0)),"-"))</f>
        <v/>
      </c>
      <c r="N46" s="53" t="str">
        <f aca="false">IF($A46="","",IF(ISNUMBER(L46),L46-E46,"-"))</f>
        <v/>
      </c>
      <c r="Q46" s="50"/>
      <c r="R46" s="51"/>
      <c r="S46" s="62"/>
      <c r="T46" s="50"/>
      <c r="U46" s="38"/>
    </row>
    <row r="47" customFormat="false" ht="15" hidden="false" customHeight="false" outlineLevel="0" collapsed="false">
      <c r="A47" s="47" t="str">
        <f aca="false">IFERROR(INDEX('Animal Register'!$A:$A,MATCH(43,'Animal Register'!$U:$U,0)),"")</f>
        <v/>
      </c>
      <c r="B47" s="47" t="str">
        <f aca="false">IF($A47="","",INDEX('Animal Register'!$C:$C,MATCH($A47,'Animal Register'!$A:$A,0)))</f>
        <v/>
      </c>
      <c r="C47" s="52" t="str">
        <f aca="false">IF($A47="","",INDEX('Animal Register'!$K:$K,MATCH($A47,'Animal Register'!$A:$A,0)))</f>
        <v/>
      </c>
      <c r="D47" s="53" t="str">
        <f aca="false">IF($A47="","",INDEX('Animal Register'!$I:$I,MATCH($A47,'Animal Register'!$A:$A,0)))</f>
        <v/>
      </c>
      <c r="E47" s="53" t="str">
        <f aca="false">IF($A47="","",INDEX('Animal Register'!$J:$J,MATCH($A47,'Animal Register'!$A:$A,0)))</f>
        <v/>
      </c>
      <c r="F47" s="53" t="str">
        <f aca="false">IF($A47="","",INDEX('Animal Register'!$S:$S,MATCH($A47,'Animal Register'!$A:$A,0)))</f>
        <v/>
      </c>
      <c r="G47" s="47" t="str">
        <f aca="false">IF($A47="","",INDEX('Animal Register'!$O:$O,MATCH($A47,'Animal Register'!$A:$A,0)))</f>
        <v/>
      </c>
      <c r="H47" s="52" t="str">
        <f aca="false">IF($A47="","",INDEX('Animal Register'!$N:$N,MATCH($A47,'Animal Register'!$A:$A,0)))</f>
        <v/>
      </c>
      <c r="I47" s="47" t="str">
        <f aca="false">IF($A47="","",INDEX('Animal Register'!$P:$P,MATCH($A47,'Animal Register'!$A:$A,0)))</f>
        <v/>
      </c>
      <c r="J47" s="52" t="str">
        <f aca="false">IF($A47="","",IFERROR(INDEX($R$5:$R$104,MATCH($A47,$Q$5:$Q$104,0)),"-"))</f>
        <v/>
      </c>
      <c r="K47" s="53" t="str">
        <f aca="false">IF($A47="","",IFERROR(INDEX($S$5:$S$104,MATCH($A47,$Q$5:$Q$104,0)),"-"))</f>
        <v/>
      </c>
      <c r="L47" s="53" t="str">
        <f aca="false">IF($A47="","",IFERROR(INDEX($T$5:$T$104,MATCH($A47,$Q$5:$Q$104,0)),"-"))</f>
        <v/>
      </c>
      <c r="M47" s="47" t="str">
        <f aca="false">IF($A47="","",IFERROR(INDEX($U$5:$U$104,MATCH($A47,$Q$5:$Q$104,0)),"-"))</f>
        <v/>
      </c>
      <c r="N47" s="53" t="str">
        <f aca="false">IF($A47="","",IF(ISNUMBER(L47),L47-E47,"-"))</f>
        <v/>
      </c>
      <c r="Q47" s="50"/>
      <c r="R47" s="51"/>
      <c r="S47" s="62"/>
      <c r="T47" s="50"/>
      <c r="U47" s="38"/>
    </row>
    <row r="48" customFormat="false" ht="15" hidden="false" customHeight="false" outlineLevel="0" collapsed="false">
      <c r="A48" s="47" t="str">
        <f aca="false">IFERROR(INDEX('Animal Register'!$A:$A,MATCH(44,'Animal Register'!$U:$U,0)),"")</f>
        <v/>
      </c>
      <c r="B48" s="47" t="str">
        <f aca="false">IF($A48="","",INDEX('Animal Register'!$C:$C,MATCH($A48,'Animal Register'!$A:$A,0)))</f>
        <v/>
      </c>
      <c r="C48" s="52" t="str">
        <f aca="false">IF($A48="","",INDEX('Animal Register'!$K:$K,MATCH($A48,'Animal Register'!$A:$A,0)))</f>
        <v/>
      </c>
      <c r="D48" s="53" t="str">
        <f aca="false">IF($A48="","",INDEX('Animal Register'!$I:$I,MATCH($A48,'Animal Register'!$A:$A,0)))</f>
        <v/>
      </c>
      <c r="E48" s="53" t="str">
        <f aca="false">IF($A48="","",INDEX('Animal Register'!$J:$J,MATCH($A48,'Animal Register'!$A:$A,0)))</f>
        <v/>
      </c>
      <c r="F48" s="53" t="str">
        <f aca="false">IF($A48="","",INDEX('Animal Register'!$S:$S,MATCH($A48,'Animal Register'!$A:$A,0)))</f>
        <v/>
      </c>
      <c r="G48" s="47" t="str">
        <f aca="false">IF($A48="","",INDEX('Animal Register'!$O:$O,MATCH($A48,'Animal Register'!$A:$A,0)))</f>
        <v/>
      </c>
      <c r="H48" s="52" t="str">
        <f aca="false">IF($A48="","",INDEX('Animal Register'!$N:$N,MATCH($A48,'Animal Register'!$A:$A,0)))</f>
        <v/>
      </c>
      <c r="I48" s="47" t="str">
        <f aca="false">IF($A48="","",INDEX('Animal Register'!$P:$P,MATCH($A48,'Animal Register'!$A:$A,0)))</f>
        <v/>
      </c>
      <c r="J48" s="52" t="str">
        <f aca="false">IF($A48="","",IFERROR(INDEX($R$5:$R$104,MATCH($A48,$Q$5:$Q$104,0)),"-"))</f>
        <v/>
      </c>
      <c r="K48" s="53" t="str">
        <f aca="false">IF($A48="","",IFERROR(INDEX($S$5:$S$104,MATCH($A48,$Q$5:$Q$104,0)),"-"))</f>
        <v/>
      </c>
      <c r="L48" s="53" t="str">
        <f aca="false">IF($A48="","",IFERROR(INDEX($T$5:$T$104,MATCH($A48,$Q$5:$Q$104,0)),"-"))</f>
        <v/>
      </c>
      <c r="M48" s="47" t="str">
        <f aca="false">IF($A48="","",IFERROR(INDEX($U$5:$U$104,MATCH($A48,$Q$5:$Q$104,0)),"-"))</f>
        <v/>
      </c>
      <c r="N48" s="53" t="str">
        <f aca="false">IF($A48="","",IF(ISNUMBER(L48),L48-E48,"-"))</f>
        <v/>
      </c>
      <c r="Q48" s="50"/>
      <c r="R48" s="51"/>
      <c r="S48" s="62"/>
      <c r="T48" s="50"/>
      <c r="U48" s="38"/>
    </row>
    <row r="49" customFormat="false" ht="15" hidden="false" customHeight="false" outlineLevel="0" collapsed="false">
      <c r="A49" s="47" t="str">
        <f aca="false">IFERROR(INDEX('Animal Register'!$A:$A,MATCH(45,'Animal Register'!$U:$U,0)),"")</f>
        <v/>
      </c>
      <c r="B49" s="47" t="str">
        <f aca="false">IF($A49="","",INDEX('Animal Register'!$C:$C,MATCH($A49,'Animal Register'!$A:$A,0)))</f>
        <v/>
      </c>
      <c r="C49" s="52" t="str">
        <f aca="false">IF($A49="","",INDEX('Animal Register'!$K:$K,MATCH($A49,'Animal Register'!$A:$A,0)))</f>
        <v/>
      </c>
      <c r="D49" s="53" t="str">
        <f aca="false">IF($A49="","",INDEX('Animal Register'!$I:$I,MATCH($A49,'Animal Register'!$A:$A,0)))</f>
        <v/>
      </c>
      <c r="E49" s="53" t="str">
        <f aca="false">IF($A49="","",INDEX('Animal Register'!$J:$J,MATCH($A49,'Animal Register'!$A:$A,0)))</f>
        <v/>
      </c>
      <c r="F49" s="53" t="str">
        <f aca="false">IF($A49="","",INDEX('Animal Register'!$S:$S,MATCH($A49,'Animal Register'!$A:$A,0)))</f>
        <v/>
      </c>
      <c r="G49" s="47" t="str">
        <f aca="false">IF($A49="","",INDEX('Animal Register'!$O:$O,MATCH($A49,'Animal Register'!$A:$A,0)))</f>
        <v/>
      </c>
      <c r="H49" s="52" t="str">
        <f aca="false">IF($A49="","",INDEX('Animal Register'!$N:$N,MATCH($A49,'Animal Register'!$A:$A,0)))</f>
        <v/>
      </c>
      <c r="I49" s="47" t="str">
        <f aca="false">IF($A49="","",INDEX('Animal Register'!$P:$P,MATCH($A49,'Animal Register'!$A:$A,0)))</f>
        <v/>
      </c>
      <c r="J49" s="52" t="str">
        <f aca="false">IF($A49="","",IFERROR(INDEX($R$5:$R$104,MATCH($A49,$Q$5:$Q$104,0)),"-"))</f>
        <v/>
      </c>
      <c r="K49" s="53" t="str">
        <f aca="false">IF($A49="","",IFERROR(INDEX($S$5:$S$104,MATCH($A49,$Q$5:$Q$104,0)),"-"))</f>
        <v/>
      </c>
      <c r="L49" s="53" t="str">
        <f aca="false">IF($A49="","",IFERROR(INDEX($T$5:$T$104,MATCH($A49,$Q$5:$Q$104,0)),"-"))</f>
        <v/>
      </c>
      <c r="M49" s="47" t="str">
        <f aca="false">IF($A49="","",IFERROR(INDEX($U$5:$U$104,MATCH($A49,$Q$5:$Q$104,0)),"-"))</f>
        <v/>
      </c>
      <c r="N49" s="53" t="str">
        <f aca="false">IF($A49="","",IF(ISNUMBER(L49),L49-E49,"-"))</f>
        <v/>
      </c>
      <c r="Q49" s="50"/>
      <c r="R49" s="51"/>
      <c r="S49" s="62"/>
      <c r="T49" s="50"/>
      <c r="U49" s="38"/>
    </row>
    <row r="50" customFormat="false" ht="15" hidden="false" customHeight="false" outlineLevel="0" collapsed="false">
      <c r="A50" s="47" t="str">
        <f aca="false">IFERROR(INDEX('Animal Register'!$A:$A,MATCH(46,'Animal Register'!$U:$U,0)),"")</f>
        <v/>
      </c>
      <c r="B50" s="47" t="str">
        <f aca="false">IF($A50="","",INDEX('Animal Register'!$C:$C,MATCH($A50,'Animal Register'!$A:$A,0)))</f>
        <v/>
      </c>
      <c r="C50" s="52" t="str">
        <f aca="false">IF($A50="","",INDEX('Animal Register'!$K:$K,MATCH($A50,'Animal Register'!$A:$A,0)))</f>
        <v/>
      </c>
      <c r="D50" s="53" t="str">
        <f aca="false">IF($A50="","",INDEX('Animal Register'!$I:$I,MATCH($A50,'Animal Register'!$A:$A,0)))</f>
        <v/>
      </c>
      <c r="E50" s="53" t="str">
        <f aca="false">IF($A50="","",INDEX('Animal Register'!$J:$J,MATCH($A50,'Animal Register'!$A:$A,0)))</f>
        <v/>
      </c>
      <c r="F50" s="53" t="str">
        <f aca="false">IF($A50="","",INDEX('Animal Register'!$S:$S,MATCH($A50,'Animal Register'!$A:$A,0)))</f>
        <v/>
      </c>
      <c r="G50" s="47" t="str">
        <f aca="false">IF($A50="","",INDEX('Animal Register'!$O:$O,MATCH($A50,'Animal Register'!$A:$A,0)))</f>
        <v/>
      </c>
      <c r="H50" s="52" t="str">
        <f aca="false">IF($A50="","",INDEX('Animal Register'!$N:$N,MATCH($A50,'Animal Register'!$A:$A,0)))</f>
        <v/>
      </c>
      <c r="I50" s="47" t="str">
        <f aca="false">IF($A50="","",INDEX('Animal Register'!$P:$P,MATCH($A50,'Animal Register'!$A:$A,0)))</f>
        <v/>
      </c>
      <c r="J50" s="52" t="str">
        <f aca="false">IF($A50="","",IFERROR(INDEX($R$5:$R$104,MATCH($A50,$Q$5:$Q$104,0)),"-"))</f>
        <v/>
      </c>
      <c r="K50" s="53" t="str">
        <f aca="false">IF($A50="","",IFERROR(INDEX($S$5:$S$104,MATCH($A50,$Q$5:$Q$104,0)),"-"))</f>
        <v/>
      </c>
      <c r="L50" s="53" t="str">
        <f aca="false">IF($A50="","",IFERROR(INDEX($T$5:$T$104,MATCH($A50,$Q$5:$Q$104,0)),"-"))</f>
        <v/>
      </c>
      <c r="M50" s="47" t="str">
        <f aca="false">IF($A50="","",IFERROR(INDEX($U$5:$U$104,MATCH($A50,$Q$5:$Q$104,0)),"-"))</f>
        <v/>
      </c>
      <c r="N50" s="53" t="str">
        <f aca="false">IF($A50="","",IF(ISNUMBER(L50),L50-E50,"-"))</f>
        <v/>
      </c>
      <c r="Q50" s="50"/>
      <c r="R50" s="51"/>
      <c r="S50" s="62"/>
      <c r="T50" s="50"/>
      <c r="U50" s="38"/>
    </row>
    <row r="51" customFormat="false" ht="15" hidden="false" customHeight="false" outlineLevel="0" collapsed="false">
      <c r="A51" s="47" t="str">
        <f aca="false">IFERROR(INDEX('Animal Register'!$A:$A,MATCH(47,'Animal Register'!$U:$U,0)),"")</f>
        <v/>
      </c>
      <c r="B51" s="47" t="str">
        <f aca="false">IF($A51="","",INDEX('Animal Register'!$C:$C,MATCH($A51,'Animal Register'!$A:$A,0)))</f>
        <v/>
      </c>
      <c r="C51" s="52" t="str">
        <f aca="false">IF($A51="","",INDEX('Animal Register'!$K:$K,MATCH($A51,'Animal Register'!$A:$A,0)))</f>
        <v/>
      </c>
      <c r="D51" s="53" t="str">
        <f aca="false">IF($A51="","",INDEX('Animal Register'!$I:$I,MATCH($A51,'Animal Register'!$A:$A,0)))</f>
        <v/>
      </c>
      <c r="E51" s="53" t="str">
        <f aca="false">IF($A51="","",INDEX('Animal Register'!$J:$J,MATCH($A51,'Animal Register'!$A:$A,0)))</f>
        <v/>
      </c>
      <c r="F51" s="53" t="str">
        <f aca="false">IF($A51="","",INDEX('Animal Register'!$S:$S,MATCH($A51,'Animal Register'!$A:$A,0)))</f>
        <v/>
      </c>
      <c r="G51" s="47" t="str">
        <f aca="false">IF($A51="","",INDEX('Animal Register'!$O:$O,MATCH($A51,'Animal Register'!$A:$A,0)))</f>
        <v/>
      </c>
      <c r="H51" s="52" t="str">
        <f aca="false">IF($A51="","",INDEX('Animal Register'!$N:$N,MATCH($A51,'Animal Register'!$A:$A,0)))</f>
        <v/>
      </c>
      <c r="I51" s="47" t="str">
        <f aca="false">IF($A51="","",INDEX('Animal Register'!$P:$P,MATCH($A51,'Animal Register'!$A:$A,0)))</f>
        <v/>
      </c>
      <c r="J51" s="52" t="str">
        <f aca="false">IF($A51="","",IFERROR(INDEX($R$5:$R$104,MATCH($A51,$Q$5:$Q$104,0)),"-"))</f>
        <v/>
      </c>
      <c r="K51" s="53" t="str">
        <f aca="false">IF($A51="","",IFERROR(INDEX($S$5:$S$104,MATCH($A51,$Q$5:$Q$104,0)),"-"))</f>
        <v/>
      </c>
      <c r="L51" s="53" t="str">
        <f aca="false">IF($A51="","",IFERROR(INDEX($T$5:$T$104,MATCH($A51,$Q$5:$Q$104,0)),"-"))</f>
        <v/>
      </c>
      <c r="M51" s="47" t="str">
        <f aca="false">IF($A51="","",IFERROR(INDEX($U$5:$U$104,MATCH($A51,$Q$5:$Q$104,0)),"-"))</f>
        <v/>
      </c>
      <c r="N51" s="53" t="str">
        <f aca="false">IF($A51="","",IF(ISNUMBER(L51),L51-E51,"-"))</f>
        <v/>
      </c>
      <c r="Q51" s="50"/>
      <c r="R51" s="51"/>
      <c r="S51" s="62"/>
      <c r="T51" s="50"/>
      <c r="U51" s="38"/>
    </row>
    <row r="52" customFormat="false" ht="15" hidden="false" customHeight="false" outlineLevel="0" collapsed="false">
      <c r="A52" s="47" t="str">
        <f aca="false">IFERROR(INDEX('Animal Register'!$A:$A,MATCH(48,'Animal Register'!$U:$U,0)),"")</f>
        <v/>
      </c>
      <c r="B52" s="47" t="str">
        <f aca="false">IF($A52="","",INDEX('Animal Register'!$C:$C,MATCH($A52,'Animal Register'!$A:$A,0)))</f>
        <v/>
      </c>
      <c r="C52" s="52" t="str">
        <f aca="false">IF($A52="","",INDEX('Animal Register'!$K:$K,MATCH($A52,'Animal Register'!$A:$A,0)))</f>
        <v/>
      </c>
      <c r="D52" s="53" t="str">
        <f aca="false">IF($A52="","",INDEX('Animal Register'!$I:$I,MATCH($A52,'Animal Register'!$A:$A,0)))</f>
        <v/>
      </c>
      <c r="E52" s="53" t="str">
        <f aca="false">IF($A52="","",INDEX('Animal Register'!$J:$J,MATCH($A52,'Animal Register'!$A:$A,0)))</f>
        <v/>
      </c>
      <c r="F52" s="53" t="str">
        <f aca="false">IF($A52="","",INDEX('Animal Register'!$S:$S,MATCH($A52,'Animal Register'!$A:$A,0)))</f>
        <v/>
      </c>
      <c r="G52" s="47" t="str">
        <f aca="false">IF($A52="","",INDEX('Animal Register'!$O:$O,MATCH($A52,'Animal Register'!$A:$A,0)))</f>
        <v/>
      </c>
      <c r="H52" s="52" t="str">
        <f aca="false">IF($A52="","",INDEX('Animal Register'!$N:$N,MATCH($A52,'Animal Register'!$A:$A,0)))</f>
        <v/>
      </c>
      <c r="I52" s="47" t="str">
        <f aca="false">IF($A52="","",INDEX('Animal Register'!$P:$P,MATCH($A52,'Animal Register'!$A:$A,0)))</f>
        <v/>
      </c>
      <c r="J52" s="52" t="str">
        <f aca="false">IF($A52="","",IFERROR(INDEX($R$5:$R$104,MATCH($A52,$Q$5:$Q$104,0)),"-"))</f>
        <v/>
      </c>
      <c r="K52" s="53" t="str">
        <f aca="false">IF($A52="","",IFERROR(INDEX($S$5:$S$104,MATCH($A52,$Q$5:$Q$104,0)),"-"))</f>
        <v/>
      </c>
      <c r="L52" s="53" t="str">
        <f aca="false">IF($A52="","",IFERROR(INDEX($T$5:$T$104,MATCH($A52,$Q$5:$Q$104,0)),"-"))</f>
        <v/>
      </c>
      <c r="M52" s="47" t="str">
        <f aca="false">IF($A52="","",IFERROR(INDEX($U$5:$U$104,MATCH($A52,$Q$5:$Q$104,0)),"-"))</f>
        <v/>
      </c>
      <c r="N52" s="53" t="str">
        <f aca="false">IF($A52="","",IF(ISNUMBER(L52),L52-E52,"-"))</f>
        <v/>
      </c>
      <c r="Q52" s="50"/>
      <c r="R52" s="51"/>
      <c r="S52" s="62"/>
      <c r="T52" s="50"/>
      <c r="U52" s="38"/>
    </row>
    <row r="53" customFormat="false" ht="15" hidden="false" customHeight="false" outlineLevel="0" collapsed="false">
      <c r="A53" s="47" t="str">
        <f aca="false">IFERROR(INDEX('Animal Register'!$A:$A,MATCH(49,'Animal Register'!$U:$U,0)),"")</f>
        <v/>
      </c>
      <c r="B53" s="47" t="str">
        <f aca="false">IF($A53="","",INDEX('Animal Register'!$C:$C,MATCH($A53,'Animal Register'!$A:$A,0)))</f>
        <v/>
      </c>
      <c r="C53" s="52" t="str">
        <f aca="false">IF($A53="","",INDEX('Animal Register'!$K:$K,MATCH($A53,'Animal Register'!$A:$A,0)))</f>
        <v/>
      </c>
      <c r="D53" s="53" t="str">
        <f aca="false">IF($A53="","",INDEX('Animal Register'!$I:$I,MATCH($A53,'Animal Register'!$A:$A,0)))</f>
        <v/>
      </c>
      <c r="E53" s="53" t="str">
        <f aca="false">IF($A53="","",INDEX('Animal Register'!$J:$J,MATCH($A53,'Animal Register'!$A:$A,0)))</f>
        <v/>
      </c>
      <c r="F53" s="53" t="str">
        <f aca="false">IF($A53="","",INDEX('Animal Register'!$S:$S,MATCH($A53,'Animal Register'!$A:$A,0)))</f>
        <v/>
      </c>
      <c r="G53" s="47" t="str">
        <f aca="false">IF($A53="","",INDEX('Animal Register'!$O:$O,MATCH($A53,'Animal Register'!$A:$A,0)))</f>
        <v/>
      </c>
      <c r="H53" s="52" t="str">
        <f aca="false">IF($A53="","",INDEX('Animal Register'!$N:$N,MATCH($A53,'Animal Register'!$A:$A,0)))</f>
        <v/>
      </c>
      <c r="I53" s="47" t="str">
        <f aca="false">IF($A53="","",INDEX('Animal Register'!$P:$P,MATCH($A53,'Animal Register'!$A:$A,0)))</f>
        <v/>
      </c>
      <c r="J53" s="52" t="str">
        <f aca="false">IF($A53="","",IFERROR(INDEX($R$5:$R$104,MATCH($A53,$Q$5:$Q$104,0)),"-"))</f>
        <v/>
      </c>
      <c r="K53" s="53" t="str">
        <f aca="false">IF($A53="","",IFERROR(INDEX($S$5:$S$104,MATCH($A53,$Q$5:$Q$104,0)),"-"))</f>
        <v/>
      </c>
      <c r="L53" s="53" t="str">
        <f aca="false">IF($A53="","",IFERROR(INDEX($T$5:$T$104,MATCH($A53,$Q$5:$Q$104,0)),"-"))</f>
        <v/>
      </c>
      <c r="M53" s="47" t="str">
        <f aca="false">IF($A53="","",IFERROR(INDEX($U$5:$U$104,MATCH($A53,$Q$5:$Q$104,0)),"-"))</f>
        <v/>
      </c>
      <c r="N53" s="53" t="str">
        <f aca="false">IF($A53="","",IF(ISNUMBER(L53),L53-E53,"-"))</f>
        <v/>
      </c>
      <c r="Q53" s="50"/>
      <c r="R53" s="51"/>
      <c r="S53" s="62"/>
      <c r="T53" s="50"/>
      <c r="U53" s="38"/>
    </row>
    <row r="54" customFormat="false" ht="15" hidden="false" customHeight="false" outlineLevel="0" collapsed="false">
      <c r="A54" s="47" t="str">
        <f aca="false">IFERROR(INDEX('Animal Register'!$A:$A,MATCH(50,'Animal Register'!$U:$U,0)),"")</f>
        <v/>
      </c>
      <c r="B54" s="47" t="str">
        <f aca="false">IF($A54="","",INDEX('Animal Register'!$C:$C,MATCH($A54,'Animal Register'!$A:$A,0)))</f>
        <v/>
      </c>
      <c r="C54" s="52" t="str">
        <f aca="false">IF($A54="","",INDEX('Animal Register'!$K:$K,MATCH($A54,'Animal Register'!$A:$A,0)))</f>
        <v/>
      </c>
      <c r="D54" s="53" t="str">
        <f aca="false">IF($A54="","",INDEX('Animal Register'!$I:$I,MATCH($A54,'Animal Register'!$A:$A,0)))</f>
        <v/>
      </c>
      <c r="E54" s="53" t="str">
        <f aca="false">IF($A54="","",INDEX('Animal Register'!$J:$J,MATCH($A54,'Animal Register'!$A:$A,0)))</f>
        <v/>
      </c>
      <c r="F54" s="53" t="str">
        <f aca="false">IF($A54="","",INDEX('Animal Register'!$S:$S,MATCH($A54,'Animal Register'!$A:$A,0)))</f>
        <v/>
      </c>
      <c r="G54" s="47" t="str">
        <f aca="false">IF($A54="","",INDEX('Animal Register'!$O:$O,MATCH($A54,'Animal Register'!$A:$A,0)))</f>
        <v/>
      </c>
      <c r="H54" s="52" t="str">
        <f aca="false">IF($A54="","",INDEX('Animal Register'!$N:$N,MATCH($A54,'Animal Register'!$A:$A,0)))</f>
        <v/>
      </c>
      <c r="I54" s="47" t="str">
        <f aca="false">IF($A54="","",INDEX('Animal Register'!$P:$P,MATCH($A54,'Animal Register'!$A:$A,0)))</f>
        <v/>
      </c>
      <c r="J54" s="52" t="str">
        <f aca="false">IF($A54="","",IFERROR(INDEX($R$5:$R$104,MATCH($A54,$Q$5:$Q$104,0)),"-"))</f>
        <v/>
      </c>
      <c r="K54" s="53" t="str">
        <f aca="false">IF($A54="","",IFERROR(INDEX($S$5:$S$104,MATCH($A54,$Q$5:$Q$104,0)),"-"))</f>
        <v/>
      </c>
      <c r="L54" s="53" t="str">
        <f aca="false">IF($A54="","",IFERROR(INDEX($T$5:$T$104,MATCH($A54,$Q$5:$Q$104,0)),"-"))</f>
        <v/>
      </c>
      <c r="M54" s="47" t="str">
        <f aca="false">IF($A54="","",IFERROR(INDEX($U$5:$U$104,MATCH($A54,$Q$5:$Q$104,0)),"-"))</f>
        <v/>
      </c>
      <c r="N54" s="53" t="str">
        <f aca="false">IF($A54="","",IF(ISNUMBER(L54),L54-E54,"-"))</f>
        <v/>
      </c>
      <c r="Q54" s="50"/>
      <c r="R54" s="51"/>
      <c r="S54" s="62"/>
      <c r="T54" s="50"/>
      <c r="U54" s="38"/>
    </row>
    <row r="55" customFormat="false" ht="15" hidden="false" customHeight="false" outlineLevel="0" collapsed="false">
      <c r="A55" s="47" t="str">
        <f aca="false">IFERROR(INDEX('Animal Register'!$A:$A,MATCH(51,'Animal Register'!$U:$U,0)),"")</f>
        <v/>
      </c>
      <c r="B55" s="47" t="str">
        <f aca="false">IF($A55="","",INDEX('Animal Register'!$C:$C,MATCH($A55,'Animal Register'!$A:$A,0)))</f>
        <v/>
      </c>
      <c r="C55" s="52" t="str">
        <f aca="false">IF($A55="","",INDEX('Animal Register'!$K:$K,MATCH($A55,'Animal Register'!$A:$A,0)))</f>
        <v/>
      </c>
      <c r="D55" s="53" t="str">
        <f aca="false">IF($A55="","",INDEX('Animal Register'!$I:$I,MATCH($A55,'Animal Register'!$A:$A,0)))</f>
        <v/>
      </c>
      <c r="E55" s="53" t="str">
        <f aca="false">IF($A55="","",INDEX('Animal Register'!$J:$J,MATCH($A55,'Animal Register'!$A:$A,0)))</f>
        <v/>
      </c>
      <c r="F55" s="53" t="str">
        <f aca="false">IF($A55="","",INDEX('Animal Register'!$S:$S,MATCH($A55,'Animal Register'!$A:$A,0)))</f>
        <v/>
      </c>
      <c r="G55" s="47" t="str">
        <f aca="false">IF($A55="","",INDEX('Animal Register'!$O:$O,MATCH($A55,'Animal Register'!$A:$A,0)))</f>
        <v/>
      </c>
      <c r="H55" s="52" t="str">
        <f aca="false">IF($A55="","",INDEX('Animal Register'!$N:$N,MATCH($A55,'Animal Register'!$A:$A,0)))</f>
        <v/>
      </c>
      <c r="I55" s="47" t="str">
        <f aca="false">IF($A55="","",INDEX('Animal Register'!$P:$P,MATCH($A55,'Animal Register'!$A:$A,0)))</f>
        <v/>
      </c>
      <c r="J55" s="52" t="str">
        <f aca="false">IF($A55="","",IFERROR(INDEX($R$5:$R$104,MATCH($A55,$Q$5:$Q$104,0)),"-"))</f>
        <v/>
      </c>
      <c r="K55" s="53" t="str">
        <f aca="false">IF($A55="","",IFERROR(INDEX($S$5:$S$104,MATCH($A55,$Q$5:$Q$104,0)),"-"))</f>
        <v/>
      </c>
      <c r="L55" s="53" t="str">
        <f aca="false">IF($A55="","",IFERROR(INDEX($T$5:$T$104,MATCH($A55,$Q$5:$Q$104,0)),"-"))</f>
        <v/>
      </c>
      <c r="M55" s="47" t="str">
        <f aca="false">IF($A55="","",IFERROR(INDEX($U$5:$U$104,MATCH($A55,$Q$5:$Q$104,0)),"-"))</f>
        <v/>
      </c>
      <c r="N55" s="53" t="str">
        <f aca="false">IF($A55="","",IF(ISNUMBER(L55),L55-E55,"-"))</f>
        <v/>
      </c>
      <c r="Q55" s="50"/>
      <c r="R55" s="51"/>
      <c r="S55" s="62"/>
      <c r="T55" s="50"/>
      <c r="U55" s="38"/>
    </row>
    <row r="56" customFormat="false" ht="15" hidden="false" customHeight="false" outlineLevel="0" collapsed="false">
      <c r="A56" s="47" t="str">
        <f aca="false">IFERROR(INDEX('Animal Register'!$A:$A,MATCH(52,'Animal Register'!$U:$U,0)),"")</f>
        <v/>
      </c>
      <c r="B56" s="47" t="str">
        <f aca="false">IF($A56="","",INDEX('Animal Register'!$C:$C,MATCH($A56,'Animal Register'!$A:$A,0)))</f>
        <v/>
      </c>
      <c r="C56" s="52" t="str">
        <f aca="false">IF($A56="","",INDEX('Animal Register'!$K:$K,MATCH($A56,'Animal Register'!$A:$A,0)))</f>
        <v/>
      </c>
      <c r="D56" s="53" t="str">
        <f aca="false">IF($A56="","",INDEX('Animal Register'!$I:$I,MATCH($A56,'Animal Register'!$A:$A,0)))</f>
        <v/>
      </c>
      <c r="E56" s="53" t="str">
        <f aca="false">IF($A56="","",INDEX('Animal Register'!$J:$J,MATCH($A56,'Animal Register'!$A:$A,0)))</f>
        <v/>
      </c>
      <c r="F56" s="53" t="str">
        <f aca="false">IF($A56="","",INDEX('Animal Register'!$S:$S,MATCH($A56,'Animal Register'!$A:$A,0)))</f>
        <v/>
      </c>
      <c r="G56" s="47" t="str">
        <f aca="false">IF($A56="","",INDEX('Animal Register'!$O:$O,MATCH($A56,'Animal Register'!$A:$A,0)))</f>
        <v/>
      </c>
      <c r="H56" s="52" t="str">
        <f aca="false">IF($A56="","",INDEX('Animal Register'!$N:$N,MATCH($A56,'Animal Register'!$A:$A,0)))</f>
        <v/>
      </c>
      <c r="I56" s="47" t="str">
        <f aca="false">IF($A56="","",INDEX('Animal Register'!$P:$P,MATCH($A56,'Animal Register'!$A:$A,0)))</f>
        <v/>
      </c>
      <c r="J56" s="52" t="str">
        <f aca="false">IF($A56="","",IFERROR(INDEX($R$5:$R$104,MATCH($A56,$Q$5:$Q$104,0)),"-"))</f>
        <v/>
      </c>
      <c r="K56" s="53" t="str">
        <f aca="false">IF($A56="","",IFERROR(INDEX($S$5:$S$104,MATCH($A56,$Q$5:$Q$104,0)),"-"))</f>
        <v/>
      </c>
      <c r="L56" s="53" t="str">
        <f aca="false">IF($A56="","",IFERROR(INDEX($T$5:$T$104,MATCH($A56,$Q$5:$Q$104,0)),"-"))</f>
        <v/>
      </c>
      <c r="M56" s="47" t="str">
        <f aca="false">IF($A56="","",IFERROR(INDEX($U$5:$U$104,MATCH($A56,$Q$5:$Q$104,0)),"-"))</f>
        <v/>
      </c>
      <c r="N56" s="53" t="str">
        <f aca="false">IF($A56="","",IF(ISNUMBER(L56),L56-E56,"-"))</f>
        <v/>
      </c>
      <c r="Q56" s="50"/>
      <c r="R56" s="51"/>
      <c r="S56" s="62"/>
      <c r="T56" s="50"/>
      <c r="U56" s="38"/>
    </row>
    <row r="57" customFormat="false" ht="15" hidden="false" customHeight="false" outlineLevel="0" collapsed="false">
      <c r="A57" s="47" t="str">
        <f aca="false">IFERROR(INDEX('Animal Register'!$A:$A,MATCH(53,'Animal Register'!$U:$U,0)),"")</f>
        <v/>
      </c>
      <c r="B57" s="47" t="str">
        <f aca="false">IF($A57="","",INDEX('Animal Register'!$C:$C,MATCH($A57,'Animal Register'!$A:$A,0)))</f>
        <v/>
      </c>
      <c r="C57" s="52" t="str">
        <f aca="false">IF($A57="","",INDEX('Animal Register'!$K:$K,MATCH($A57,'Animal Register'!$A:$A,0)))</f>
        <v/>
      </c>
      <c r="D57" s="53" t="str">
        <f aca="false">IF($A57="","",INDEX('Animal Register'!$I:$I,MATCH($A57,'Animal Register'!$A:$A,0)))</f>
        <v/>
      </c>
      <c r="E57" s="53" t="str">
        <f aca="false">IF($A57="","",INDEX('Animal Register'!$J:$J,MATCH($A57,'Animal Register'!$A:$A,0)))</f>
        <v/>
      </c>
      <c r="F57" s="53" t="str">
        <f aca="false">IF($A57="","",INDEX('Animal Register'!$S:$S,MATCH($A57,'Animal Register'!$A:$A,0)))</f>
        <v/>
      </c>
      <c r="G57" s="47" t="str">
        <f aca="false">IF($A57="","",INDEX('Animal Register'!$O:$O,MATCH($A57,'Animal Register'!$A:$A,0)))</f>
        <v/>
      </c>
      <c r="H57" s="52" t="str">
        <f aca="false">IF($A57="","",INDEX('Animal Register'!$N:$N,MATCH($A57,'Animal Register'!$A:$A,0)))</f>
        <v/>
      </c>
      <c r="I57" s="47" t="str">
        <f aca="false">IF($A57="","",INDEX('Animal Register'!$P:$P,MATCH($A57,'Animal Register'!$A:$A,0)))</f>
        <v/>
      </c>
      <c r="J57" s="52" t="str">
        <f aca="false">IF($A57="","",IFERROR(INDEX($R$5:$R$104,MATCH($A57,$Q$5:$Q$104,0)),"-"))</f>
        <v/>
      </c>
      <c r="K57" s="53" t="str">
        <f aca="false">IF($A57="","",IFERROR(INDEX($S$5:$S$104,MATCH($A57,$Q$5:$Q$104,0)),"-"))</f>
        <v/>
      </c>
      <c r="L57" s="53" t="str">
        <f aca="false">IF($A57="","",IFERROR(INDEX($T$5:$T$104,MATCH($A57,$Q$5:$Q$104,0)),"-"))</f>
        <v/>
      </c>
      <c r="M57" s="47" t="str">
        <f aca="false">IF($A57="","",IFERROR(INDEX($U$5:$U$104,MATCH($A57,$Q$5:$Q$104,0)),"-"))</f>
        <v/>
      </c>
      <c r="N57" s="53" t="str">
        <f aca="false">IF($A57="","",IF(ISNUMBER(L57),L57-E57,"-"))</f>
        <v/>
      </c>
      <c r="Q57" s="50"/>
      <c r="R57" s="51"/>
      <c r="S57" s="62"/>
      <c r="T57" s="50"/>
      <c r="U57" s="38"/>
    </row>
    <row r="58" customFormat="false" ht="15" hidden="false" customHeight="false" outlineLevel="0" collapsed="false">
      <c r="A58" s="47" t="str">
        <f aca="false">IFERROR(INDEX('Animal Register'!$A:$A,MATCH(54,'Animal Register'!$U:$U,0)),"")</f>
        <v/>
      </c>
      <c r="B58" s="47" t="str">
        <f aca="false">IF($A58="","",INDEX('Animal Register'!$C:$C,MATCH($A58,'Animal Register'!$A:$A,0)))</f>
        <v/>
      </c>
      <c r="C58" s="52" t="str">
        <f aca="false">IF($A58="","",INDEX('Animal Register'!$K:$K,MATCH($A58,'Animal Register'!$A:$A,0)))</f>
        <v/>
      </c>
      <c r="D58" s="53" t="str">
        <f aca="false">IF($A58="","",INDEX('Animal Register'!$I:$I,MATCH($A58,'Animal Register'!$A:$A,0)))</f>
        <v/>
      </c>
      <c r="E58" s="53" t="str">
        <f aca="false">IF($A58="","",INDEX('Animal Register'!$J:$J,MATCH($A58,'Animal Register'!$A:$A,0)))</f>
        <v/>
      </c>
      <c r="F58" s="53" t="str">
        <f aca="false">IF($A58="","",INDEX('Animal Register'!$S:$S,MATCH($A58,'Animal Register'!$A:$A,0)))</f>
        <v/>
      </c>
      <c r="G58" s="47" t="str">
        <f aca="false">IF($A58="","",INDEX('Animal Register'!$O:$O,MATCH($A58,'Animal Register'!$A:$A,0)))</f>
        <v/>
      </c>
      <c r="H58" s="52" t="str">
        <f aca="false">IF($A58="","",INDEX('Animal Register'!$N:$N,MATCH($A58,'Animal Register'!$A:$A,0)))</f>
        <v/>
      </c>
      <c r="I58" s="47" t="str">
        <f aca="false">IF($A58="","",INDEX('Animal Register'!$P:$P,MATCH($A58,'Animal Register'!$A:$A,0)))</f>
        <v/>
      </c>
      <c r="J58" s="52" t="str">
        <f aca="false">IF($A58="","",IFERROR(INDEX($R$5:$R$104,MATCH($A58,$Q$5:$Q$104,0)),"-"))</f>
        <v/>
      </c>
      <c r="K58" s="53" t="str">
        <f aca="false">IF($A58="","",IFERROR(INDEX($S$5:$S$104,MATCH($A58,$Q$5:$Q$104,0)),"-"))</f>
        <v/>
      </c>
      <c r="L58" s="53" t="str">
        <f aca="false">IF($A58="","",IFERROR(INDEX($T$5:$T$104,MATCH($A58,$Q$5:$Q$104,0)),"-"))</f>
        <v/>
      </c>
      <c r="M58" s="47" t="str">
        <f aca="false">IF($A58="","",IFERROR(INDEX($U$5:$U$104,MATCH($A58,$Q$5:$Q$104,0)),"-"))</f>
        <v/>
      </c>
      <c r="N58" s="53" t="str">
        <f aca="false">IF($A58="","",IF(ISNUMBER(L58),L58-E58,"-"))</f>
        <v/>
      </c>
      <c r="Q58" s="50"/>
      <c r="R58" s="51"/>
      <c r="S58" s="62"/>
      <c r="T58" s="50"/>
      <c r="U58" s="38"/>
    </row>
    <row r="59" customFormat="false" ht="15" hidden="false" customHeight="false" outlineLevel="0" collapsed="false">
      <c r="A59" s="47" t="str">
        <f aca="false">IFERROR(INDEX('Animal Register'!$A:$A,MATCH(55,'Animal Register'!$U:$U,0)),"")</f>
        <v/>
      </c>
      <c r="B59" s="47" t="str">
        <f aca="false">IF($A59="","",INDEX('Animal Register'!$C:$C,MATCH($A59,'Animal Register'!$A:$A,0)))</f>
        <v/>
      </c>
      <c r="C59" s="52" t="str">
        <f aca="false">IF($A59="","",INDEX('Animal Register'!$K:$K,MATCH($A59,'Animal Register'!$A:$A,0)))</f>
        <v/>
      </c>
      <c r="D59" s="53" t="str">
        <f aca="false">IF($A59="","",INDEX('Animal Register'!$I:$I,MATCH($A59,'Animal Register'!$A:$A,0)))</f>
        <v/>
      </c>
      <c r="E59" s="53" t="str">
        <f aca="false">IF($A59="","",INDEX('Animal Register'!$J:$J,MATCH($A59,'Animal Register'!$A:$A,0)))</f>
        <v/>
      </c>
      <c r="F59" s="53" t="str">
        <f aca="false">IF($A59="","",INDEX('Animal Register'!$S:$S,MATCH($A59,'Animal Register'!$A:$A,0)))</f>
        <v/>
      </c>
      <c r="G59" s="47" t="str">
        <f aca="false">IF($A59="","",INDEX('Animal Register'!$O:$O,MATCH($A59,'Animal Register'!$A:$A,0)))</f>
        <v/>
      </c>
      <c r="H59" s="52" t="str">
        <f aca="false">IF($A59="","",INDEX('Animal Register'!$N:$N,MATCH($A59,'Animal Register'!$A:$A,0)))</f>
        <v/>
      </c>
      <c r="I59" s="47" t="str">
        <f aca="false">IF($A59="","",INDEX('Animal Register'!$P:$P,MATCH($A59,'Animal Register'!$A:$A,0)))</f>
        <v/>
      </c>
      <c r="J59" s="52" t="str">
        <f aca="false">IF($A59="","",IFERROR(INDEX($R$5:$R$104,MATCH($A59,$Q$5:$Q$104,0)),"-"))</f>
        <v/>
      </c>
      <c r="K59" s="53" t="str">
        <f aca="false">IF($A59="","",IFERROR(INDEX($S$5:$S$104,MATCH($A59,$Q$5:$Q$104,0)),"-"))</f>
        <v/>
      </c>
      <c r="L59" s="53" t="str">
        <f aca="false">IF($A59="","",IFERROR(INDEX($T$5:$T$104,MATCH($A59,$Q$5:$Q$104,0)),"-"))</f>
        <v/>
      </c>
      <c r="M59" s="47" t="str">
        <f aca="false">IF($A59="","",IFERROR(INDEX($U$5:$U$104,MATCH($A59,$Q$5:$Q$104,0)),"-"))</f>
        <v/>
      </c>
      <c r="N59" s="53" t="str">
        <f aca="false">IF($A59="","",IF(ISNUMBER(L59),L59-E59,"-"))</f>
        <v/>
      </c>
      <c r="Q59" s="50"/>
      <c r="R59" s="51"/>
      <c r="S59" s="62"/>
      <c r="T59" s="50"/>
      <c r="U59" s="38"/>
    </row>
    <row r="60" customFormat="false" ht="15" hidden="false" customHeight="false" outlineLevel="0" collapsed="false">
      <c r="A60" s="47" t="str">
        <f aca="false">IFERROR(INDEX('Animal Register'!$A:$A,MATCH(56,'Animal Register'!$U:$U,0)),"")</f>
        <v/>
      </c>
      <c r="B60" s="47" t="str">
        <f aca="false">IF($A60="","",INDEX('Animal Register'!$C:$C,MATCH($A60,'Animal Register'!$A:$A,0)))</f>
        <v/>
      </c>
      <c r="C60" s="52" t="str">
        <f aca="false">IF($A60="","",INDEX('Animal Register'!$K:$K,MATCH($A60,'Animal Register'!$A:$A,0)))</f>
        <v/>
      </c>
      <c r="D60" s="53" t="str">
        <f aca="false">IF($A60="","",INDEX('Animal Register'!$I:$I,MATCH($A60,'Animal Register'!$A:$A,0)))</f>
        <v/>
      </c>
      <c r="E60" s="53" t="str">
        <f aca="false">IF($A60="","",INDEX('Animal Register'!$J:$J,MATCH($A60,'Animal Register'!$A:$A,0)))</f>
        <v/>
      </c>
      <c r="F60" s="53" t="str">
        <f aca="false">IF($A60="","",INDEX('Animal Register'!$S:$S,MATCH($A60,'Animal Register'!$A:$A,0)))</f>
        <v/>
      </c>
      <c r="G60" s="47" t="str">
        <f aca="false">IF($A60="","",INDEX('Animal Register'!$O:$O,MATCH($A60,'Animal Register'!$A:$A,0)))</f>
        <v/>
      </c>
      <c r="H60" s="52" t="str">
        <f aca="false">IF($A60="","",INDEX('Animal Register'!$N:$N,MATCH($A60,'Animal Register'!$A:$A,0)))</f>
        <v/>
      </c>
      <c r="I60" s="47" t="str">
        <f aca="false">IF($A60="","",INDEX('Animal Register'!$P:$P,MATCH($A60,'Animal Register'!$A:$A,0)))</f>
        <v/>
      </c>
      <c r="J60" s="52" t="str">
        <f aca="false">IF($A60="","",IFERROR(INDEX($R$5:$R$104,MATCH($A60,$Q$5:$Q$104,0)),"-"))</f>
        <v/>
      </c>
      <c r="K60" s="53" t="str">
        <f aca="false">IF($A60="","",IFERROR(INDEX($S$5:$S$104,MATCH($A60,$Q$5:$Q$104,0)),"-"))</f>
        <v/>
      </c>
      <c r="L60" s="53" t="str">
        <f aca="false">IF($A60="","",IFERROR(INDEX($T$5:$T$104,MATCH($A60,$Q$5:$Q$104,0)),"-"))</f>
        <v/>
      </c>
      <c r="M60" s="47" t="str">
        <f aca="false">IF($A60="","",IFERROR(INDEX($U$5:$U$104,MATCH($A60,$Q$5:$Q$104,0)),"-"))</f>
        <v/>
      </c>
      <c r="N60" s="53" t="str">
        <f aca="false">IF($A60="","",IF(ISNUMBER(L60),L60-E60,"-"))</f>
        <v/>
      </c>
      <c r="Q60" s="50"/>
      <c r="R60" s="51"/>
      <c r="S60" s="62"/>
      <c r="T60" s="50"/>
      <c r="U60" s="38"/>
    </row>
    <row r="61" customFormat="false" ht="15" hidden="false" customHeight="false" outlineLevel="0" collapsed="false">
      <c r="A61" s="47" t="str">
        <f aca="false">IFERROR(INDEX('Animal Register'!$A:$A,MATCH(57,'Animal Register'!$U:$U,0)),"")</f>
        <v/>
      </c>
      <c r="B61" s="47" t="str">
        <f aca="false">IF($A61="","",INDEX('Animal Register'!$C:$C,MATCH($A61,'Animal Register'!$A:$A,0)))</f>
        <v/>
      </c>
      <c r="C61" s="52" t="str">
        <f aca="false">IF($A61="","",INDEX('Animal Register'!$K:$K,MATCH($A61,'Animal Register'!$A:$A,0)))</f>
        <v/>
      </c>
      <c r="D61" s="53" t="str">
        <f aca="false">IF($A61="","",INDEX('Animal Register'!$I:$I,MATCH($A61,'Animal Register'!$A:$A,0)))</f>
        <v/>
      </c>
      <c r="E61" s="53" t="str">
        <f aca="false">IF($A61="","",INDEX('Animal Register'!$J:$J,MATCH($A61,'Animal Register'!$A:$A,0)))</f>
        <v/>
      </c>
      <c r="F61" s="53" t="str">
        <f aca="false">IF($A61="","",INDEX('Animal Register'!$S:$S,MATCH($A61,'Animal Register'!$A:$A,0)))</f>
        <v/>
      </c>
      <c r="G61" s="47" t="str">
        <f aca="false">IF($A61="","",INDEX('Animal Register'!$O:$O,MATCH($A61,'Animal Register'!$A:$A,0)))</f>
        <v/>
      </c>
      <c r="H61" s="52" t="str">
        <f aca="false">IF($A61="","",INDEX('Animal Register'!$N:$N,MATCH($A61,'Animal Register'!$A:$A,0)))</f>
        <v/>
      </c>
      <c r="I61" s="47" t="str">
        <f aca="false">IF($A61="","",INDEX('Animal Register'!$P:$P,MATCH($A61,'Animal Register'!$A:$A,0)))</f>
        <v/>
      </c>
      <c r="J61" s="52" t="str">
        <f aca="false">IF($A61="","",IFERROR(INDEX($R$5:$R$104,MATCH($A61,$Q$5:$Q$104,0)),"-"))</f>
        <v/>
      </c>
      <c r="K61" s="53" t="str">
        <f aca="false">IF($A61="","",IFERROR(INDEX($S$5:$S$104,MATCH($A61,$Q$5:$Q$104,0)),"-"))</f>
        <v/>
      </c>
      <c r="L61" s="53" t="str">
        <f aca="false">IF($A61="","",IFERROR(INDEX($T$5:$T$104,MATCH($A61,$Q$5:$Q$104,0)),"-"))</f>
        <v/>
      </c>
      <c r="M61" s="47" t="str">
        <f aca="false">IF($A61="","",IFERROR(INDEX($U$5:$U$104,MATCH($A61,$Q$5:$Q$104,0)),"-"))</f>
        <v/>
      </c>
      <c r="N61" s="53" t="str">
        <f aca="false">IF($A61="","",IF(ISNUMBER(L61),L61-E61,"-"))</f>
        <v/>
      </c>
      <c r="Q61" s="50"/>
      <c r="R61" s="51"/>
      <c r="S61" s="62"/>
      <c r="T61" s="50"/>
      <c r="U61" s="38"/>
    </row>
    <row r="62" customFormat="false" ht="15" hidden="false" customHeight="false" outlineLevel="0" collapsed="false">
      <c r="A62" s="47" t="str">
        <f aca="false">IFERROR(INDEX('Animal Register'!$A:$A,MATCH(58,'Animal Register'!$U:$U,0)),"")</f>
        <v/>
      </c>
      <c r="B62" s="47" t="str">
        <f aca="false">IF($A62="","",INDEX('Animal Register'!$C:$C,MATCH($A62,'Animal Register'!$A:$A,0)))</f>
        <v/>
      </c>
      <c r="C62" s="52" t="str">
        <f aca="false">IF($A62="","",INDEX('Animal Register'!$K:$K,MATCH($A62,'Animal Register'!$A:$A,0)))</f>
        <v/>
      </c>
      <c r="D62" s="53" t="str">
        <f aca="false">IF($A62="","",INDEX('Animal Register'!$I:$I,MATCH($A62,'Animal Register'!$A:$A,0)))</f>
        <v/>
      </c>
      <c r="E62" s="53" t="str">
        <f aca="false">IF($A62="","",INDEX('Animal Register'!$J:$J,MATCH($A62,'Animal Register'!$A:$A,0)))</f>
        <v/>
      </c>
      <c r="F62" s="53" t="str">
        <f aca="false">IF($A62="","",INDEX('Animal Register'!$S:$S,MATCH($A62,'Animal Register'!$A:$A,0)))</f>
        <v/>
      </c>
      <c r="G62" s="47" t="str">
        <f aca="false">IF($A62="","",INDEX('Animal Register'!$O:$O,MATCH($A62,'Animal Register'!$A:$A,0)))</f>
        <v/>
      </c>
      <c r="H62" s="52" t="str">
        <f aca="false">IF($A62="","",INDEX('Animal Register'!$N:$N,MATCH($A62,'Animal Register'!$A:$A,0)))</f>
        <v/>
      </c>
      <c r="I62" s="47" t="str">
        <f aca="false">IF($A62="","",INDEX('Animal Register'!$P:$P,MATCH($A62,'Animal Register'!$A:$A,0)))</f>
        <v/>
      </c>
      <c r="J62" s="52" t="str">
        <f aca="false">IF($A62="","",IFERROR(INDEX($R$5:$R$104,MATCH($A62,$Q$5:$Q$104,0)),"-"))</f>
        <v/>
      </c>
      <c r="K62" s="53" t="str">
        <f aca="false">IF($A62="","",IFERROR(INDEX($S$5:$S$104,MATCH($A62,$Q$5:$Q$104,0)),"-"))</f>
        <v/>
      </c>
      <c r="L62" s="53" t="str">
        <f aca="false">IF($A62="","",IFERROR(INDEX($T$5:$T$104,MATCH($A62,$Q$5:$Q$104,0)),"-"))</f>
        <v/>
      </c>
      <c r="M62" s="47" t="str">
        <f aca="false">IF($A62="","",IFERROR(INDEX($U$5:$U$104,MATCH($A62,$Q$5:$Q$104,0)),"-"))</f>
        <v/>
      </c>
      <c r="N62" s="53" t="str">
        <f aca="false">IF($A62="","",IF(ISNUMBER(L62),L62-E62,"-"))</f>
        <v/>
      </c>
      <c r="Q62" s="50"/>
      <c r="R62" s="51"/>
      <c r="S62" s="62"/>
      <c r="T62" s="50"/>
      <c r="U62" s="38"/>
    </row>
    <row r="63" customFormat="false" ht="15" hidden="false" customHeight="false" outlineLevel="0" collapsed="false">
      <c r="A63" s="47" t="str">
        <f aca="false">IFERROR(INDEX('Animal Register'!$A:$A,MATCH(59,'Animal Register'!$U:$U,0)),"")</f>
        <v/>
      </c>
      <c r="B63" s="47" t="str">
        <f aca="false">IF($A63="","",INDEX('Animal Register'!$C:$C,MATCH($A63,'Animal Register'!$A:$A,0)))</f>
        <v/>
      </c>
      <c r="C63" s="52" t="str">
        <f aca="false">IF($A63="","",INDEX('Animal Register'!$K:$K,MATCH($A63,'Animal Register'!$A:$A,0)))</f>
        <v/>
      </c>
      <c r="D63" s="53" t="str">
        <f aca="false">IF($A63="","",INDEX('Animal Register'!$I:$I,MATCH($A63,'Animal Register'!$A:$A,0)))</f>
        <v/>
      </c>
      <c r="E63" s="53" t="str">
        <f aca="false">IF($A63="","",INDEX('Animal Register'!$J:$J,MATCH($A63,'Animal Register'!$A:$A,0)))</f>
        <v/>
      </c>
      <c r="F63" s="53" t="str">
        <f aca="false">IF($A63="","",INDEX('Animal Register'!$S:$S,MATCH($A63,'Animal Register'!$A:$A,0)))</f>
        <v/>
      </c>
      <c r="G63" s="47" t="str">
        <f aca="false">IF($A63="","",INDEX('Animal Register'!$O:$O,MATCH($A63,'Animal Register'!$A:$A,0)))</f>
        <v/>
      </c>
      <c r="H63" s="52" t="str">
        <f aca="false">IF($A63="","",INDEX('Animal Register'!$N:$N,MATCH($A63,'Animal Register'!$A:$A,0)))</f>
        <v/>
      </c>
      <c r="I63" s="47" t="str">
        <f aca="false">IF($A63="","",INDEX('Animal Register'!$P:$P,MATCH($A63,'Animal Register'!$A:$A,0)))</f>
        <v/>
      </c>
      <c r="J63" s="52" t="str">
        <f aca="false">IF($A63="","",IFERROR(INDEX($R$5:$R$104,MATCH($A63,$Q$5:$Q$104,0)),"-"))</f>
        <v/>
      </c>
      <c r="K63" s="53" t="str">
        <f aca="false">IF($A63="","",IFERROR(INDEX($S$5:$S$104,MATCH($A63,$Q$5:$Q$104,0)),"-"))</f>
        <v/>
      </c>
      <c r="L63" s="53" t="str">
        <f aca="false">IF($A63="","",IFERROR(INDEX($T$5:$T$104,MATCH($A63,$Q$5:$Q$104,0)),"-"))</f>
        <v/>
      </c>
      <c r="M63" s="47" t="str">
        <f aca="false">IF($A63="","",IFERROR(INDEX($U$5:$U$104,MATCH($A63,$Q$5:$Q$104,0)),"-"))</f>
        <v/>
      </c>
      <c r="N63" s="53" t="str">
        <f aca="false">IF($A63="","",IF(ISNUMBER(L63),L63-E63,"-"))</f>
        <v/>
      </c>
      <c r="Q63" s="50"/>
      <c r="R63" s="51"/>
      <c r="S63" s="62"/>
      <c r="T63" s="50"/>
      <c r="U63" s="38"/>
    </row>
    <row r="64" customFormat="false" ht="15" hidden="false" customHeight="false" outlineLevel="0" collapsed="false">
      <c r="A64" s="47" t="str">
        <f aca="false">IFERROR(INDEX('Animal Register'!$A:$A,MATCH(60,'Animal Register'!$U:$U,0)),"")</f>
        <v/>
      </c>
      <c r="B64" s="47" t="str">
        <f aca="false">IF($A64="","",INDEX('Animal Register'!$C:$C,MATCH($A64,'Animal Register'!$A:$A,0)))</f>
        <v/>
      </c>
      <c r="C64" s="52" t="str">
        <f aca="false">IF($A64="","",INDEX('Animal Register'!$K:$K,MATCH($A64,'Animal Register'!$A:$A,0)))</f>
        <v/>
      </c>
      <c r="D64" s="53" t="str">
        <f aca="false">IF($A64="","",INDEX('Animal Register'!$I:$I,MATCH($A64,'Animal Register'!$A:$A,0)))</f>
        <v/>
      </c>
      <c r="E64" s="53" t="str">
        <f aca="false">IF($A64="","",INDEX('Animal Register'!$J:$J,MATCH($A64,'Animal Register'!$A:$A,0)))</f>
        <v/>
      </c>
      <c r="F64" s="53" t="str">
        <f aca="false">IF($A64="","",INDEX('Animal Register'!$S:$S,MATCH($A64,'Animal Register'!$A:$A,0)))</f>
        <v/>
      </c>
      <c r="G64" s="47" t="str">
        <f aca="false">IF($A64="","",INDEX('Animal Register'!$O:$O,MATCH($A64,'Animal Register'!$A:$A,0)))</f>
        <v/>
      </c>
      <c r="H64" s="52" t="str">
        <f aca="false">IF($A64="","",INDEX('Animal Register'!$N:$N,MATCH($A64,'Animal Register'!$A:$A,0)))</f>
        <v/>
      </c>
      <c r="I64" s="47" t="str">
        <f aca="false">IF($A64="","",INDEX('Animal Register'!$P:$P,MATCH($A64,'Animal Register'!$A:$A,0)))</f>
        <v/>
      </c>
      <c r="J64" s="52" t="str">
        <f aca="false">IF($A64="","",IFERROR(INDEX($R$5:$R$104,MATCH($A64,$Q$5:$Q$104,0)),"-"))</f>
        <v/>
      </c>
      <c r="K64" s="53" t="str">
        <f aca="false">IF($A64="","",IFERROR(INDEX($S$5:$S$104,MATCH($A64,$Q$5:$Q$104,0)),"-"))</f>
        <v/>
      </c>
      <c r="L64" s="53" t="str">
        <f aca="false">IF($A64="","",IFERROR(INDEX($T$5:$T$104,MATCH($A64,$Q$5:$Q$104,0)),"-"))</f>
        <v/>
      </c>
      <c r="M64" s="47" t="str">
        <f aca="false">IF($A64="","",IFERROR(INDEX($U$5:$U$104,MATCH($A64,$Q$5:$Q$104,0)),"-"))</f>
        <v/>
      </c>
      <c r="N64" s="53" t="str">
        <f aca="false">IF($A64="","",IF(ISNUMBER(L64),L64-E64,"-"))</f>
        <v/>
      </c>
      <c r="Q64" s="50"/>
      <c r="R64" s="51"/>
      <c r="S64" s="62"/>
      <c r="T64" s="50"/>
      <c r="U64" s="38"/>
    </row>
    <row r="65" customFormat="false" ht="15" hidden="false" customHeight="false" outlineLevel="0" collapsed="false">
      <c r="A65" s="47" t="str">
        <f aca="false">IFERROR(INDEX('Animal Register'!$A:$A,MATCH(61,'Animal Register'!$U:$U,0)),"")</f>
        <v/>
      </c>
      <c r="B65" s="47" t="str">
        <f aca="false">IF($A65="","",INDEX('Animal Register'!$C:$C,MATCH($A65,'Animal Register'!$A:$A,0)))</f>
        <v/>
      </c>
      <c r="C65" s="52" t="str">
        <f aca="false">IF($A65="","",INDEX('Animal Register'!$K:$K,MATCH($A65,'Animal Register'!$A:$A,0)))</f>
        <v/>
      </c>
      <c r="D65" s="53" t="str">
        <f aca="false">IF($A65="","",INDEX('Animal Register'!$I:$I,MATCH($A65,'Animal Register'!$A:$A,0)))</f>
        <v/>
      </c>
      <c r="E65" s="53" t="str">
        <f aca="false">IF($A65="","",INDEX('Animal Register'!$J:$J,MATCH($A65,'Animal Register'!$A:$A,0)))</f>
        <v/>
      </c>
      <c r="F65" s="53" t="str">
        <f aca="false">IF($A65="","",INDEX('Animal Register'!$S:$S,MATCH($A65,'Animal Register'!$A:$A,0)))</f>
        <v/>
      </c>
      <c r="G65" s="47" t="str">
        <f aca="false">IF($A65="","",INDEX('Animal Register'!$O:$O,MATCH($A65,'Animal Register'!$A:$A,0)))</f>
        <v/>
      </c>
      <c r="H65" s="52" t="str">
        <f aca="false">IF($A65="","",INDEX('Animal Register'!$N:$N,MATCH($A65,'Animal Register'!$A:$A,0)))</f>
        <v/>
      </c>
      <c r="I65" s="47" t="str">
        <f aca="false">IF($A65="","",INDEX('Animal Register'!$P:$P,MATCH($A65,'Animal Register'!$A:$A,0)))</f>
        <v/>
      </c>
      <c r="J65" s="52" t="str">
        <f aca="false">IF($A65="","",IFERROR(INDEX($R$5:$R$104,MATCH($A65,$Q$5:$Q$104,0)),"-"))</f>
        <v/>
      </c>
      <c r="K65" s="53" t="str">
        <f aca="false">IF($A65="","",IFERROR(INDEX($S$5:$S$104,MATCH($A65,$Q$5:$Q$104,0)),"-"))</f>
        <v/>
      </c>
      <c r="L65" s="53" t="str">
        <f aca="false">IF($A65="","",IFERROR(INDEX($T$5:$T$104,MATCH($A65,$Q$5:$Q$104,0)),"-"))</f>
        <v/>
      </c>
      <c r="M65" s="47" t="str">
        <f aca="false">IF($A65="","",IFERROR(INDEX($U$5:$U$104,MATCH($A65,$Q$5:$Q$104,0)),"-"))</f>
        <v/>
      </c>
      <c r="N65" s="53" t="str">
        <f aca="false">IF($A65="","",IF(ISNUMBER(L65),L65-E65,"-"))</f>
        <v/>
      </c>
      <c r="Q65" s="50"/>
      <c r="R65" s="51"/>
      <c r="S65" s="62"/>
      <c r="T65" s="50"/>
      <c r="U65" s="38"/>
    </row>
    <row r="66" customFormat="false" ht="15" hidden="false" customHeight="false" outlineLevel="0" collapsed="false">
      <c r="A66" s="47" t="str">
        <f aca="false">IFERROR(INDEX('Animal Register'!$A:$A,MATCH(62,'Animal Register'!$U:$U,0)),"")</f>
        <v/>
      </c>
      <c r="B66" s="47" t="str">
        <f aca="false">IF($A66="","",INDEX('Animal Register'!$C:$C,MATCH($A66,'Animal Register'!$A:$A,0)))</f>
        <v/>
      </c>
      <c r="C66" s="52" t="str">
        <f aca="false">IF($A66="","",INDEX('Animal Register'!$K:$K,MATCH($A66,'Animal Register'!$A:$A,0)))</f>
        <v/>
      </c>
      <c r="D66" s="53" t="str">
        <f aca="false">IF($A66="","",INDEX('Animal Register'!$I:$I,MATCH($A66,'Animal Register'!$A:$A,0)))</f>
        <v/>
      </c>
      <c r="E66" s="53" t="str">
        <f aca="false">IF($A66="","",INDEX('Animal Register'!$J:$J,MATCH($A66,'Animal Register'!$A:$A,0)))</f>
        <v/>
      </c>
      <c r="F66" s="53" t="str">
        <f aca="false">IF($A66="","",INDEX('Animal Register'!$S:$S,MATCH($A66,'Animal Register'!$A:$A,0)))</f>
        <v/>
      </c>
      <c r="G66" s="47" t="str">
        <f aca="false">IF($A66="","",INDEX('Animal Register'!$O:$O,MATCH($A66,'Animal Register'!$A:$A,0)))</f>
        <v/>
      </c>
      <c r="H66" s="52" t="str">
        <f aca="false">IF($A66="","",INDEX('Animal Register'!$N:$N,MATCH($A66,'Animal Register'!$A:$A,0)))</f>
        <v/>
      </c>
      <c r="I66" s="47" t="str">
        <f aca="false">IF($A66="","",INDEX('Animal Register'!$P:$P,MATCH($A66,'Animal Register'!$A:$A,0)))</f>
        <v/>
      </c>
      <c r="J66" s="52" t="str">
        <f aca="false">IF($A66="","",IFERROR(INDEX($R$5:$R$104,MATCH($A66,$Q$5:$Q$104,0)),"-"))</f>
        <v/>
      </c>
      <c r="K66" s="53" t="str">
        <f aca="false">IF($A66="","",IFERROR(INDEX($S$5:$S$104,MATCH($A66,$Q$5:$Q$104,0)),"-"))</f>
        <v/>
      </c>
      <c r="L66" s="53" t="str">
        <f aca="false">IF($A66="","",IFERROR(INDEX($T$5:$T$104,MATCH($A66,$Q$5:$Q$104,0)),"-"))</f>
        <v/>
      </c>
      <c r="M66" s="47" t="str">
        <f aca="false">IF($A66="","",IFERROR(INDEX($U$5:$U$104,MATCH($A66,$Q$5:$Q$104,0)),"-"))</f>
        <v/>
      </c>
      <c r="N66" s="53" t="str">
        <f aca="false">IF($A66="","",IF(ISNUMBER(L66),L66-E66,"-"))</f>
        <v/>
      </c>
      <c r="Q66" s="50"/>
      <c r="R66" s="51"/>
      <c r="S66" s="62"/>
      <c r="T66" s="50"/>
      <c r="U66" s="38"/>
    </row>
    <row r="67" customFormat="false" ht="15" hidden="false" customHeight="false" outlineLevel="0" collapsed="false">
      <c r="A67" s="47" t="str">
        <f aca="false">IFERROR(INDEX('Animal Register'!$A:$A,MATCH(63,'Animal Register'!$U:$U,0)),"")</f>
        <v/>
      </c>
      <c r="B67" s="47" t="str">
        <f aca="false">IF($A67="","",INDEX('Animal Register'!$C:$C,MATCH($A67,'Animal Register'!$A:$A,0)))</f>
        <v/>
      </c>
      <c r="C67" s="52" t="str">
        <f aca="false">IF($A67="","",INDEX('Animal Register'!$K:$K,MATCH($A67,'Animal Register'!$A:$A,0)))</f>
        <v/>
      </c>
      <c r="D67" s="53" t="str">
        <f aca="false">IF($A67="","",INDEX('Animal Register'!$I:$I,MATCH($A67,'Animal Register'!$A:$A,0)))</f>
        <v/>
      </c>
      <c r="E67" s="53" t="str">
        <f aca="false">IF($A67="","",INDEX('Animal Register'!$J:$J,MATCH($A67,'Animal Register'!$A:$A,0)))</f>
        <v/>
      </c>
      <c r="F67" s="53" t="str">
        <f aca="false">IF($A67="","",INDEX('Animal Register'!$S:$S,MATCH($A67,'Animal Register'!$A:$A,0)))</f>
        <v/>
      </c>
      <c r="G67" s="47" t="str">
        <f aca="false">IF($A67="","",INDEX('Animal Register'!$O:$O,MATCH($A67,'Animal Register'!$A:$A,0)))</f>
        <v/>
      </c>
      <c r="H67" s="52" t="str">
        <f aca="false">IF($A67="","",INDEX('Animal Register'!$N:$N,MATCH($A67,'Animal Register'!$A:$A,0)))</f>
        <v/>
      </c>
      <c r="I67" s="47" t="str">
        <f aca="false">IF($A67="","",INDEX('Animal Register'!$P:$P,MATCH($A67,'Animal Register'!$A:$A,0)))</f>
        <v/>
      </c>
      <c r="J67" s="52" t="str">
        <f aca="false">IF($A67="","",IFERROR(INDEX($R$5:$R$104,MATCH($A67,$Q$5:$Q$104,0)),"-"))</f>
        <v/>
      </c>
      <c r="K67" s="53" t="str">
        <f aca="false">IF($A67="","",IFERROR(INDEX($S$5:$S$104,MATCH($A67,$Q$5:$Q$104,0)),"-"))</f>
        <v/>
      </c>
      <c r="L67" s="53" t="str">
        <f aca="false">IF($A67="","",IFERROR(INDEX($T$5:$T$104,MATCH($A67,$Q$5:$Q$104,0)),"-"))</f>
        <v/>
      </c>
      <c r="M67" s="47" t="str">
        <f aca="false">IF($A67="","",IFERROR(INDEX($U$5:$U$104,MATCH($A67,$Q$5:$Q$104,0)),"-"))</f>
        <v/>
      </c>
      <c r="N67" s="53" t="str">
        <f aca="false">IF($A67="","",IF(ISNUMBER(L67),L67-E67,"-"))</f>
        <v/>
      </c>
      <c r="Q67" s="50"/>
      <c r="R67" s="51"/>
      <c r="S67" s="62"/>
      <c r="T67" s="50"/>
      <c r="U67" s="38"/>
    </row>
    <row r="68" customFormat="false" ht="15" hidden="false" customHeight="false" outlineLevel="0" collapsed="false">
      <c r="A68" s="47" t="str">
        <f aca="false">IFERROR(INDEX('Animal Register'!$A:$A,MATCH(64,'Animal Register'!$U:$U,0)),"")</f>
        <v/>
      </c>
      <c r="B68" s="47" t="str">
        <f aca="false">IF($A68="","",INDEX('Animal Register'!$C:$C,MATCH($A68,'Animal Register'!$A:$A,0)))</f>
        <v/>
      </c>
      <c r="C68" s="52" t="str">
        <f aca="false">IF($A68="","",INDEX('Animal Register'!$K:$K,MATCH($A68,'Animal Register'!$A:$A,0)))</f>
        <v/>
      </c>
      <c r="D68" s="53" t="str">
        <f aca="false">IF($A68="","",INDEX('Animal Register'!$I:$I,MATCH($A68,'Animal Register'!$A:$A,0)))</f>
        <v/>
      </c>
      <c r="E68" s="53" t="str">
        <f aca="false">IF($A68="","",INDEX('Animal Register'!$J:$J,MATCH($A68,'Animal Register'!$A:$A,0)))</f>
        <v/>
      </c>
      <c r="F68" s="53" t="str">
        <f aca="false">IF($A68="","",INDEX('Animal Register'!$S:$S,MATCH($A68,'Animal Register'!$A:$A,0)))</f>
        <v/>
      </c>
      <c r="G68" s="47" t="str">
        <f aca="false">IF($A68="","",INDEX('Animal Register'!$O:$O,MATCH($A68,'Animal Register'!$A:$A,0)))</f>
        <v/>
      </c>
      <c r="H68" s="52" t="str">
        <f aca="false">IF($A68="","",INDEX('Animal Register'!$N:$N,MATCH($A68,'Animal Register'!$A:$A,0)))</f>
        <v/>
      </c>
      <c r="I68" s="47" t="str">
        <f aca="false">IF($A68="","",INDEX('Animal Register'!$P:$P,MATCH($A68,'Animal Register'!$A:$A,0)))</f>
        <v/>
      </c>
      <c r="J68" s="52" t="str">
        <f aca="false">IF($A68="","",IFERROR(INDEX($R$5:$R$104,MATCH($A68,$Q$5:$Q$104,0)),"-"))</f>
        <v/>
      </c>
      <c r="K68" s="53" t="str">
        <f aca="false">IF($A68="","",IFERROR(INDEX($S$5:$S$104,MATCH($A68,$Q$5:$Q$104,0)),"-"))</f>
        <v/>
      </c>
      <c r="L68" s="53" t="str">
        <f aca="false">IF($A68="","",IFERROR(INDEX($T$5:$T$104,MATCH($A68,$Q$5:$Q$104,0)),"-"))</f>
        <v/>
      </c>
      <c r="M68" s="47" t="str">
        <f aca="false">IF($A68="","",IFERROR(INDEX($U$5:$U$104,MATCH($A68,$Q$5:$Q$104,0)),"-"))</f>
        <v/>
      </c>
      <c r="N68" s="53" t="str">
        <f aca="false">IF($A68="","",IF(ISNUMBER(L68),L68-E68,"-"))</f>
        <v/>
      </c>
      <c r="Q68" s="50"/>
      <c r="R68" s="51"/>
      <c r="S68" s="62"/>
      <c r="T68" s="50"/>
      <c r="U68" s="38"/>
    </row>
    <row r="69" customFormat="false" ht="15" hidden="false" customHeight="false" outlineLevel="0" collapsed="false">
      <c r="A69" s="47" t="str">
        <f aca="false">IFERROR(INDEX('Animal Register'!$A:$A,MATCH(65,'Animal Register'!$U:$U,0)),"")</f>
        <v/>
      </c>
      <c r="B69" s="47" t="str">
        <f aca="false">IF($A69="","",INDEX('Animal Register'!$C:$C,MATCH($A69,'Animal Register'!$A:$A,0)))</f>
        <v/>
      </c>
      <c r="C69" s="52" t="str">
        <f aca="false">IF($A69="","",INDEX('Animal Register'!$K:$K,MATCH($A69,'Animal Register'!$A:$A,0)))</f>
        <v/>
      </c>
      <c r="D69" s="53" t="str">
        <f aca="false">IF($A69="","",INDEX('Animal Register'!$I:$I,MATCH($A69,'Animal Register'!$A:$A,0)))</f>
        <v/>
      </c>
      <c r="E69" s="53" t="str">
        <f aca="false">IF($A69="","",INDEX('Animal Register'!$J:$J,MATCH($A69,'Animal Register'!$A:$A,0)))</f>
        <v/>
      </c>
      <c r="F69" s="53" t="str">
        <f aca="false">IF($A69="","",INDEX('Animal Register'!$S:$S,MATCH($A69,'Animal Register'!$A:$A,0)))</f>
        <v/>
      </c>
      <c r="G69" s="47" t="str">
        <f aca="false">IF($A69="","",INDEX('Animal Register'!$O:$O,MATCH($A69,'Animal Register'!$A:$A,0)))</f>
        <v/>
      </c>
      <c r="H69" s="52" t="str">
        <f aca="false">IF($A69="","",INDEX('Animal Register'!$N:$N,MATCH($A69,'Animal Register'!$A:$A,0)))</f>
        <v/>
      </c>
      <c r="I69" s="47" t="str">
        <f aca="false">IF($A69="","",INDEX('Animal Register'!$P:$P,MATCH($A69,'Animal Register'!$A:$A,0)))</f>
        <v/>
      </c>
      <c r="J69" s="52" t="str">
        <f aca="false">IF($A69="","",IFERROR(INDEX($R$5:$R$104,MATCH($A69,$Q$5:$Q$104,0)),"-"))</f>
        <v/>
      </c>
      <c r="K69" s="53" t="str">
        <f aca="false">IF($A69="","",IFERROR(INDEX($S$5:$S$104,MATCH($A69,$Q$5:$Q$104,0)),"-"))</f>
        <v/>
      </c>
      <c r="L69" s="53" t="str">
        <f aca="false">IF($A69="","",IFERROR(INDEX($T$5:$T$104,MATCH($A69,$Q$5:$Q$104,0)),"-"))</f>
        <v/>
      </c>
      <c r="M69" s="47" t="str">
        <f aca="false">IF($A69="","",IFERROR(INDEX($U$5:$U$104,MATCH($A69,$Q$5:$Q$104,0)),"-"))</f>
        <v/>
      </c>
      <c r="N69" s="53" t="str">
        <f aca="false">IF($A69="","",IF(ISNUMBER(L69),L69-E69,"-"))</f>
        <v/>
      </c>
      <c r="Q69" s="50"/>
      <c r="R69" s="51"/>
      <c r="S69" s="62"/>
      <c r="T69" s="50"/>
      <c r="U69" s="38"/>
    </row>
    <row r="70" customFormat="false" ht="15" hidden="false" customHeight="false" outlineLevel="0" collapsed="false">
      <c r="A70" s="47" t="str">
        <f aca="false">IFERROR(INDEX('Animal Register'!$A:$A,MATCH(66,'Animal Register'!$U:$U,0)),"")</f>
        <v/>
      </c>
      <c r="B70" s="47" t="str">
        <f aca="false">IF($A70="","",INDEX('Animal Register'!$C:$C,MATCH($A70,'Animal Register'!$A:$A,0)))</f>
        <v/>
      </c>
      <c r="C70" s="52" t="str">
        <f aca="false">IF($A70="","",INDEX('Animal Register'!$K:$K,MATCH($A70,'Animal Register'!$A:$A,0)))</f>
        <v/>
      </c>
      <c r="D70" s="53" t="str">
        <f aca="false">IF($A70="","",INDEX('Animal Register'!$I:$I,MATCH($A70,'Animal Register'!$A:$A,0)))</f>
        <v/>
      </c>
      <c r="E70" s="53" t="str">
        <f aca="false">IF($A70="","",INDEX('Animal Register'!$J:$J,MATCH($A70,'Animal Register'!$A:$A,0)))</f>
        <v/>
      </c>
      <c r="F70" s="53" t="str">
        <f aca="false">IF($A70="","",INDEX('Animal Register'!$S:$S,MATCH($A70,'Animal Register'!$A:$A,0)))</f>
        <v/>
      </c>
      <c r="G70" s="47" t="str">
        <f aca="false">IF($A70="","",INDEX('Animal Register'!$O:$O,MATCH($A70,'Animal Register'!$A:$A,0)))</f>
        <v/>
      </c>
      <c r="H70" s="52" t="str">
        <f aca="false">IF($A70="","",INDEX('Animal Register'!$N:$N,MATCH($A70,'Animal Register'!$A:$A,0)))</f>
        <v/>
      </c>
      <c r="I70" s="47" t="str">
        <f aca="false">IF($A70="","",INDEX('Animal Register'!$P:$P,MATCH($A70,'Animal Register'!$A:$A,0)))</f>
        <v/>
      </c>
      <c r="J70" s="52" t="str">
        <f aca="false">IF($A70="","",IFERROR(INDEX($R$5:$R$104,MATCH($A70,$Q$5:$Q$104,0)),"-"))</f>
        <v/>
      </c>
      <c r="K70" s="53" t="str">
        <f aca="false">IF($A70="","",IFERROR(INDEX($S$5:$S$104,MATCH($A70,$Q$5:$Q$104,0)),"-"))</f>
        <v/>
      </c>
      <c r="L70" s="53" t="str">
        <f aca="false">IF($A70="","",IFERROR(INDEX($T$5:$T$104,MATCH($A70,$Q$5:$Q$104,0)),"-"))</f>
        <v/>
      </c>
      <c r="M70" s="47" t="str">
        <f aca="false">IF($A70="","",IFERROR(INDEX($U$5:$U$104,MATCH($A70,$Q$5:$Q$104,0)),"-"))</f>
        <v/>
      </c>
      <c r="N70" s="53" t="str">
        <f aca="false">IF($A70="","",IF(ISNUMBER(L70),L70-E70,"-"))</f>
        <v/>
      </c>
      <c r="Q70" s="50"/>
      <c r="R70" s="51"/>
      <c r="S70" s="62"/>
      <c r="T70" s="50"/>
      <c r="U70" s="38"/>
    </row>
    <row r="71" customFormat="false" ht="15" hidden="false" customHeight="false" outlineLevel="0" collapsed="false">
      <c r="A71" s="47" t="str">
        <f aca="false">IFERROR(INDEX('Animal Register'!$A:$A,MATCH(67,'Animal Register'!$U:$U,0)),"")</f>
        <v/>
      </c>
      <c r="B71" s="47" t="str">
        <f aca="false">IF($A71="","",INDEX('Animal Register'!$C:$C,MATCH($A71,'Animal Register'!$A:$A,0)))</f>
        <v/>
      </c>
      <c r="C71" s="52" t="str">
        <f aca="false">IF($A71="","",INDEX('Animal Register'!$K:$K,MATCH($A71,'Animal Register'!$A:$A,0)))</f>
        <v/>
      </c>
      <c r="D71" s="53" t="str">
        <f aca="false">IF($A71="","",INDEX('Animal Register'!$I:$I,MATCH($A71,'Animal Register'!$A:$A,0)))</f>
        <v/>
      </c>
      <c r="E71" s="53" t="str">
        <f aca="false">IF($A71="","",INDEX('Animal Register'!$J:$J,MATCH($A71,'Animal Register'!$A:$A,0)))</f>
        <v/>
      </c>
      <c r="F71" s="53" t="str">
        <f aca="false">IF($A71="","",INDEX('Animal Register'!$S:$S,MATCH($A71,'Animal Register'!$A:$A,0)))</f>
        <v/>
      </c>
      <c r="G71" s="47" t="str">
        <f aca="false">IF($A71="","",INDEX('Animal Register'!$O:$O,MATCH($A71,'Animal Register'!$A:$A,0)))</f>
        <v/>
      </c>
      <c r="H71" s="52" t="str">
        <f aca="false">IF($A71="","",INDEX('Animal Register'!$N:$N,MATCH($A71,'Animal Register'!$A:$A,0)))</f>
        <v/>
      </c>
      <c r="I71" s="47" t="str">
        <f aca="false">IF($A71="","",INDEX('Animal Register'!$P:$P,MATCH($A71,'Animal Register'!$A:$A,0)))</f>
        <v/>
      </c>
      <c r="J71" s="52" t="str">
        <f aca="false">IF($A71="","",IFERROR(INDEX($R$5:$R$104,MATCH($A71,$Q$5:$Q$104,0)),"-"))</f>
        <v/>
      </c>
      <c r="K71" s="53" t="str">
        <f aca="false">IF($A71="","",IFERROR(INDEX($S$5:$S$104,MATCH($A71,$Q$5:$Q$104,0)),"-"))</f>
        <v/>
      </c>
      <c r="L71" s="53" t="str">
        <f aca="false">IF($A71="","",IFERROR(INDEX($T$5:$T$104,MATCH($A71,$Q$5:$Q$104,0)),"-"))</f>
        <v/>
      </c>
      <c r="M71" s="47" t="str">
        <f aca="false">IF($A71="","",IFERROR(INDEX($U$5:$U$104,MATCH($A71,$Q$5:$Q$104,0)),"-"))</f>
        <v/>
      </c>
      <c r="N71" s="53" t="str">
        <f aca="false">IF($A71="","",IF(ISNUMBER(L71),L71-E71,"-"))</f>
        <v/>
      </c>
      <c r="Q71" s="50"/>
      <c r="R71" s="51"/>
      <c r="S71" s="62"/>
      <c r="T71" s="50"/>
      <c r="U71" s="38"/>
    </row>
    <row r="72" customFormat="false" ht="15" hidden="false" customHeight="false" outlineLevel="0" collapsed="false">
      <c r="A72" s="47" t="str">
        <f aca="false">IFERROR(INDEX('Animal Register'!$A:$A,MATCH(68,'Animal Register'!$U:$U,0)),"")</f>
        <v/>
      </c>
      <c r="B72" s="47" t="str">
        <f aca="false">IF($A72="","",INDEX('Animal Register'!$C:$C,MATCH($A72,'Animal Register'!$A:$A,0)))</f>
        <v/>
      </c>
      <c r="C72" s="52" t="str">
        <f aca="false">IF($A72="","",INDEX('Animal Register'!$K:$K,MATCH($A72,'Animal Register'!$A:$A,0)))</f>
        <v/>
      </c>
      <c r="D72" s="53" t="str">
        <f aca="false">IF($A72="","",INDEX('Animal Register'!$I:$I,MATCH($A72,'Animal Register'!$A:$A,0)))</f>
        <v/>
      </c>
      <c r="E72" s="53" t="str">
        <f aca="false">IF($A72="","",INDEX('Animal Register'!$J:$J,MATCH($A72,'Animal Register'!$A:$A,0)))</f>
        <v/>
      </c>
      <c r="F72" s="53" t="str">
        <f aca="false">IF($A72="","",INDEX('Animal Register'!$S:$S,MATCH($A72,'Animal Register'!$A:$A,0)))</f>
        <v/>
      </c>
      <c r="G72" s="47" t="str">
        <f aca="false">IF($A72="","",INDEX('Animal Register'!$O:$O,MATCH($A72,'Animal Register'!$A:$A,0)))</f>
        <v/>
      </c>
      <c r="H72" s="52" t="str">
        <f aca="false">IF($A72="","",INDEX('Animal Register'!$N:$N,MATCH($A72,'Animal Register'!$A:$A,0)))</f>
        <v/>
      </c>
      <c r="I72" s="47" t="str">
        <f aca="false">IF($A72="","",INDEX('Animal Register'!$P:$P,MATCH($A72,'Animal Register'!$A:$A,0)))</f>
        <v/>
      </c>
      <c r="J72" s="52" t="str">
        <f aca="false">IF($A72="","",IFERROR(INDEX($R$5:$R$104,MATCH($A72,$Q$5:$Q$104,0)),"-"))</f>
        <v/>
      </c>
      <c r="K72" s="53" t="str">
        <f aca="false">IF($A72="","",IFERROR(INDEX($S$5:$S$104,MATCH($A72,$Q$5:$Q$104,0)),"-"))</f>
        <v/>
      </c>
      <c r="L72" s="53" t="str">
        <f aca="false">IF($A72="","",IFERROR(INDEX($T$5:$T$104,MATCH($A72,$Q$5:$Q$104,0)),"-"))</f>
        <v/>
      </c>
      <c r="M72" s="47" t="str">
        <f aca="false">IF($A72="","",IFERROR(INDEX($U$5:$U$104,MATCH($A72,$Q$5:$Q$104,0)),"-"))</f>
        <v/>
      </c>
      <c r="N72" s="53" t="str">
        <f aca="false">IF($A72="","",IF(ISNUMBER(L72),L72-E72,"-"))</f>
        <v/>
      </c>
      <c r="Q72" s="50"/>
      <c r="R72" s="51"/>
      <c r="S72" s="62"/>
      <c r="T72" s="50"/>
      <c r="U72" s="38"/>
    </row>
    <row r="73" customFormat="false" ht="15" hidden="false" customHeight="false" outlineLevel="0" collapsed="false">
      <c r="A73" s="47" t="str">
        <f aca="false">IFERROR(INDEX('Animal Register'!$A:$A,MATCH(69,'Animal Register'!$U:$U,0)),"")</f>
        <v/>
      </c>
      <c r="B73" s="47" t="str">
        <f aca="false">IF($A73="","",INDEX('Animal Register'!$C:$C,MATCH($A73,'Animal Register'!$A:$A,0)))</f>
        <v/>
      </c>
      <c r="C73" s="52" t="str">
        <f aca="false">IF($A73="","",INDEX('Animal Register'!$K:$K,MATCH($A73,'Animal Register'!$A:$A,0)))</f>
        <v/>
      </c>
      <c r="D73" s="53" t="str">
        <f aca="false">IF($A73="","",INDEX('Animal Register'!$I:$I,MATCH($A73,'Animal Register'!$A:$A,0)))</f>
        <v/>
      </c>
      <c r="E73" s="53" t="str">
        <f aca="false">IF($A73="","",INDEX('Animal Register'!$J:$J,MATCH($A73,'Animal Register'!$A:$A,0)))</f>
        <v/>
      </c>
      <c r="F73" s="53" t="str">
        <f aca="false">IF($A73="","",INDEX('Animal Register'!$S:$S,MATCH($A73,'Animal Register'!$A:$A,0)))</f>
        <v/>
      </c>
      <c r="G73" s="47" t="str">
        <f aca="false">IF($A73="","",INDEX('Animal Register'!$O:$O,MATCH($A73,'Animal Register'!$A:$A,0)))</f>
        <v/>
      </c>
      <c r="H73" s="52" t="str">
        <f aca="false">IF($A73="","",INDEX('Animal Register'!$N:$N,MATCH($A73,'Animal Register'!$A:$A,0)))</f>
        <v/>
      </c>
      <c r="I73" s="47" t="str">
        <f aca="false">IF($A73="","",INDEX('Animal Register'!$P:$P,MATCH($A73,'Animal Register'!$A:$A,0)))</f>
        <v/>
      </c>
      <c r="J73" s="52" t="str">
        <f aca="false">IF($A73="","",IFERROR(INDEX($R$5:$R$104,MATCH($A73,$Q$5:$Q$104,0)),"-"))</f>
        <v/>
      </c>
      <c r="K73" s="53" t="str">
        <f aca="false">IF($A73="","",IFERROR(INDEX($S$5:$S$104,MATCH($A73,$Q$5:$Q$104,0)),"-"))</f>
        <v/>
      </c>
      <c r="L73" s="53" t="str">
        <f aca="false">IF($A73="","",IFERROR(INDEX($T$5:$T$104,MATCH($A73,$Q$5:$Q$104,0)),"-"))</f>
        <v/>
      </c>
      <c r="M73" s="47" t="str">
        <f aca="false">IF($A73="","",IFERROR(INDEX($U$5:$U$104,MATCH($A73,$Q$5:$Q$104,0)),"-"))</f>
        <v/>
      </c>
      <c r="N73" s="53" t="str">
        <f aca="false">IF($A73="","",IF(ISNUMBER(L73),L73-E73,"-"))</f>
        <v/>
      </c>
      <c r="Q73" s="50"/>
      <c r="R73" s="51"/>
      <c r="S73" s="62"/>
      <c r="T73" s="50"/>
      <c r="U73" s="38"/>
    </row>
    <row r="74" customFormat="false" ht="15" hidden="false" customHeight="false" outlineLevel="0" collapsed="false">
      <c r="A74" s="47" t="str">
        <f aca="false">IFERROR(INDEX('Animal Register'!$A:$A,MATCH(70,'Animal Register'!$U:$U,0)),"")</f>
        <v/>
      </c>
      <c r="B74" s="47" t="str">
        <f aca="false">IF($A74="","",INDEX('Animal Register'!$C:$C,MATCH($A74,'Animal Register'!$A:$A,0)))</f>
        <v/>
      </c>
      <c r="C74" s="52" t="str">
        <f aca="false">IF($A74="","",INDEX('Animal Register'!$K:$K,MATCH($A74,'Animal Register'!$A:$A,0)))</f>
        <v/>
      </c>
      <c r="D74" s="53" t="str">
        <f aca="false">IF($A74="","",INDEX('Animal Register'!$I:$I,MATCH($A74,'Animal Register'!$A:$A,0)))</f>
        <v/>
      </c>
      <c r="E74" s="53" t="str">
        <f aca="false">IF($A74="","",INDEX('Animal Register'!$J:$J,MATCH($A74,'Animal Register'!$A:$A,0)))</f>
        <v/>
      </c>
      <c r="F74" s="53" t="str">
        <f aca="false">IF($A74="","",INDEX('Animal Register'!$S:$S,MATCH($A74,'Animal Register'!$A:$A,0)))</f>
        <v/>
      </c>
      <c r="G74" s="47" t="str">
        <f aca="false">IF($A74="","",INDEX('Animal Register'!$O:$O,MATCH($A74,'Animal Register'!$A:$A,0)))</f>
        <v/>
      </c>
      <c r="H74" s="52" t="str">
        <f aca="false">IF($A74="","",INDEX('Animal Register'!$N:$N,MATCH($A74,'Animal Register'!$A:$A,0)))</f>
        <v/>
      </c>
      <c r="I74" s="47" t="str">
        <f aca="false">IF($A74="","",INDEX('Animal Register'!$P:$P,MATCH($A74,'Animal Register'!$A:$A,0)))</f>
        <v/>
      </c>
      <c r="J74" s="52" t="str">
        <f aca="false">IF($A74="","",IFERROR(INDEX($R$5:$R$104,MATCH($A74,$Q$5:$Q$104,0)),"-"))</f>
        <v/>
      </c>
      <c r="K74" s="53" t="str">
        <f aca="false">IF($A74="","",IFERROR(INDEX($S$5:$S$104,MATCH($A74,$Q$5:$Q$104,0)),"-"))</f>
        <v/>
      </c>
      <c r="L74" s="53" t="str">
        <f aca="false">IF($A74="","",IFERROR(INDEX($T$5:$T$104,MATCH($A74,$Q$5:$Q$104,0)),"-"))</f>
        <v/>
      </c>
      <c r="M74" s="47" t="str">
        <f aca="false">IF($A74="","",IFERROR(INDEX($U$5:$U$104,MATCH($A74,$Q$5:$Q$104,0)),"-"))</f>
        <v/>
      </c>
      <c r="N74" s="53" t="str">
        <f aca="false">IF($A74="","",IF(ISNUMBER(L74),L74-E74,"-"))</f>
        <v/>
      </c>
      <c r="Q74" s="50"/>
      <c r="R74" s="51"/>
      <c r="S74" s="62"/>
      <c r="T74" s="50"/>
      <c r="U74" s="38"/>
    </row>
  </sheetData>
  <mergeCells count="3">
    <mergeCell ref="A1:N1"/>
    <mergeCell ref="A2:N2"/>
    <mergeCell ref="Q3:U3"/>
  </mergeCells>
  <dataValidations count="1">
    <dataValidation allowBlank="true" errorStyle="stop" operator="between" showDropDown="false" showErrorMessage="false" showInputMessage="false" sqref="Q5:Q74" type="list">
      <formula1>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30" t="s">
        <v>279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48" t="s">
        <v>280</v>
      </c>
      <c r="B2" s="48"/>
      <c r="C2" s="48"/>
      <c r="D2" s="48"/>
      <c r="E2" s="48"/>
      <c r="F2" s="48"/>
      <c r="G2" s="48"/>
      <c r="H2" s="48"/>
      <c r="I2" s="48"/>
    </row>
    <row r="4" customFormat="false" ht="26.85" hidden="false" customHeight="false" outlineLevel="0" collapsed="false">
      <c r="A4" s="31" t="s">
        <v>216</v>
      </c>
      <c r="B4" s="31" t="s">
        <v>218</v>
      </c>
      <c r="C4" s="31" t="s">
        <v>220</v>
      </c>
      <c r="D4" s="31" t="s">
        <v>221</v>
      </c>
      <c r="E4" s="31" t="s">
        <v>233</v>
      </c>
      <c r="F4" s="31" t="s">
        <v>212</v>
      </c>
      <c r="G4" s="31" t="s">
        <v>281</v>
      </c>
      <c r="H4" s="31" t="s">
        <v>282</v>
      </c>
      <c r="I4" s="31" t="s">
        <v>283</v>
      </c>
    </row>
    <row r="5" customFormat="false" ht="15" hidden="false" customHeight="false" outlineLevel="0" collapsed="false">
      <c r="A5" s="47" t="str">
        <f aca="false">IFERROR(INDEX('Animal Register'!$A:$A,MATCH(1,'Animal Register'!$V:$V,0)),"")</f>
        <v/>
      </c>
      <c r="B5" s="47" t="str">
        <f aca="false">IF($A5="","",INDEX('Animal Register'!$C:$C,MATCH($A5,'Animal Register'!$A:$A,0)))</f>
        <v/>
      </c>
      <c r="C5" s="47" t="str">
        <f aca="false">IF($A5="","",INDEX('Animal Register'!$E:$E,MATCH($A5,'Animal Register'!$A:$A,0)))</f>
        <v/>
      </c>
      <c r="D5" s="52" t="str">
        <f aca="false">IF($A5="","",INDEX('Animal Register'!$F:$F,MATCH($A5,'Animal Register'!$A:$A,0)))</f>
        <v/>
      </c>
      <c r="E5" s="53" t="str">
        <f aca="false">IF($A5="","",INDEX('Animal Register'!$S:$S,MATCH($A5,'Animal Register'!$A:$A,0)))</f>
        <v/>
      </c>
      <c r="F5" s="47" t="str">
        <f aca="false">IF($A5="","",INDEX('Animal Register'!$Q:$Q,MATCH($A5,'Animal Register'!$A:$A,0)))</f>
        <v/>
      </c>
      <c r="G5" s="53" t="str">
        <f aca="false">IF($A5="","",IFERROR(ROUND(AVERAGEIF('Milk Production Log'!$B:$B,$A5,'Milk Production Log'!$E:$E),1),"-"))</f>
        <v/>
      </c>
      <c r="H5" s="52" t="str">
        <f aca="false">IF($A5="","",IF(SUMPRODUCT(MAX(('Milk Production Log'!$B$5:$B$404=$A5)*ROW('Milk Production Log'!$B$5:$B$404)))=0,"-",INDEX('Milk Production Log'!$A:$A,SUMPRODUCT(MAX(('Milk Production Log'!$B$5:$B$404=$A5)*ROW('Milk Production Log'!$B$5:$B$404))))))</f>
        <v/>
      </c>
      <c r="I5" s="53" t="str">
        <f aca="false">IF($A5="","",ROUND(SUMIF('Milk Production Log'!$B:$B,$A5,'Milk Production Log'!$E:$E),1))</f>
        <v/>
      </c>
    </row>
    <row r="6" customFormat="false" ht="15" hidden="false" customHeight="false" outlineLevel="0" collapsed="false">
      <c r="A6" s="47" t="str">
        <f aca="false">IFERROR(INDEX('Animal Register'!$A:$A,MATCH(2,'Animal Register'!$V:$V,0)),"")</f>
        <v/>
      </c>
      <c r="B6" s="47" t="str">
        <f aca="false">IF($A6="","",INDEX('Animal Register'!$C:$C,MATCH($A6,'Animal Register'!$A:$A,0)))</f>
        <v/>
      </c>
      <c r="C6" s="47" t="str">
        <f aca="false">IF($A6="","",INDEX('Animal Register'!$E:$E,MATCH($A6,'Animal Register'!$A:$A,0)))</f>
        <v/>
      </c>
      <c r="D6" s="52" t="str">
        <f aca="false">IF($A6="","",INDEX('Animal Register'!$F:$F,MATCH($A6,'Animal Register'!$A:$A,0)))</f>
        <v/>
      </c>
      <c r="E6" s="53" t="str">
        <f aca="false">IF($A6="","",INDEX('Animal Register'!$S:$S,MATCH($A6,'Animal Register'!$A:$A,0)))</f>
        <v/>
      </c>
      <c r="F6" s="47" t="str">
        <f aca="false">IF($A6="","",INDEX('Animal Register'!$Q:$Q,MATCH($A6,'Animal Register'!$A:$A,0)))</f>
        <v/>
      </c>
      <c r="G6" s="53" t="str">
        <f aca="false">IF($A6="","",IFERROR(ROUND(AVERAGEIF('Milk Production Log'!$B:$B,$A6,'Milk Production Log'!$E:$E),1),"-"))</f>
        <v/>
      </c>
      <c r="H6" s="52" t="str">
        <f aca="false">IF($A6="","",IF(SUMPRODUCT(MAX(('Milk Production Log'!$B$5:$B$404=$A6)*ROW('Milk Production Log'!$B$5:$B$404)))=0,"-",INDEX('Milk Production Log'!$A:$A,SUMPRODUCT(MAX(('Milk Production Log'!$B$5:$B$404=$A6)*ROW('Milk Production Log'!$B$5:$B$404))))))</f>
        <v/>
      </c>
      <c r="I6" s="53" t="str">
        <f aca="false">IF($A6="","",ROUND(SUMIF('Milk Production Log'!$B:$B,$A6,'Milk Production Log'!$E:$E),1))</f>
        <v/>
      </c>
    </row>
    <row r="7" customFormat="false" ht="15" hidden="false" customHeight="false" outlineLevel="0" collapsed="false">
      <c r="A7" s="47" t="str">
        <f aca="false">IFERROR(INDEX('Animal Register'!$A:$A,MATCH(3,'Animal Register'!$V:$V,0)),"")</f>
        <v/>
      </c>
      <c r="B7" s="47" t="str">
        <f aca="false">IF($A7="","",INDEX('Animal Register'!$C:$C,MATCH($A7,'Animal Register'!$A:$A,0)))</f>
        <v/>
      </c>
      <c r="C7" s="47" t="str">
        <f aca="false">IF($A7="","",INDEX('Animal Register'!$E:$E,MATCH($A7,'Animal Register'!$A:$A,0)))</f>
        <v/>
      </c>
      <c r="D7" s="52" t="str">
        <f aca="false">IF($A7="","",INDEX('Animal Register'!$F:$F,MATCH($A7,'Animal Register'!$A:$A,0)))</f>
        <v/>
      </c>
      <c r="E7" s="53" t="str">
        <f aca="false">IF($A7="","",INDEX('Animal Register'!$S:$S,MATCH($A7,'Animal Register'!$A:$A,0)))</f>
        <v/>
      </c>
      <c r="F7" s="47" t="str">
        <f aca="false">IF($A7="","",INDEX('Animal Register'!$Q:$Q,MATCH($A7,'Animal Register'!$A:$A,0)))</f>
        <v/>
      </c>
      <c r="G7" s="53" t="str">
        <f aca="false">IF($A7="","",IFERROR(ROUND(AVERAGEIF('Milk Production Log'!$B:$B,$A7,'Milk Production Log'!$E:$E),1),"-"))</f>
        <v/>
      </c>
      <c r="H7" s="52" t="str">
        <f aca="false">IF($A7="","",IF(SUMPRODUCT(MAX(('Milk Production Log'!$B$5:$B$404=$A7)*ROW('Milk Production Log'!$B$5:$B$404)))=0,"-",INDEX('Milk Production Log'!$A:$A,SUMPRODUCT(MAX(('Milk Production Log'!$B$5:$B$404=$A7)*ROW('Milk Production Log'!$B$5:$B$404))))))</f>
        <v/>
      </c>
      <c r="I7" s="53" t="str">
        <f aca="false">IF($A7="","",ROUND(SUMIF('Milk Production Log'!$B:$B,$A7,'Milk Production Log'!$E:$E),1))</f>
        <v/>
      </c>
    </row>
    <row r="8" customFormat="false" ht="15" hidden="false" customHeight="false" outlineLevel="0" collapsed="false">
      <c r="A8" s="47" t="str">
        <f aca="false">IFERROR(INDEX('Animal Register'!$A:$A,MATCH(4,'Animal Register'!$V:$V,0)),"")</f>
        <v/>
      </c>
      <c r="B8" s="47" t="str">
        <f aca="false">IF($A8="","",INDEX('Animal Register'!$C:$C,MATCH($A8,'Animal Register'!$A:$A,0)))</f>
        <v/>
      </c>
      <c r="C8" s="47" t="str">
        <f aca="false">IF($A8="","",INDEX('Animal Register'!$E:$E,MATCH($A8,'Animal Register'!$A:$A,0)))</f>
        <v/>
      </c>
      <c r="D8" s="52" t="str">
        <f aca="false">IF($A8="","",INDEX('Animal Register'!$F:$F,MATCH($A8,'Animal Register'!$A:$A,0)))</f>
        <v/>
      </c>
      <c r="E8" s="53" t="str">
        <f aca="false">IF($A8="","",INDEX('Animal Register'!$S:$S,MATCH($A8,'Animal Register'!$A:$A,0)))</f>
        <v/>
      </c>
      <c r="F8" s="47" t="str">
        <f aca="false">IF($A8="","",INDEX('Animal Register'!$Q:$Q,MATCH($A8,'Animal Register'!$A:$A,0)))</f>
        <v/>
      </c>
      <c r="G8" s="53" t="str">
        <f aca="false">IF($A8="","",IFERROR(ROUND(AVERAGEIF('Milk Production Log'!$B:$B,$A8,'Milk Production Log'!$E:$E),1),"-"))</f>
        <v/>
      </c>
      <c r="H8" s="52" t="str">
        <f aca="false">IF($A8="","",IF(SUMPRODUCT(MAX(('Milk Production Log'!$B$5:$B$404=$A8)*ROW('Milk Production Log'!$B$5:$B$404)))=0,"-",INDEX('Milk Production Log'!$A:$A,SUMPRODUCT(MAX(('Milk Production Log'!$B$5:$B$404=$A8)*ROW('Milk Production Log'!$B$5:$B$404))))))</f>
        <v/>
      </c>
      <c r="I8" s="53" t="str">
        <f aca="false">IF($A8="","",ROUND(SUMIF('Milk Production Log'!$B:$B,$A8,'Milk Production Log'!$E:$E),1))</f>
        <v/>
      </c>
    </row>
    <row r="9" customFormat="false" ht="15" hidden="false" customHeight="false" outlineLevel="0" collapsed="false">
      <c r="A9" s="47" t="str">
        <f aca="false">IFERROR(INDEX('Animal Register'!$A:$A,MATCH(5,'Animal Register'!$V:$V,0)),"")</f>
        <v/>
      </c>
      <c r="B9" s="47" t="str">
        <f aca="false">IF($A9="","",INDEX('Animal Register'!$C:$C,MATCH($A9,'Animal Register'!$A:$A,0)))</f>
        <v/>
      </c>
      <c r="C9" s="47" t="str">
        <f aca="false">IF($A9="","",INDEX('Animal Register'!$E:$E,MATCH($A9,'Animal Register'!$A:$A,0)))</f>
        <v/>
      </c>
      <c r="D9" s="52" t="str">
        <f aca="false">IF($A9="","",INDEX('Animal Register'!$F:$F,MATCH($A9,'Animal Register'!$A:$A,0)))</f>
        <v/>
      </c>
      <c r="E9" s="53" t="str">
        <f aca="false">IF($A9="","",INDEX('Animal Register'!$S:$S,MATCH($A9,'Animal Register'!$A:$A,0)))</f>
        <v/>
      </c>
      <c r="F9" s="47" t="str">
        <f aca="false">IF($A9="","",INDEX('Animal Register'!$Q:$Q,MATCH($A9,'Animal Register'!$A:$A,0)))</f>
        <v/>
      </c>
      <c r="G9" s="53" t="str">
        <f aca="false">IF($A9="","",IFERROR(ROUND(AVERAGEIF('Milk Production Log'!$B:$B,$A9,'Milk Production Log'!$E:$E),1),"-"))</f>
        <v/>
      </c>
      <c r="H9" s="52" t="str">
        <f aca="false">IF($A9="","",IF(SUMPRODUCT(MAX(('Milk Production Log'!$B$5:$B$404=$A9)*ROW('Milk Production Log'!$B$5:$B$404)))=0,"-",INDEX('Milk Production Log'!$A:$A,SUMPRODUCT(MAX(('Milk Production Log'!$B$5:$B$404=$A9)*ROW('Milk Production Log'!$B$5:$B$404))))))</f>
        <v/>
      </c>
      <c r="I9" s="53" t="str">
        <f aca="false">IF($A9="","",ROUND(SUMIF('Milk Production Log'!$B:$B,$A9,'Milk Production Log'!$E:$E),1))</f>
        <v/>
      </c>
    </row>
    <row r="10" customFormat="false" ht="15" hidden="false" customHeight="false" outlineLevel="0" collapsed="false">
      <c r="A10" s="47" t="str">
        <f aca="false">IFERROR(INDEX('Animal Register'!$A:$A,MATCH(6,'Animal Register'!$V:$V,0)),"")</f>
        <v/>
      </c>
      <c r="B10" s="47" t="str">
        <f aca="false">IF($A10="","",INDEX('Animal Register'!$C:$C,MATCH($A10,'Animal Register'!$A:$A,0)))</f>
        <v/>
      </c>
      <c r="C10" s="47" t="str">
        <f aca="false">IF($A10="","",INDEX('Animal Register'!$E:$E,MATCH($A10,'Animal Register'!$A:$A,0)))</f>
        <v/>
      </c>
      <c r="D10" s="52" t="str">
        <f aca="false">IF($A10="","",INDEX('Animal Register'!$F:$F,MATCH($A10,'Animal Register'!$A:$A,0)))</f>
        <v/>
      </c>
      <c r="E10" s="53" t="str">
        <f aca="false">IF($A10="","",INDEX('Animal Register'!$S:$S,MATCH($A10,'Animal Register'!$A:$A,0)))</f>
        <v/>
      </c>
      <c r="F10" s="47" t="str">
        <f aca="false">IF($A10="","",INDEX('Animal Register'!$Q:$Q,MATCH($A10,'Animal Register'!$A:$A,0)))</f>
        <v/>
      </c>
      <c r="G10" s="53" t="str">
        <f aca="false">IF($A10="","",IFERROR(ROUND(AVERAGEIF('Milk Production Log'!$B:$B,$A10,'Milk Production Log'!$E:$E),1),"-"))</f>
        <v/>
      </c>
      <c r="H10" s="52" t="str">
        <f aca="false">IF($A10="","",IF(SUMPRODUCT(MAX(('Milk Production Log'!$B$5:$B$404=$A10)*ROW('Milk Production Log'!$B$5:$B$404)))=0,"-",INDEX('Milk Production Log'!$A:$A,SUMPRODUCT(MAX(('Milk Production Log'!$B$5:$B$404=$A10)*ROW('Milk Production Log'!$B$5:$B$404))))))</f>
        <v/>
      </c>
      <c r="I10" s="53" t="str">
        <f aca="false">IF($A10="","",ROUND(SUMIF('Milk Production Log'!$B:$B,$A10,'Milk Production Log'!$E:$E),1))</f>
        <v/>
      </c>
    </row>
    <row r="11" customFormat="false" ht="15" hidden="false" customHeight="false" outlineLevel="0" collapsed="false">
      <c r="A11" s="47" t="str">
        <f aca="false">IFERROR(INDEX('Animal Register'!$A:$A,MATCH(7,'Animal Register'!$V:$V,0)),"")</f>
        <v/>
      </c>
      <c r="B11" s="47" t="str">
        <f aca="false">IF($A11="","",INDEX('Animal Register'!$C:$C,MATCH($A11,'Animal Register'!$A:$A,0)))</f>
        <v/>
      </c>
      <c r="C11" s="47" t="str">
        <f aca="false">IF($A11="","",INDEX('Animal Register'!$E:$E,MATCH($A11,'Animal Register'!$A:$A,0)))</f>
        <v/>
      </c>
      <c r="D11" s="52" t="str">
        <f aca="false">IF($A11="","",INDEX('Animal Register'!$F:$F,MATCH($A11,'Animal Register'!$A:$A,0)))</f>
        <v/>
      </c>
      <c r="E11" s="53" t="str">
        <f aca="false">IF($A11="","",INDEX('Animal Register'!$S:$S,MATCH($A11,'Animal Register'!$A:$A,0)))</f>
        <v/>
      </c>
      <c r="F11" s="47" t="str">
        <f aca="false">IF($A11="","",INDEX('Animal Register'!$Q:$Q,MATCH($A11,'Animal Register'!$A:$A,0)))</f>
        <v/>
      </c>
      <c r="G11" s="53" t="str">
        <f aca="false">IF($A11="","",IFERROR(ROUND(AVERAGEIF('Milk Production Log'!$B:$B,$A11,'Milk Production Log'!$E:$E),1),"-"))</f>
        <v/>
      </c>
      <c r="H11" s="52" t="str">
        <f aca="false">IF($A11="","",IF(SUMPRODUCT(MAX(('Milk Production Log'!$B$5:$B$404=$A11)*ROW('Milk Production Log'!$B$5:$B$404)))=0,"-",INDEX('Milk Production Log'!$A:$A,SUMPRODUCT(MAX(('Milk Production Log'!$B$5:$B$404=$A11)*ROW('Milk Production Log'!$B$5:$B$404))))))</f>
        <v/>
      </c>
      <c r="I11" s="53" t="str">
        <f aca="false">IF($A11="","",ROUND(SUMIF('Milk Production Log'!$B:$B,$A11,'Milk Production Log'!$E:$E),1))</f>
        <v/>
      </c>
    </row>
    <row r="12" customFormat="false" ht="15" hidden="false" customHeight="false" outlineLevel="0" collapsed="false">
      <c r="A12" s="47" t="str">
        <f aca="false">IFERROR(INDEX('Animal Register'!$A:$A,MATCH(8,'Animal Register'!$V:$V,0)),"")</f>
        <v/>
      </c>
      <c r="B12" s="47" t="str">
        <f aca="false">IF($A12="","",INDEX('Animal Register'!$C:$C,MATCH($A12,'Animal Register'!$A:$A,0)))</f>
        <v/>
      </c>
      <c r="C12" s="47" t="str">
        <f aca="false">IF($A12="","",INDEX('Animal Register'!$E:$E,MATCH($A12,'Animal Register'!$A:$A,0)))</f>
        <v/>
      </c>
      <c r="D12" s="52" t="str">
        <f aca="false">IF($A12="","",INDEX('Animal Register'!$F:$F,MATCH($A12,'Animal Register'!$A:$A,0)))</f>
        <v/>
      </c>
      <c r="E12" s="53" t="str">
        <f aca="false">IF($A12="","",INDEX('Animal Register'!$S:$S,MATCH($A12,'Animal Register'!$A:$A,0)))</f>
        <v/>
      </c>
      <c r="F12" s="47" t="str">
        <f aca="false">IF($A12="","",INDEX('Animal Register'!$Q:$Q,MATCH($A12,'Animal Register'!$A:$A,0)))</f>
        <v/>
      </c>
      <c r="G12" s="53" t="str">
        <f aca="false">IF($A12="","",IFERROR(ROUND(AVERAGEIF('Milk Production Log'!$B:$B,$A12,'Milk Production Log'!$E:$E),1),"-"))</f>
        <v/>
      </c>
      <c r="H12" s="52" t="str">
        <f aca="false">IF($A12="","",IF(SUMPRODUCT(MAX(('Milk Production Log'!$B$5:$B$404=$A12)*ROW('Milk Production Log'!$B$5:$B$404)))=0,"-",INDEX('Milk Production Log'!$A:$A,SUMPRODUCT(MAX(('Milk Production Log'!$B$5:$B$404=$A12)*ROW('Milk Production Log'!$B$5:$B$404))))))</f>
        <v/>
      </c>
      <c r="I12" s="53" t="str">
        <f aca="false">IF($A12="","",ROUND(SUMIF('Milk Production Log'!$B:$B,$A12,'Milk Production Log'!$E:$E),1))</f>
        <v/>
      </c>
    </row>
    <row r="13" customFormat="false" ht="15" hidden="false" customHeight="false" outlineLevel="0" collapsed="false">
      <c r="A13" s="47" t="str">
        <f aca="false">IFERROR(INDEX('Animal Register'!$A:$A,MATCH(9,'Animal Register'!$V:$V,0)),"")</f>
        <v/>
      </c>
      <c r="B13" s="47" t="str">
        <f aca="false">IF($A13="","",INDEX('Animal Register'!$C:$C,MATCH($A13,'Animal Register'!$A:$A,0)))</f>
        <v/>
      </c>
      <c r="C13" s="47" t="str">
        <f aca="false">IF($A13="","",INDEX('Animal Register'!$E:$E,MATCH($A13,'Animal Register'!$A:$A,0)))</f>
        <v/>
      </c>
      <c r="D13" s="52" t="str">
        <f aca="false">IF($A13="","",INDEX('Animal Register'!$F:$F,MATCH($A13,'Animal Register'!$A:$A,0)))</f>
        <v/>
      </c>
      <c r="E13" s="53" t="str">
        <f aca="false">IF($A13="","",INDEX('Animal Register'!$S:$S,MATCH($A13,'Animal Register'!$A:$A,0)))</f>
        <v/>
      </c>
      <c r="F13" s="47" t="str">
        <f aca="false">IF($A13="","",INDEX('Animal Register'!$Q:$Q,MATCH($A13,'Animal Register'!$A:$A,0)))</f>
        <v/>
      </c>
      <c r="G13" s="53" t="str">
        <f aca="false">IF($A13="","",IFERROR(ROUND(AVERAGEIF('Milk Production Log'!$B:$B,$A13,'Milk Production Log'!$E:$E),1),"-"))</f>
        <v/>
      </c>
      <c r="H13" s="52" t="str">
        <f aca="false">IF($A13="","",IF(SUMPRODUCT(MAX(('Milk Production Log'!$B$5:$B$404=$A13)*ROW('Milk Production Log'!$B$5:$B$404)))=0,"-",INDEX('Milk Production Log'!$A:$A,SUMPRODUCT(MAX(('Milk Production Log'!$B$5:$B$404=$A13)*ROW('Milk Production Log'!$B$5:$B$404))))))</f>
        <v/>
      </c>
      <c r="I13" s="53" t="str">
        <f aca="false">IF($A13="","",ROUND(SUMIF('Milk Production Log'!$B:$B,$A13,'Milk Production Log'!$E:$E),1))</f>
        <v/>
      </c>
    </row>
    <row r="14" customFormat="false" ht="15" hidden="false" customHeight="false" outlineLevel="0" collapsed="false">
      <c r="A14" s="47" t="str">
        <f aca="false">IFERROR(INDEX('Animal Register'!$A:$A,MATCH(10,'Animal Register'!$V:$V,0)),"")</f>
        <v/>
      </c>
      <c r="B14" s="47" t="str">
        <f aca="false">IF($A14="","",INDEX('Animal Register'!$C:$C,MATCH($A14,'Animal Register'!$A:$A,0)))</f>
        <v/>
      </c>
      <c r="C14" s="47" t="str">
        <f aca="false">IF($A14="","",INDEX('Animal Register'!$E:$E,MATCH($A14,'Animal Register'!$A:$A,0)))</f>
        <v/>
      </c>
      <c r="D14" s="52" t="str">
        <f aca="false">IF($A14="","",INDEX('Animal Register'!$F:$F,MATCH($A14,'Animal Register'!$A:$A,0)))</f>
        <v/>
      </c>
      <c r="E14" s="53" t="str">
        <f aca="false">IF($A14="","",INDEX('Animal Register'!$S:$S,MATCH($A14,'Animal Register'!$A:$A,0)))</f>
        <v/>
      </c>
      <c r="F14" s="47" t="str">
        <f aca="false">IF($A14="","",INDEX('Animal Register'!$Q:$Q,MATCH($A14,'Animal Register'!$A:$A,0)))</f>
        <v/>
      </c>
      <c r="G14" s="53" t="str">
        <f aca="false">IF($A14="","",IFERROR(ROUND(AVERAGEIF('Milk Production Log'!$B:$B,$A14,'Milk Production Log'!$E:$E),1),"-"))</f>
        <v/>
      </c>
      <c r="H14" s="52" t="str">
        <f aca="false">IF($A14="","",IF(SUMPRODUCT(MAX(('Milk Production Log'!$B$5:$B$404=$A14)*ROW('Milk Production Log'!$B$5:$B$404)))=0,"-",INDEX('Milk Production Log'!$A:$A,SUMPRODUCT(MAX(('Milk Production Log'!$B$5:$B$404=$A14)*ROW('Milk Production Log'!$B$5:$B$404))))))</f>
        <v/>
      </c>
      <c r="I14" s="53" t="str">
        <f aca="false">IF($A14="","",ROUND(SUMIF('Milk Production Log'!$B:$B,$A14,'Milk Production Log'!$E:$E),1))</f>
        <v/>
      </c>
    </row>
    <row r="15" customFormat="false" ht="15" hidden="false" customHeight="false" outlineLevel="0" collapsed="false">
      <c r="A15" s="47" t="str">
        <f aca="false">IFERROR(INDEX('Animal Register'!$A:$A,MATCH(11,'Animal Register'!$V:$V,0)),"")</f>
        <v/>
      </c>
      <c r="B15" s="47" t="str">
        <f aca="false">IF($A15="","",INDEX('Animal Register'!$C:$C,MATCH($A15,'Animal Register'!$A:$A,0)))</f>
        <v/>
      </c>
      <c r="C15" s="47" t="str">
        <f aca="false">IF($A15="","",INDEX('Animal Register'!$E:$E,MATCH($A15,'Animal Register'!$A:$A,0)))</f>
        <v/>
      </c>
      <c r="D15" s="52" t="str">
        <f aca="false">IF($A15="","",INDEX('Animal Register'!$F:$F,MATCH($A15,'Animal Register'!$A:$A,0)))</f>
        <v/>
      </c>
      <c r="E15" s="53" t="str">
        <f aca="false">IF($A15="","",INDEX('Animal Register'!$S:$S,MATCH($A15,'Animal Register'!$A:$A,0)))</f>
        <v/>
      </c>
      <c r="F15" s="47" t="str">
        <f aca="false">IF($A15="","",INDEX('Animal Register'!$Q:$Q,MATCH($A15,'Animal Register'!$A:$A,0)))</f>
        <v/>
      </c>
      <c r="G15" s="53" t="str">
        <f aca="false">IF($A15="","",IFERROR(ROUND(AVERAGEIF('Milk Production Log'!$B:$B,$A15,'Milk Production Log'!$E:$E),1),"-"))</f>
        <v/>
      </c>
      <c r="H15" s="52" t="str">
        <f aca="false">IF($A15="","",IF(SUMPRODUCT(MAX(('Milk Production Log'!$B$5:$B$404=$A15)*ROW('Milk Production Log'!$B$5:$B$404)))=0,"-",INDEX('Milk Production Log'!$A:$A,SUMPRODUCT(MAX(('Milk Production Log'!$B$5:$B$404=$A15)*ROW('Milk Production Log'!$B$5:$B$404))))))</f>
        <v/>
      </c>
      <c r="I15" s="53" t="str">
        <f aca="false">IF($A15="","",ROUND(SUMIF('Milk Production Log'!$B:$B,$A15,'Milk Production Log'!$E:$E),1))</f>
        <v/>
      </c>
    </row>
    <row r="16" customFormat="false" ht="15" hidden="false" customHeight="false" outlineLevel="0" collapsed="false">
      <c r="A16" s="47" t="str">
        <f aca="false">IFERROR(INDEX('Animal Register'!$A:$A,MATCH(12,'Animal Register'!$V:$V,0)),"")</f>
        <v/>
      </c>
      <c r="B16" s="47" t="str">
        <f aca="false">IF($A16="","",INDEX('Animal Register'!$C:$C,MATCH($A16,'Animal Register'!$A:$A,0)))</f>
        <v/>
      </c>
      <c r="C16" s="47" t="str">
        <f aca="false">IF($A16="","",INDEX('Animal Register'!$E:$E,MATCH($A16,'Animal Register'!$A:$A,0)))</f>
        <v/>
      </c>
      <c r="D16" s="52" t="str">
        <f aca="false">IF($A16="","",INDEX('Animal Register'!$F:$F,MATCH($A16,'Animal Register'!$A:$A,0)))</f>
        <v/>
      </c>
      <c r="E16" s="53" t="str">
        <f aca="false">IF($A16="","",INDEX('Animal Register'!$S:$S,MATCH($A16,'Animal Register'!$A:$A,0)))</f>
        <v/>
      </c>
      <c r="F16" s="47" t="str">
        <f aca="false">IF($A16="","",INDEX('Animal Register'!$Q:$Q,MATCH($A16,'Animal Register'!$A:$A,0)))</f>
        <v/>
      </c>
      <c r="G16" s="53" t="str">
        <f aca="false">IF($A16="","",IFERROR(ROUND(AVERAGEIF('Milk Production Log'!$B:$B,$A16,'Milk Production Log'!$E:$E),1),"-"))</f>
        <v/>
      </c>
      <c r="H16" s="52" t="str">
        <f aca="false">IF($A16="","",IF(SUMPRODUCT(MAX(('Milk Production Log'!$B$5:$B$404=$A16)*ROW('Milk Production Log'!$B$5:$B$404)))=0,"-",INDEX('Milk Production Log'!$A:$A,SUMPRODUCT(MAX(('Milk Production Log'!$B$5:$B$404=$A16)*ROW('Milk Production Log'!$B$5:$B$404))))))</f>
        <v/>
      </c>
      <c r="I16" s="53" t="str">
        <f aca="false">IF($A16="","",ROUND(SUMIF('Milk Production Log'!$B:$B,$A16,'Milk Production Log'!$E:$E),1))</f>
        <v/>
      </c>
    </row>
    <row r="17" customFormat="false" ht="15" hidden="false" customHeight="false" outlineLevel="0" collapsed="false">
      <c r="A17" s="47" t="str">
        <f aca="false">IFERROR(INDEX('Animal Register'!$A:$A,MATCH(13,'Animal Register'!$V:$V,0)),"")</f>
        <v/>
      </c>
      <c r="B17" s="47" t="str">
        <f aca="false">IF($A17="","",INDEX('Animal Register'!$C:$C,MATCH($A17,'Animal Register'!$A:$A,0)))</f>
        <v/>
      </c>
      <c r="C17" s="47" t="str">
        <f aca="false">IF($A17="","",INDEX('Animal Register'!$E:$E,MATCH($A17,'Animal Register'!$A:$A,0)))</f>
        <v/>
      </c>
      <c r="D17" s="52" t="str">
        <f aca="false">IF($A17="","",INDEX('Animal Register'!$F:$F,MATCH($A17,'Animal Register'!$A:$A,0)))</f>
        <v/>
      </c>
      <c r="E17" s="53" t="str">
        <f aca="false">IF($A17="","",INDEX('Animal Register'!$S:$S,MATCH($A17,'Animal Register'!$A:$A,0)))</f>
        <v/>
      </c>
      <c r="F17" s="47" t="str">
        <f aca="false">IF($A17="","",INDEX('Animal Register'!$Q:$Q,MATCH($A17,'Animal Register'!$A:$A,0)))</f>
        <v/>
      </c>
      <c r="G17" s="53" t="str">
        <f aca="false">IF($A17="","",IFERROR(ROUND(AVERAGEIF('Milk Production Log'!$B:$B,$A17,'Milk Production Log'!$E:$E),1),"-"))</f>
        <v/>
      </c>
      <c r="H17" s="52" t="str">
        <f aca="false">IF($A17="","",IF(SUMPRODUCT(MAX(('Milk Production Log'!$B$5:$B$404=$A17)*ROW('Milk Production Log'!$B$5:$B$404)))=0,"-",INDEX('Milk Production Log'!$A:$A,SUMPRODUCT(MAX(('Milk Production Log'!$B$5:$B$404=$A17)*ROW('Milk Production Log'!$B$5:$B$404))))))</f>
        <v/>
      </c>
      <c r="I17" s="53" t="str">
        <f aca="false">IF($A17="","",ROUND(SUMIF('Milk Production Log'!$B:$B,$A17,'Milk Production Log'!$E:$E),1))</f>
        <v/>
      </c>
    </row>
    <row r="18" customFormat="false" ht="15" hidden="false" customHeight="false" outlineLevel="0" collapsed="false">
      <c r="A18" s="47" t="str">
        <f aca="false">IFERROR(INDEX('Animal Register'!$A:$A,MATCH(14,'Animal Register'!$V:$V,0)),"")</f>
        <v/>
      </c>
      <c r="B18" s="47" t="str">
        <f aca="false">IF($A18="","",INDEX('Animal Register'!$C:$C,MATCH($A18,'Animal Register'!$A:$A,0)))</f>
        <v/>
      </c>
      <c r="C18" s="47" t="str">
        <f aca="false">IF($A18="","",INDEX('Animal Register'!$E:$E,MATCH($A18,'Animal Register'!$A:$A,0)))</f>
        <v/>
      </c>
      <c r="D18" s="52" t="str">
        <f aca="false">IF($A18="","",INDEX('Animal Register'!$F:$F,MATCH($A18,'Animal Register'!$A:$A,0)))</f>
        <v/>
      </c>
      <c r="E18" s="53" t="str">
        <f aca="false">IF($A18="","",INDEX('Animal Register'!$S:$S,MATCH($A18,'Animal Register'!$A:$A,0)))</f>
        <v/>
      </c>
      <c r="F18" s="47" t="str">
        <f aca="false">IF($A18="","",INDEX('Animal Register'!$Q:$Q,MATCH($A18,'Animal Register'!$A:$A,0)))</f>
        <v/>
      </c>
      <c r="G18" s="53" t="str">
        <f aca="false">IF($A18="","",IFERROR(ROUND(AVERAGEIF('Milk Production Log'!$B:$B,$A18,'Milk Production Log'!$E:$E),1),"-"))</f>
        <v/>
      </c>
      <c r="H18" s="52" t="str">
        <f aca="false">IF($A18="","",IF(SUMPRODUCT(MAX(('Milk Production Log'!$B$5:$B$404=$A18)*ROW('Milk Production Log'!$B$5:$B$404)))=0,"-",INDEX('Milk Production Log'!$A:$A,SUMPRODUCT(MAX(('Milk Production Log'!$B$5:$B$404=$A18)*ROW('Milk Production Log'!$B$5:$B$404))))))</f>
        <v/>
      </c>
      <c r="I18" s="53" t="str">
        <f aca="false">IF($A18="","",ROUND(SUMIF('Milk Production Log'!$B:$B,$A18,'Milk Production Log'!$E:$E),1))</f>
        <v/>
      </c>
    </row>
    <row r="19" customFormat="false" ht="15" hidden="false" customHeight="false" outlineLevel="0" collapsed="false">
      <c r="A19" s="47" t="str">
        <f aca="false">IFERROR(INDEX('Animal Register'!$A:$A,MATCH(15,'Animal Register'!$V:$V,0)),"")</f>
        <v/>
      </c>
      <c r="B19" s="47" t="str">
        <f aca="false">IF($A19="","",INDEX('Animal Register'!$C:$C,MATCH($A19,'Animal Register'!$A:$A,0)))</f>
        <v/>
      </c>
      <c r="C19" s="47" t="str">
        <f aca="false">IF($A19="","",INDEX('Animal Register'!$E:$E,MATCH($A19,'Animal Register'!$A:$A,0)))</f>
        <v/>
      </c>
      <c r="D19" s="52" t="str">
        <f aca="false">IF($A19="","",INDEX('Animal Register'!$F:$F,MATCH($A19,'Animal Register'!$A:$A,0)))</f>
        <v/>
      </c>
      <c r="E19" s="53" t="str">
        <f aca="false">IF($A19="","",INDEX('Animal Register'!$S:$S,MATCH($A19,'Animal Register'!$A:$A,0)))</f>
        <v/>
      </c>
      <c r="F19" s="47" t="str">
        <f aca="false">IF($A19="","",INDEX('Animal Register'!$Q:$Q,MATCH($A19,'Animal Register'!$A:$A,0)))</f>
        <v/>
      </c>
      <c r="G19" s="53" t="str">
        <f aca="false">IF($A19="","",IFERROR(ROUND(AVERAGEIF('Milk Production Log'!$B:$B,$A19,'Milk Production Log'!$E:$E),1),"-"))</f>
        <v/>
      </c>
      <c r="H19" s="52" t="str">
        <f aca="false">IF($A19="","",IF(SUMPRODUCT(MAX(('Milk Production Log'!$B$5:$B$404=$A19)*ROW('Milk Production Log'!$B$5:$B$404)))=0,"-",INDEX('Milk Production Log'!$A:$A,SUMPRODUCT(MAX(('Milk Production Log'!$B$5:$B$404=$A19)*ROW('Milk Production Log'!$B$5:$B$404))))))</f>
        <v/>
      </c>
      <c r="I19" s="53" t="str">
        <f aca="false">IF($A19="","",ROUND(SUMIF('Milk Production Log'!$B:$B,$A19,'Milk Production Log'!$E:$E),1))</f>
        <v/>
      </c>
    </row>
    <row r="20" customFormat="false" ht="15" hidden="false" customHeight="false" outlineLevel="0" collapsed="false">
      <c r="A20" s="47" t="str">
        <f aca="false">IFERROR(INDEX('Animal Register'!$A:$A,MATCH(16,'Animal Register'!$V:$V,0)),"")</f>
        <v/>
      </c>
      <c r="B20" s="47" t="str">
        <f aca="false">IF($A20="","",INDEX('Animal Register'!$C:$C,MATCH($A20,'Animal Register'!$A:$A,0)))</f>
        <v/>
      </c>
      <c r="C20" s="47" t="str">
        <f aca="false">IF($A20="","",INDEX('Animal Register'!$E:$E,MATCH($A20,'Animal Register'!$A:$A,0)))</f>
        <v/>
      </c>
      <c r="D20" s="52" t="str">
        <f aca="false">IF($A20="","",INDEX('Animal Register'!$F:$F,MATCH($A20,'Animal Register'!$A:$A,0)))</f>
        <v/>
      </c>
      <c r="E20" s="53" t="str">
        <f aca="false">IF($A20="","",INDEX('Animal Register'!$S:$S,MATCH($A20,'Animal Register'!$A:$A,0)))</f>
        <v/>
      </c>
      <c r="F20" s="47" t="str">
        <f aca="false">IF($A20="","",INDEX('Animal Register'!$Q:$Q,MATCH($A20,'Animal Register'!$A:$A,0)))</f>
        <v/>
      </c>
      <c r="G20" s="53" t="str">
        <f aca="false">IF($A20="","",IFERROR(ROUND(AVERAGEIF('Milk Production Log'!$B:$B,$A20,'Milk Production Log'!$E:$E),1),"-"))</f>
        <v/>
      </c>
      <c r="H20" s="52" t="str">
        <f aca="false">IF($A20="","",IF(SUMPRODUCT(MAX(('Milk Production Log'!$B$5:$B$404=$A20)*ROW('Milk Production Log'!$B$5:$B$404)))=0,"-",INDEX('Milk Production Log'!$A:$A,SUMPRODUCT(MAX(('Milk Production Log'!$B$5:$B$404=$A20)*ROW('Milk Production Log'!$B$5:$B$404))))))</f>
        <v/>
      </c>
      <c r="I20" s="53" t="str">
        <f aca="false">IF($A20="","",ROUND(SUMIF('Milk Production Log'!$B:$B,$A20,'Milk Production Log'!$E:$E),1))</f>
        <v/>
      </c>
    </row>
    <row r="21" customFormat="false" ht="15" hidden="false" customHeight="false" outlineLevel="0" collapsed="false">
      <c r="A21" s="47" t="str">
        <f aca="false">IFERROR(INDEX('Animal Register'!$A:$A,MATCH(17,'Animal Register'!$V:$V,0)),"")</f>
        <v/>
      </c>
      <c r="B21" s="47" t="str">
        <f aca="false">IF($A21="","",INDEX('Animal Register'!$C:$C,MATCH($A21,'Animal Register'!$A:$A,0)))</f>
        <v/>
      </c>
      <c r="C21" s="47" t="str">
        <f aca="false">IF($A21="","",INDEX('Animal Register'!$E:$E,MATCH($A21,'Animal Register'!$A:$A,0)))</f>
        <v/>
      </c>
      <c r="D21" s="52" t="str">
        <f aca="false">IF($A21="","",INDEX('Animal Register'!$F:$F,MATCH($A21,'Animal Register'!$A:$A,0)))</f>
        <v/>
      </c>
      <c r="E21" s="53" t="str">
        <f aca="false">IF($A21="","",INDEX('Animal Register'!$S:$S,MATCH($A21,'Animal Register'!$A:$A,0)))</f>
        <v/>
      </c>
      <c r="F21" s="47" t="str">
        <f aca="false">IF($A21="","",INDEX('Animal Register'!$Q:$Q,MATCH($A21,'Animal Register'!$A:$A,0)))</f>
        <v/>
      </c>
      <c r="G21" s="53" t="str">
        <f aca="false">IF($A21="","",IFERROR(ROUND(AVERAGEIF('Milk Production Log'!$B:$B,$A21,'Milk Production Log'!$E:$E),1),"-"))</f>
        <v/>
      </c>
      <c r="H21" s="52" t="str">
        <f aca="false">IF($A21="","",IF(SUMPRODUCT(MAX(('Milk Production Log'!$B$5:$B$404=$A21)*ROW('Milk Production Log'!$B$5:$B$404)))=0,"-",INDEX('Milk Production Log'!$A:$A,SUMPRODUCT(MAX(('Milk Production Log'!$B$5:$B$404=$A21)*ROW('Milk Production Log'!$B$5:$B$404))))))</f>
        <v/>
      </c>
      <c r="I21" s="53" t="str">
        <f aca="false">IF($A21="","",ROUND(SUMIF('Milk Production Log'!$B:$B,$A21,'Milk Production Log'!$E:$E),1))</f>
        <v/>
      </c>
    </row>
    <row r="22" customFormat="false" ht="15" hidden="false" customHeight="false" outlineLevel="0" collapsed="false">
      <c r="A22" s="47" t="str">
        <f aca="false">IFERROR(INDEX('Animal Register'!$A:$A,MATCH(18,'Animal Register'!$V:$V,0)),"")</f>
        <v/>
      </c>
      <c r="B22" s="47" t="str">
        <f aca="false">IF($A22="","",INDEX('Animal Register'!$C:$C,MATCH($A22,'Animal Register'!$A:$A,0)))</f>
        <v/>
      </c>
      <c r="C22" s="47" t="str">
        <f aca="false">IF($A22="","",INDEX('Animal Register'!$E:$E,MATCH($A22,'Animal Register'!$A:$A,0)))</f>
        <v/>
      </c>
      <c r="D22" s="52" t="str">
        <f aca="false">IF($A22="","",INDEX('Animal Register'!$F:$F,MATCH($A22,'Animal Register'!$A:$A,0)))</f>
        <v/>
      </c>
      <c r="E22" s="53" t="str">
        <f aca="false">IF($A22="","",INDEX('Animal Register'!$S:$S,MATCH($A22,'Animal Register'!$A:$A,0)))</f>
        <v/>
      </c>
      <c r="F22" s="47" t="str">
        <f aca="false">IF($A22="","",INDEX('Animal Register'!$Q:$Q,MATCH($A22,'Animal Register'!$A:$A,0)))</f>
        <v/>
      </c>
      <c r="G22" s="53" t="str">
        <f aca="false">IF($A22="","",IFERROR(ROUND(AVERAGEIF('Milk Production Log'!$B:$B,$A22,'Milk Production Log'!$E:$E),1),"-"))</f>
        <v/>
      </c>
      <c r="H22" s="52" t="str">
        <f aca="false">IF($A22="","",IF(SUMPRODUCT(MAX(('Milk Production Log'!$B$5:$B$404=$A22)*ROW('Milk Production Log'!$B$5:$B$404)))=0,"-",INDEX('Milk Production Log'!$A:$A,SUMPRODUCT(MAX(('Milk Production Log'!$B$5:$B$404=$A22)*ROW('Milk Production Log'!$B$5:$B$404))))))</f>
        <v/>
      </c>
      <c r="I22" s="53" t="str">
        <f aca="false">IF($A22="","",ROUND(SUMIF('Milk Production Log'!$B:$B,$A22,'Milk Production Log'!$E:$E),1))</f>
        <v/>
      </c>
    </row>
    <row r="23" customFormat="false" ht="15" hidden="false" customHeight="false" outlineLevel="0" collapsed="false">
      <c r="A23" s="47" t="str">
        <f aca="false">IFERROR(INDEX('Animal Register'!$A:$A,MATCH(19,'Animal Register'!$V:$V,0)),"")</f>
        <v/>
      </c>
      <c r="B23" s="47" t="str">
        <f aca="false">IF($A23="","",INDEX('Animal Register'!$C:$C,MATCH($A23,'Animal Register'!$A:$A,0)))</f>
        <v/>
      </c>
      <c r="C23" s="47" t="str">
        <f aca="false">IF($A23="","",INDEX('Animal Register'!$E:$E,MATCH($A23,'Animal Register'!$A:$A,0)))</f>
        <v/>
      </c>
      <c r="D23" s="52" t="str">
        <f aca="false">IF($A23="","",INDEX('Animal Register'!$F:$F,MATCH($A23,'Animal Register'!$A:$A,0)))</f>
        <v/>
      </c>
      <c r="E23" s="53" t="str">
        <f aca="false">IF($A23="","",INDEX('Animal Register'!$S:$S,MATCH($A23,'Animal Register'!$A:$A,0)))</f>
        <v/>
      </c>
      <c r="F23" s="47" t="str">
        <f aca="false">IF($A23="","",INDEX('Animal Register'!$Q:$Q,MATCH($A23,'Animal Register'!$A:$A,0)))</f>
        <v/>
      </c>
      <c r="G23" s="53" t="str">
        <f aca="false">IF($A23="","",IFERROR(ROUND(AVERAGEIF('Milk Production Log'!$B:$B,$A23,'Milk Production Log'!$E:$E),1),"-"))</f>
        <v/>
      </c>
      <c r="H23" s="52" t="str">
        <f aca="false">IF($A23="","",IF(SUMPRODUCT(MAX(('Milk Production Log'!$B$5:$B$404=$A23)*ROW('Milk Production Log'!$B$5:$B$404)))=0,"-",INDEX('Milk Production Log'!$A:$A,SUMPRODUCT(MAX(('Milk Production Log'!$B$5:$B$404=$A23)*ROW('Milk Production Log'!$B$5:$B$404))))))</f>
        <v/>
      </c>
      <c r="I23" s="53" t="str">
        <f aca="false">IF($A23="","",ROUND(SUMIF('Milk Production Log'!$B:$B,$A23,'Milk Production Log'!$E:$E),1))</f>
        <v/>
      </c>
    </row>
    <row r="24" customFormat="false" ht="15" hidden="false" customHeight="false" outlineLevel="0" collapsed="false">
      <c r="A24" s="47" t="str">
        <f aca="false">IFERROR(INDEX('Animal Register'!$A:$A,MATCH(20,'Animal Register'!$V:$V,0)),"")</f>
        <v/>
      </c>
      <c r="B24" s="47" t="str">
        <f aca="false">IF($A24="","",INDEX('Animal Register'!$C:$C,MATCH($A24,'Animal Register'!$A:$A,0)))</f>
        <v/>
      </c>
      <c r="C24" s="47" t="str">
        <f aca="false">IF($A24="","",INDEX('Animal Register'!$E:$E,MATCH($A24,'Animal Register'!$A:$A,0)))</f>
        <v/>
      </c>
      <c r="D24" s="52" t="str">
        <f aca="false">IF($A24="","",INDEX('Animal Register'!$F:$F,MATCH($A24,'Animal Register'!$A:$A,0)))</f>
        <v/>
      </c>
      <c r="E24" s="53" t="str">
        <f aca="false">IF($A24="","",INDEX('Animal Register'!$S:$S,MATCH($A24,'Animal Register'!$A:$A,0)))</f>
        <v/>
      </c>
      <c r="F24" s="47" t="str">
        <f aca="false">IF($A24="","",INDEX('Animal Register'!$Q:$Q,MATCH($A24,'Animal Register'!$A:$A,0)))</f>
        <v/>
      </c>
      <c r="G24" s="53" t="str">
        <f aca="false">IF($A24="","",IFERROR(ROUND(AVERAGEIF('Milk Production Log'!$B:$B,$A24,'Milk Production Log'!$E:$E),1),"-"))</f>
        <v/>
      </c>
      <c r="H24" s="52" t="str">
        <f aca="false">IF($A24="","",IF(SUMPRODUCT(MAX(('Milk Production Log'!$B$5:$B$404=$A24)*ROW('Milk Production Log'!$B$5:$B$404)))=0,"-",INDEX('Milk Production Log'!$A:$A,SUMPRODUCT(MAX(('Milk Production Log'!$B$5:$B$404=$A24)*ROW('Milk Production Log'!$B$5:$B$404))))))</f>
        <v/>
      </c>
      <c r="I24" s="53" t="str">
        <f aca="false">IF($A24="","",ROUND(SUMIF('Milk Production Log'!$B:$B,$A24,'Milk Production Log'!$E:$E),1))</f>
        <v/>
      </c>
    </row>
    <row r="25" customFormat="false" ht="15" hidden="false" customHeight="false" outlineLevel="0" collapsed="false">
      <c r="A25" s="47" t="str">
        <f aca="false">IFERROR(INDEX('Animal Register'!$A:$A,MATCH(21,'Animal Register'!$V:$V,0)),"")</f>
        <v/>
      </c>
      <c r="B25" s="47" t="str">
        <f aca="false">IF($A25="","",INDEX('Animal Register'!$C:$C,MATCH($A25,'Animal Register'!$A:$A,0)))</f>
        <v/>
      </c>
      <c r="C25" s="47" t="str">
        <f aca="false">IF($A25="","",INDEX('Animal Register'!$E:$E,MATCH($A25,'Animal Register'!$A:$A,0)))</f>
        <v/>
      </c>
      <c r="D25" s="52" t="str">
        <f aca="false">IF($A25="","",INDEX('Animal Register'!$F:$F,MATCH($A25,'Animal Register'!$A:$A,0)))</f>
        <v/>
      </c>
      <c r="E25" s="53" t="str">
        <f aca="false">IF($A25="","",INDEX('Animal Register'!$S:$S,MATCH($A25,'Animal Register'!$A:$A,0)))</f>
        <v/>
      </c>
      <c r="F25" s="47" t="str">
        <f aca="false">IF($A25="","",INDEX('Animal Register'!$Q:$Q,MATCH($A25,'Animal Register'!$A:$A,0)))</f>
        <v/>
      </c>
      <c r="G25" s="53" t="str">
        <f aca="false">IF($A25="","",IFERROR(ROUND(AVERAGEIF('Milk Production Log'!$B:$B,$A25,'Milk Production Log'!$E:$E),1),"-"))</f>
        <v/>
      </c>
      <c r="H25" s="52" t="str">
        <f aca="false">IF($A25="","",IF(SUMPRODUCT(MAX(('Milk Production Log'!$B$5:$B$404=$A25)*ROW('Milk Production Log'!$B$5:$B$404)))=0,"-",INDEX('Milk Production Log'!$A:$A,SUMPRODUCT(MAX(('Milk Production Log'!$B$5:$B$404=$A25)*ROW('Milk Production Log'!$B$5:$B$404))))))</f>
        <v/>
      </c>
      <c r="I25" s="53" t="str">
        <f aca="false">IF($A25="","",ROUND(SUMIF('Milk Production Log'!$B:$B,$A25,'Milk Production Log'!$E:$E),1))</f>
        <v/>
      </c>
    </row>
    <row r="26" customFormat="false" ht="15" hidden="false" customHeight="false" outlineLevel="0" collapsed="false">
      <c r="A26" s="47" t="str">
        <f aca="false">IFERROR(INDEX('Animal Register'!$A:$A,MATCH(22,'Animal Register'!$V:$V,0)),"")</f>
        <v/>
      </c>
      <c r="B26" s="47" t="str">
        <f aca="false">IF($A26="","",INDEX('Animal Register'!$C:$C,MATCH($A26,'Animal Register'!$A:$A,0)))</f>
        <v/>
      </c>
      <c r="C26" s="47" t="str">
        <f aca="false">IF($A26="","",INDEX('Animal Register'!$E:$E,MATCH($A26,'Animal Register'!$A:$A,0)))</f>
        <v/>
      </c>
      <c r="D26" s="52" t="str">
        <f aca="false">IF($A26="","",INDEX('Animal Register'!$F:$F,MATCH($A26,'Animal Register'!$A:$A,0)))</f>
        <v/>
      </c>
      <c r="E26" s="53" t="str">
        <f aca="false">IF($A26="","",INDEX('Animal Register'!$S:$S,MATCH($A26,'Animal Register'!$A:$A,0)))</f>
        <v/>
      </c>
      <c r="F26" s="47" t="str">
        <f aca="false">IF($A26="","",INDEX('Animal Register'!$Q:$Q,MATCH($A26,'Animal Register'!$A:$A,0)))</f>
        <v/>
      </c>
      <c r="G26" s="53" t="str">
        <f aca="false">IF($A26="","",IFERROR(ROUND(AVERAGEIF('Milk Production Log'!$B:$B,$A26,'Milk Production Log'!$E:$E),1),"-"))</f>
        <v/>
      </c>
      <c r="H26" s="52" t="str">
        <f aca="false">IF($A26="","",IF(SUMPRODUCT(MAX(('Milk Production Log'!$B$5:$B$404=$A26)*ROW('Milk Production Log'!$B$5:$B$404)))=0,"-",INDEX('Milk Production Log'!$A:$A,SUMPRODUCT(MAX(('Milk Production Log'!$B$5:$B$404=$A26)*ROW('Milk Production Log'!$B$5:$B$404))))))</f>
        <v/>
      </c>
      <c r="I26" s="53" t="str">
        <f aca="false">IF($A26="","",ROUND(SUMIF('Milk Production Log'!$B:$B,$A26,'Milk Production Log'!$E:$E),1))</f>
        <v/>
      </c>
    </row>
    <row r="27" customFormat="false" ht="15" hidden="false" customHeight="false" outlineLevel="0" collapsed="false">
      <c r="A27" s="47" t="str">
        <f aca="false">IFERROR(INDEX('Animal Register'!$A:$A,MATCH(23,'Animal Register'!$V:$V,0)),"")</f>
        <v/>
      </c>
      <c r="B27" s="47" t="str">
        <f aca="false">IF($A27="","",INDEX('Animal Register'!$C:$C,MATCH($A27,'Animal Register'!$A:$A,0)))</f>
        <v/>
      </c>
      <c r="C27" s="47" t="str">
        <f aca="false">IF($A27="","",INDEX('Animal Register'!$E:$E,MATCH($A27,'Animal Register'!$A:$A,0)))</f>
        <v/>
      </c>
      <c r="D27" s="52" t="str">
        <f aca="false">IF($A27="","",INDEX('Animal Register'!$F:$F,MATCH($A27,'Animal Register'!$A:$A,0)))</f>
        <v/>
      </c>
      <c r="E27" s="53" t="str">
        <f aca="false">IF($A27="","",INDEX('Animal Register'!$S:$S,MATCH($A27,'Animal Register'!$A:$A,0)))</f>
        <v/>
      </c>
      <c r="F27" s="47" t="str">
        <f aca="false">IF($A27="","",INDEX('Animal Register'!$Q:$Q,MATCH($A27,'Animal Register'!$A:$A,0)))</f>
        <v/>
      </c>
      <c r="G27" s="53" t="str">
        <f aca="false">IF($A27="","",IFERROR(ROUND(AVERAGEIF('Milk Production Log'!$B:$B,$A27,'Milk Production Log'!$E:$E),1),"-"))</f>
        <v/>
      </c>
      <c r="H27" s="52" t="str">
        <f aca="false">IF($A27="","",IF(SUMPRODUCT(MAX(('Milk Production Log'!$B$5:$B$404=$A27)*ROW('Milk Production Log'!$B$5:$B$404)))=0,"-",INDEX('Milk Production Log'!$A:$A,SUMPRODUCT(MAX(('Milk Production Log'!$B$5:$B$404=$A27)*ROW('Milk Production Log'!$B$5:$B$404))))))</f>
        <v/>
      </c>
      <c r="I27" s="53" t="str">
        <f aca="false">IF($A27="","",ROUND(SUMIF('Milk Production Log'!$B:$B,$A27,'Milk Production Log'!$E:$E),1))</f>
        <v/>
      </c>
    </row>
    <row r="28" customFormat="false" ht="15" hidden="false" customHeight="false" outlineLevel="0" collapsed="false">
      <c r="A28" s="47" t="str">
        <f aca="false">IFERROR(INDEX('Animal Register'!$A:$A,MATCH(24,'Animal Register'!$V:$V,0)),"")</f>
        <v/>
      </c>
      <c r="B28" s="47" t="str">
        <f aca="false">IF($A28="","",INDEX('Animal Register'!$C:$C,MATCH($A28,'Animal Register'!$A:$A,0)))</f>
        <v/>
      </c>
      <c r="C28" s="47" t="str">
        <f aca="false">IF($A28="","",INDEX('Animal Register'!$E:$E,MATCH($A28,'Animal Register'!$A:$A,0)))</f>
        <v/>
      </c>
      <c r="D28" s="52" t="str">
        <f aca="false">IF($A28="","",INDEX('Animal Register'!$F:$F,MATCH($A28,'Animal Register'!$A:$A,0)))</f>
        <v/>
      </c>
      <c r="E28" s="53" t="str">
        <f aca="false">IF($A28="","",INDEX('Animal Register'!$S:$S,MATCH($A28,'Animal Register'!$A:$A,0)))</f>
        <v/>
      </c>
      <c r="F28" s="47" t="str">
        <f aca="false">IF($A28="","",INDEX('Animal Register'!$Q:$Q,MATCH($A28,'Animal Register'!$A:$A,0)))</f>
        <v/>
      </c>
      <c r="G28" s="53" t="str">
        <f aca="false">IF($A28="","",IFERROR(ROUND(AVERAGEIF('Milk Production Log'!$B:$B,$A28,'Milk Production Log'!$E:$E),1),"-"))</f>
        <v/>
      </c>
      <c r="H28" s="52" t="str">
        <f aca="false">IF($A28="","",IF(SUMPRODUCT(MAX(('Milk Production Log'!$B$5:$B$404=$A28)*ROW('Milk Production Log'!$B$5:$B$404)))=0,"-",INDEX('Milk Production Log'!$A:$A,SUMPRODUCT(MAX(('Milk Production Log'!$B$5:$B$404=$A28)*ROW('Milk Production Log'!$B$5:$B$404))))))</f>
        <v/>
      </c>
      <c r="I28" s="53" t="str">
        <f aca="false">IF($A28="","",ROUND(SUMIF('Milk Production Log'!$B:$B,$A28,'Milk Production Log'!$E:$E),1))</f>
        <v/>
      </c>
    </row>
    <row r="29" customFormat="false" ht="15" hidden="false" customHeight="false" outlineLevel="0" collapsed="false">
      <c r="A29" s="47" t="str">
        <f aca="false">IFERROR(INDEX('Animal Register'!$A:$A,MATCH(25,'Animal Register'!$V:$V,0)),"")</f>
        <v/>
      </c>
      <c r="B29" s="47" t="str">
        <f aca="false">IF($A29="","",INDEX('Animal Register'!$C:$C,MATCH($A29,'Animal Register'!$A:$A,0)))</f>
        <v/>
      </c>
      <c r="C29" s="47" t="str">
        <f aca="false">IF($A29="","",INDEX('Animal Register'!$E:$E,MATCH($A29,'Animal Register'!$A:$A,0)))</f>
        <v/>
      </c>
      <c r="D29" s="52" t="str">
        <f aca="false">IF($A29="","",INDEX('Animal Register'!$F:$F,MATCH($A29,'Animal Register'!$A:$A,0)))</f>
        <v/>
      </c>
      <c r="E29" s="53" t="str">
        <f aca="false">IF($A29="","",INDEX('Animal Register'!$S:$S,MATCH($A29,'Animal Register'!$A:$A,0)))</f>
        <v/>
      </c>
      <c r="F29" s="47" t="str">
        <f aca="false">IF($A29="","",INDEX('Animal Register'!$Q:$Q,MATCH($A29,'Animal Register'!$A:$A,0)))</f>
        <v/>
      </c>
      <c r="G29" s="53" t="str">
        <f aca="false">IF($A29="","",IFERROR(ROUND(AVERAGEIF('Milk Production Log'!$B:$B,$A29,'Milk Production Log'!$E:$E),1),"-"))</f>
        <v/>
      </c>
      <c r="H29" s="52" t="str">
        <f aca="false">IF($A29="","",IF(SUMPRODUCT(MAX(('Milk Production Log'!$B$5:$B$404=$A29)*ROW('Milk Production Log'!$B$5:$B$404)))=0,"-",INDEX('Milk Production Log'!$A:$A,SUMPRODUCT(MAX(('Milk Production Log'!$B$5:$B$404=$A29)*ROW('Milk Production Log'!$B$5:$B$404))))))</f>
        <v/>
      </c>
      <c r="I29" s="53" t="str">
        <f aca="false">IF($A29="","",ROUND(SUMIF('Milk Production Log'!$B:$B,$A29,'Milk Production Log'!$E:$E),1))</f>
        <v/>
      </c>
    </row>
    <row r="30" customFormat="false" ht="15" hidden="false" customHeight="false" outlineLevel="0" collapsed="false">
      <c r="A30" s="47" t="str">
        <f aca="false">IFERROR(INDEX('Animal Register'!$A:$A,MATCH(26,'Animal Register'!$V:$V,0)),"")</f>
        <v/>
      </c>
      <c r="B30" s="47" t="str">
        <f aca="false">IF($A30="","",INDEX('Animal Register'!$C:$C,MATCH($A30,'Animal Register'!$A:$A,0)))</f>
        <v/>
      </c>
      <c r="C30" s="47" t="str">
        <f aca="false">IF($A30="","",INDEX('Animal Register'!$E:$E,MATCH($A30,'Animal Register'!$A:$A,0)))</f>
        <v/>
      </c>
      <c r="D30" s="52" t="str">
        <f aca="false">IF($A30="","",INDEX('Animal Register'!$F:$F,MATCH($A30,'Animal Register'!$A:$A,0)))</f>
        <v/>
      </c>
      <c r="E30" s="53" t="str">
        <f aca="false">IF($A30="","",INDEX('Animal Register'!$S:$S,MATCH($A30,'Animal Register'!$A:$A,0)))</f>
        <v/>
      </c>
      <c r="F30" s="47" t="str">
        <f aca="false">IF($A30="","",INDEX('Animal Register'!$Q:$Q,MATCH($A30,'Animal Register'!$A:$A,0)))</f>
        <v/>
      </c>
      <c r="G30" s="53" t="str">
        <f aca="false">IF($A30="","",IFERROR(ROUND(AVERAGEIF('Milk Production Log'!$B:$B,$A30,'Milk Production Log'!$E:$E),1),"-"))</f>
        <v/>
      </c>
      <c r="H30" s="52" t="str">
        <f aca="false">IF($A30="","",IF(SUMPRODUCT(MAX(('Milk Production Log'!$B$5:$B$404=$A30)*ROW('Milk Production Log'!$B$5:$B$404)))=0,"-",INDEX('Milk Production Log'!$A:$A,SUMPRODUCT(MAX(('Milk Production Log'!$B$5:$B$404=$A30)*ROW('Milk Production Log'!$B$5:$B$404))))))</f>
        <v/>
      </c>
      <c r="I30" s="53" t="str">
        <f aca="false">IF($A30="","",ROUND(SUMIF('Milk Production Log'!$B:$B,$A30,'Milk Production Log'!$E:$E),1))</f>
        <v/>
      </c>
    </row>
    <row r="31" customFormat="false" ht="15" hidden="false" customHeight="false" outlineLevel="0" collapsed="false">
      <c r="A31" s="47" t="str">
        <f aca="false">IFERROR(INDEX('Animal Register'!$A:$A,MATCH(27,'Animal Register'!$V:$V,0)),"")</f>
        <v/>
      </c>
      <c r="B31" s="47" t="str">
        <f aca="false">IF($A31="","",INDEX('Animal Register'!$C:$C,MATCH($A31,'Animal Register'!$A:$A,0)))</f>
        <v/>
      </c>
      <c r="C31" s="47" t="str">
        <f aca="false">IF($A31="","",INDEX('Animal Register'!$E:$E,MATCH($A31,'Animal Register'!$A:$A,0)))</f>
        <v/>
      </c>
      <c r="D31" s="52" t="str">
        <f aca="false">IF($A31="","",INDEX('Animal Register'!$F:$F,MATCH($A31,'Animal Register'!$A:$A,0)))</f>
        <v/>
      </c>
      <c r="E31" s="53" t="str">
        <f aca="false">IF($A31="","",INDEX('Animal Register'!$S:$S,MATCH($A31,'Animal Register'!$A:$A,0)))</f>
        <v/>
      </c>
      <c r="F31" s="47" t="str">
        <f aca="false">IF($A31="","",INDEX('Animal Register'!$Q:$Q,MATCH($A31,'Animal Register'!$A:$A,0)))</f>
        <v/>
      </c>
      <c r="G31" s="53" t="str">
        <f aca="false">IF($A31="","",IFERROR(ROUND(AVERAGEIF('Milk Production Log'!$B:$B,$A31,'Milk Production Log'!$E:$E),1),"-"))</f>
        <v/>
      </c>
      <c r="H31" s="52" t="str">
        <f aca="false">IF($A31="","",IF(SUMPRODUCT(MAX(('Milk Production Log'!$B$5:$B$404=$A31)*ROW('Milk Production Log'!$B$5:$B$404)))=0,"-",INDEX('Milk Production Log'!$A:$A,SUMPRODUCT(MAX(('Milk Production Log'!$B$5:$B$404=$A31)*ROW('Milk Production Log'!$B$5:$B$404))))))</f>
        <v/>
      </c>
      <c r="I31" s="53" t="str">
        <f aca="false">IF($A31="","",ROUND(SUMIF('Milk Production Log'!$B:$B,$A31,'Milk Production Log'!$E:$E),1))</f>
        <v/>
      </c>
    </row>
    <row r="32" customFormat="false" ht="15" hidden="false" customHeight="false" outlineLevel="0" collapsed="false">
      <c r="A32" s="47" t="str">
        <f aca="false">IFERROR(INDEX('Animal Register'!$A:$A,MATCH(28,'Animal Register'!$V:$V,0)),"")</f>
        <v/>
      </c>
      <c r="B32" s="47" t="str">
        <f aca="false">IF($A32="","",INDEX('Animal Register'!$C:$C,MATCH($A32,'Animal Register'!$A:$A,0)))</f>
        <v/>
      </c>
      <c r="C32" s="47" t="str">
        <f aca="false">IF($A32="","",INDEX('Animal Register'!$E:$E,MATCH($A32,'Animal Register'!$A:$A,0)))</f>
        <v/>
      </c>
      <c r="D32" s="52" t="str">
        <f aca="false">IF($A32="","",INDEX('Animal Register'!$F:$F,MATCH($A32,'Animal Register'!$A:$A,0)))</f>
        <v/>
      </c>
      <c r="E32" s="53" t="str">
        <f aca="false">IF($A32="","",INDEX('Animal Register'!$S:$S,MATCH($A32,'Animal Register'!$A:$A,0)))</f>
        <v/>
      </c>
      <c r="F32" s="47" t="str">
        <f aca="false">IF($A32="","",INDEX('Animal Register'!$Q:$Q,MATCH($A32,'Animal Register'!$A:$A,0)))</f>
        <v/>
      </c>
      <c r="G32" s="53" t="str">
        <f aca="false">IF($A32="","",IFERROR(ROUND(AVERAGEIF('Milk Production Log'!$B:$B,$A32,'Milk Production Log'!$E:$E),1),"-"))</f>
        <v/>
      </c>
      <c r="H32" s="52" t="str">
        <f aca="false">IF($A32="","",IF(SUMPRODUCT(MAX(('Milk Production Log'!$B$5:$B$404=$A32)*ROW('Milk Production Log'!$B$5:$B$404)))=0,"-",INDEX('Milk Production Log'!$A:$A,SUMPRODUCT(MAX(('Milk Production Log'!$B$5:$B$404=$A32)*ROW('Milk Production Log'!$B$5:$B$404))))))</f>
        <v/>
      </c>
      <c r="I32" s="53" t="str">
        <f aca="false">IF($A32="","",ROUND(SUMIF('Milk Production Log'!$B:$B,$A32,'Milk Production Log'!$E:$E),1))</f>
        <v/>
      </c>
    </row>
    <row r="33" customFormat="false" ht="15" hidden="false" customHeight="false" outlineLevel="0" collapsed="false">
      <c r="A33" s="47" t="str">
        <f aca="false">IFERROR(INDEX('Animal Register'!$A:$A,MATCH(29,'Animal Register'!$V:$V,0)),"")</f>
        <v/>
      </c>
      <c r="B33" s="47" t="str">
        <f aca="false">IF($A33="","",INDEX('Animal Register'!$C:$C,MATCH($A33,'Animal Register'!$A:$A,0)))</f>
        <v/>
      </c>
      <c r="C33" s="47" t="str">
        <f aca="false">IF($A33="","",INDEX('Animal Register'!$E:$E,MATCH($A33,'Animal Register'!$A:$A,0)))</f>
        <v/>
      </c>
      <c r="D33" s="52" t="str">
        <f aca="false">IF($A33="","",INDEX('Animal Register'!$F:$F,MATCH($A33,'Animal Register'!$A:$A,0)))</f>
        <v/>
      </c>
      <c r="E33" s="53" t="str">
        <f aca="false">IF($A33="","",INDEX('Animal Register'!$S:$S,MATCH($A33,'Animal Register'!$A:$A,0)))</f>
        <v/>
      </c>
      <c r="F33" s="47" t="str">
        <f aca="false">IF($A33="","",INDEX('Animal Register'!$Q:$Q,MATCH($A33,'Animal Register'!$A:$A,0)))</f>
        <v/>
      </c>
      <c r="G33" s="53" t="str">
        <f aca="false">IF($A33="","",IFERROR(ROUND(AVERAGEIF('Milk Production Log'!$B:$B,$A33,'Milk Production Log'!$E:$E),1),"-"))</f>
        <v/>
      </c>
      <c r="H33" s="52" t="str">
        <f aca="false">IF($A33="","",IF(SUMPRODUCT(MAX(('Milk Production Log'!$B$5:$B$404=$A33)*ROW('Milk Production Log'!$B$5:$B$404)))=0,"-",INDEX('Milk Production Log'!$A:$A,SUMPRODUCT(MAX(('Milk Production Log'!$B$5:$B$404=$A33)*ROW('Milk Production Log'!$B$5:$B$404))))))</f>
        <v/>
      </c>
      <c r="I33" s="53" t="str">
        <f aca="false">IF($A33="","",ROUND(SUMIF('Milk Production Log'!$B:$B,$A33,'Milk Production Log'!$E:$E),1))</f>
        <v/>
      </c>
    </row>
    <row r="34" customFormat="false" ht="15" hidden="false" customHeight="false" outlineLevel="0" collapsed="false">
      <c r="A34" s="47" t="str">
        <f aca="false">IFERROR(INDEX('Animal Register'!$A:$A,MATCH(30,'Animal Register'!$V:$V,0)),"")</f>
        <v/>
      </c>
      <c r="B34" s="47" t="str">
        <f aca="false">IF($A34="","",INDEX('Animal Register'!$C:$C,MATCH($A34,'Animal Register'!$A:$A,0)))</f>
        <v/>
      </c>
      <c r="C34" s="47" t="str">
        <f aca="false">IF($A34="","",INDEX('Animal Register'!$E:$E,MATCH($A34,'Animal Register'!$A:$A,0)))</f>
        <v/>
      </c>
      <c r="D34" s="52" t="str">
        <f aca="false">IF($A34="","",INDEX('Animal Register'!$F:$F,MATCH($A34,'Animal Register'!$A:$A,0)))</f>
        <v/>
      </c>
      <c r="E34" s="53" t="str">
        <f aca="false">IF($A34="","",INDEX('Animal Register'!$S:$S,MATCH($A34,'Animal Register'!$A:$A,0)))</f>
        <v/>
      </c>
      <c r="F34" s="47" t="str">
        <f aca="false">IF($A34="","",INDEX('Animal Register'!$Q:$Q,MATCH($A34,'Animal Register'!$A:$A,0)))</f>
        <v/>
      </c>
      <c r="G34" s="53" t="str">
        <f aca="false">IF($A34="","",IFERROR(ROUND(AVERAGEIF('Milk Production Log'!$B:$B,$A34,'Milk Production Log'!$E:$E),1),"-"))</f>
        <v/>
      </c>
      <c r="H34" s="52" t="str">
        <f aca="false">IF($A34="","",IF(SUMPRODUCT(MAX(('Milk Production Log'!$B$5:$B$404=$A34)*ROW('Milk Production Log'!$B$5:$B$404)))=0,"-",INDEX('Milk Production Log'!$A:$A,SUMPRODUCT(MAX(('Milk Production Log'!$B$5:$B$404=$A34)*ROW('Milk Production Log'!$B$5:$B$404))))))</f>
        <v/>
      </c>
      <c r="I34" s="53" t="str">
        <f aca="false">IF($A34="","",ROUND(SUMIF('Milk Production Log'!$B:$B,$A34,'Milk Production Log'!$E:$E),1))</f>
        <v/>
      </c>
    </row>
    <row r="35" customFormat="false" ht="15" hidden="false" customHeight="false" outlineLevel="0" collapsed="false">
      <c r="A35" s="47" t="str">
        <f aca="false">IFERROR(INDEX('Animal Register'!$A:$A,MATCH(31,'Animal Register'!$V:$V,0)),"")</f>
        <v/>
      </c>
      <c r="B35" s="47" t="str">
        <f aca="false">IF($A35="","",INDEX('Animal Register'!$C:$C,MATCH($A35,'Animal Register'!$A:$A,0)))</f>
        <v/>
      </c>
      <c r="C35" s="47" t="str">
        <f aca="false">IF($A35="","",INDEX('Animal Register'!$E:$E,MATCH($A35,'Animal Register'!$A:$A,0)))</f>
        <v/>
      </c>
      <c r="D35" s="52" t="str">
        <f aca="false">IF($A35="","",INDEX('Animal Register'!$F:$F,MATCH($A35,'Animal Register'!$A:$A,0)))</f>
        <v/>
      </c>
      <c r="E35" s="53" t="str">
        <f aca="false">IF($A35="","",INDEX('Animal Register'!$S:$S,MATCH($A35,'Animal Register'!$A:$A,0)))</f>
        <v/>
      </c>
      <c r="F35" s="47" t="str">
        <f aca="false">IF($A35="","",INDEX('Animal Register'!$Q:$Q,MATCH($A35,'Animal Register'!$A:$A,0)))</f>
        <v/>
      </c>
      <c r="G35" s="53" t="str">
        <f aca="false">IF($A35="","",IFERROR(ROUND(AVERAGEIF('Milk Production Log'!$B:$B,$A35,'Milk Production Log'!$E:$E),1),"-"))</f>
        <v/>
      </c>
      <c r="H35" s="52" t="str">
        <f aca="false">IF($A35="","",IF(SUMPRODUCT(MAX(('Milk Production Log'!$B$5:$B$404=$A35)*ROW('Milk Production Log'!$B$5:$B$404)))=0,"-",INDEX('Milk Production Log'!$A:$A,SUMPRODUCT(MAX(('Milk Production Log'!$B$5:$B$404=$A35)*ROW('Milk Production Log'!$B$5:$B$404))))))</f>
        <v/>
      </c>
      <c r="I35" s="53" t="str">
        <f aca="false">IF($A35="","",ROUND(SUMIF('Milk Production Log'!$B:$B,$A35,'Milk Production Log'!$E:$E),1))</f>
        <v/>
      </c>
    </row>
    <row r="36" customFormat="false" ht="15" hidden="false" customHeight="false" outlineLevel="0" collapsed="false">
      <c r="A36" s="47" t="str">
        <f aca="false">IFERROR(INDEX('Animal Register'!$A:$A,MATCH(32,'Animal Register'!$V:$V,0)),"")</f>
        <v/>
      </c>
      <c r="B36" s="47" t="str">
        <f aca="false">IF($A36="","",INDEX('Animal Register'!$C:$C,MATCH($A36,'Animal Register'!$A:$A,0)))</f>
        <v/>
      </c>
      <c r="C36" s="47" t="str">
        <f aca="false">IF($A36="","",INDEX('Animal Register'!$E:$E,MATCH($A36,'Animal Register'!$A:$A,0)))</f>
        <v/>
      </c>
      <c r="D36" s="52" t="str">
        <f aca="false">IF($A36="","",INDEX('Animal Register'!$F:$F,MATCH($A36,'Animal Register'!$A:$A,0)))</f>
        <v/>
      </c>
      <c r="E36" s="53" t="str">
        <f aca="false">IF($A36="","",INDEX('Animal Register'!$S:$S,MATCH($A36,'Animal Register'!$A:$A,0)))</f>
        <v/>
      </c>
      <c r="F36" s="47" t="str">
        <f aca="false">IF($A36="","",INDEX('Animal Register'!$Q:$Q,MATCH($A36,'Animal Register'!$A:$A,0)))</f>
        <v/>
      </c>
      <c r="G36" s="53" t="str">
        <f aca="false">IF($A36="","",IFERROR(ROUND(AVERAGEIF('Milk Production Log'!$B:$B,$A36,'Milk Production Log'!$E:$E),1),"-"))</f>
        <v/>
      </c>
      <c r="H36" s="52" t="str">
        <f aca="false">IF($A36="","",IF(SUMPRODUCT(MAX(('Milk Production Log'!$B$5:$B$404=$A36)*ROW('Milk Production Log'!$B$5:$B$404)))=0,"-",INDEX('Milk Production Log'!$A:$A,SUMPRODUCT(MAX(('Milk Production Log'!$B$5:$B$404=$A36)*ROW('Milk Production Log'!$B$5:$B$404))))))</f>
        <v/>
      </c>
      <c r="I36" s="53" t="str">
        <f aca="false">IF($A36="","",ROUND(SUMIF('Milk Production Log'!$B:$B,$A36,'Milk Production Log'!$E:$E),1))</f>
        <v/>
      </c>
    </row>
    <row r="37" customFormat="false" ht="15" hidden="false" customHeight="false" outlineLevel="0" collapsed="false">
      <c r="A37" s="47" t="str">
        <f aca="false">IFERROR(INDEX('Animal Register'!$A:$A,MATCH(33,'Animal Register'!$V:$V,0)),"")</f>
        <v/>
      </c>
      <c r="B37" s="47" t="str">
        <f aca="false">IF($A37="","",INDEX('Animal Register'!$C:$C,MATCH($A37,'Animal Register'!$A:$A,0)))</f>
        <v/>
      </c>
      <c r="C37" s="47" t="str">
        <f aca="false">IF($A37="","",INDEX('Animal Register'!$E:$E,MATCH($A37,'Animal Register'!$A:$A,0)))</f>
        <v/>
      </c>
      <c r="D37" s="52" t="str">
        <f aca="false">IF($A37="","",INDEX('Animal Register'!$F:$F,MATCH($A37,'Animal Register'!$A:$A,0)))</f>
        <v/>
      </c>
      <c r="E37" s="53" t="str">
        <f aca="false">IF($A37="","",INDEX('Animal Register'!$S:$S,MATCH($A37,'Animal Register'!$A:$A,0)))</f>
        <v/>
      </c>
      <c r="F37" s="47" t="str">
        <f aca="false">IF($A37="","",INDEX('Animal Register'!$Q:$Q,MATCH($A37,'Animal Register'!$A:$A,0)))</f>
        <v/>
      </c>
      <c r="G37" s="53" t="str">
        <f aca="false">IF($A37="","",IFERROR(ROUND(AVERAGEIF('Milk Production Log'!$B:$B,$A37,'Milk Production Log'!$E:$E),1),"-"))</f>
        <v/>
      </c>
      <c r="H37" s="52" t="str">
        <f aca="false">IF($A37="","",IF(SUMPRODUCT(MAX(('Milk Production Log'!$B$5:$B$404=$A37)*ROW('Milk Production Log'!$B$5:$B$404)))=0,"-",INDEX('Milk Production Log'!$A:$A,SUMPRODUCT(MAX(('Milk Production Log'!$B$5:$B$404=$A37)*ROW('Milk Production Log'!$B$5:$B$404))))))</f>
        <v/>
      </c>
      <c r="I37" s="53" t="str">
        <f aca="false">IF($A37="","",ROUND(SUMIF('Milk Production Log'!$B:$B,$A37,'Milk Production Log'!$E:$E),1))</f>
        <v/>
      </c>
    </row>
    <row r="38" customFormat="false" ht="15" hidden="false" customHeight="false" outlineLevel="0" collapsed="false">
      <c r="A38" s="47" t="str">
        <f aca="false">IFERROR(INDEX('Animal Register'!$A:$A,MATCH(34,'Animal Register'!$V:$V,0)),"")</f>
        <v/>
      </c>
      <c r="B38" s="47" t="str">
        <f aca="false">IF($A38="","",INDEX('Animal Register'!$C:$C,MATCH($A38,'Animal Register'!$A:$A,0)))</f>
        <v/>
      </c>
      <c r="C38" s="47" t="str">
        <f aca="false">IF($A38="","",INDEX('Animal Register'!$E:$E,MATCH($A38,'Animal Register'!$A:$A,0)))</f>
        <v/>
      </c>
      <c r="D38" s="52" t="str">
        <f aca="false">IF($A38="","",INDEX('Animal Register'!$F:$F,MATCH($A38,'Animal Register'!$A:$A,0)))</f>
        <v/>
      </c>
      <c r="E38" s="53" t="str">
        <f aca="false">IF($A38="","",INDEX('Animal Register'!$S:$S,MATCH($A38,'Animal Register'!$A:$A,0)))</f>
        <v/>
      </c>
      <c r="F38" s="47" t="str">
        <f aca="false">IF($A38="","",INDEX('Animal Register'!$Q:$Q,MATCH($A38,'Animal Register'!$A:$A,0)))</f>
        <v/>
      </c>
      <c r="G38" s="53" t="str">
        <f aca="false">IF($A38="","",IFERROR(ROUND(AVERAGEIF('Milk Production Log'!$B:$B,$A38,'Milk Production Log'!$E:$E),1),"-"))</f>
        <v/>
      </c>
      <c r="H38" s="52" t="str">
        <f aca="false">IF($A38="","",IF(SUMPRODUCT(MAX(('Milk Production Log'!$B$5:$B$404=$A38)*ROW('Milk Production Log'!$B$5:$B$404)))=0,"-",INDEX('Milk Production Log'!$A:$A,SUMPRODUCT(MAX(('Milk Production Log'!$B$5:$B$404=$A38)*ROW('Milk Production Log'!$B$5:$B$404))))))</f>
        <v/>
      </c>
      <c r="I38" s="53" t="str">
        <f aca="false">IF($A38="","",ROUND(SUMIF('Milk Production Log'!$B:$B,$A38,'Milk Production Log'!$E:$E),1))</f>
        <v/>
      </c>
    </row>
    <row r="39" customFormat="false" ht="15" hidden="false" customHeight="false" outlineLevel="0" collapsed="false">
      <c r="A39" s="47" t="str">
        <f aca="false">IFERROR(INDEX('Animal Register'!$A:$A,MATCH(35,'Animal Register'!$V:$V,0)),"")</f>
        <v/>
      </c>
      <c r="B39" s="47" t="str">
        <f aca="false">IF($A39="","",INDEX('Animal Register'!$C:$C,MATCH($A39,'Animal Register'!$A:$A,0)))</f>
        <v/>
      </c>
      <c r="C39" s="47" t="str">
        <f aca="false">IF($A39="","",INDEX('Animal Register'!$E:$E,MATCH($A39,'Animal Register'!$A:$A,0)))</f>
        <v/>
      </c>
      <c r="D39" s="52" t="str">
        <f aca="false">IF($A39="","",INDEX('Animal Register'!$F:$F,MATCH($A39,'Animal Register'!$A:$A,0)))</f>
        <v/>
      </c>
      <c r="E39" s="53" t="str">
        <f aca="false">IF($A39="","",INDEX('Animal Register'!$S:$S,MATCH($A39,'Animal Register'!$A:$A,0)))</f>
        <v/>
      </c>
      <c r="F39" s="47" t="str">
        <f aca="false">IF($A39="","",INDEX('Animal Register'!$Q:$Q,MATCH($A39,'Animal Register'!$A:$A,0)))</f>
        <v/>
      </c>
      <c r="G39" s="53" t="str">
        <f aca="false">IF($A39="","",IFERROR(ROUND(AVERAGEIF('Milk Production Log'!$B:$B,$A39,'Milk Production Log'!$E:$E),1),"-"))</f>
        <v/>
      </c>
      <c r="H39" s="52" t="str">
        <f aca="false">IF($A39="","",IF(SUMPRODUCT(MAX(('Milk Production Log'!$B$5:$B$404=$A39)*ROW('Milk Production Log'!$B$5:$B$404)))=0,"-",INDEX('Milk Production Log'!$A:$A,SUMPRODUCT(MAX(('Milk Production Log'!$B$5:$B$404=$A39)*ROW('Milk Production Log'!$B$5:$B$404))))))</f>
        <v/>
      </c>
      <c r="I39" s="53" t="str">
        <f aca="false">IF($A39="","",ROUND(SUMIF('Milk Production Log'!$B:$B,$A39,'Milk Production Log'!$E:$E),1))</f>
        <v/>
      </c>
    </row>
    <row r="40" customFormat="false" ht="15" hidden="false" customHeight="false" outlineLevel="0" collapsed="false">
      <c r="A40" s="47" t="str">
        <f aca="false">IFERROR(INDEX('Animal Register'!$A:$A,MATCH(36,'Animal Register'!$V:$V,0)),"")</f>
        <v/>
      </c>
      <c r="B40" s="47" t="str">
        <f aca="false">IF($A40="","",INDEX('Animal Register'!$C:$C,MATCH($A40,'Animal Register'!$A:$A,0)))</f>
        <v/>
      </c>
      <c r="C40" s="47" t="str">
        <f aca="false">IF($A40="","",INDEX('Animal Register'!$E:$E,MATCH($A40,'Animal Register'!$A:$A,0)))</f>
        <v/>
      </c>
      <c r="D40" s="52" t="str">
        <f aca="false">IF($A40="","",INDEX('Animal Register'!$F:$F,MATCH($A40,'Animal Register'!$A:$A,0)))</f>
        <v/>
      </c>
      <c r="E40" s="53" t="str">
        <f aca="false">IF($A40="","",INDEX('Animal Register'!$S:$S,MATCH($A40,'Animal Register'!$A:$A,0)))</f>
        <v/>
      </c>
      <c r="F40" s="47" t="str">
        <f aca="false">IF($A40="","",INDEX('Animal Register'!$Q:$Q,MATCH($A40,'Animal Register'!$A:$A,0)))</f>
        <v/>
      </c>
      <c r="G40" s="53" t="str">
        <f aca="false">IF($A40="","",IFERROR(ROUND(AVERAGEIF('Milk Production Log'!$B:$B,$A40,'Milk Production Log'!$E:$E),1),"-"))</f>
        <v/>
      </c>
      <c r="H40" s="52" t="str">
        <f aca="false">IF($A40="","",IF(SUMPRODUCT(MAX(('Milk Production Log'!$B$5:$B$404=$A40)*ROW('Milk Production Log'!$B$5:$B$404)))=0,"-",INDEX('Milk Production Log'!$A:$A,SUMPRODUCT(MAX(('Milk Production Log'!$B$5:$B$404=$A40)*ROW('Milk Production Log'!$B$5:$B$404))))))</f>
        <v/>
      </c>
      <c r="I40" s="53" t="str">
        <f aca="false">IF($A40="","",ROUND(SUMIF('Milk Production Log'!$B:$B,$A40,'Milk Production Log'!$E:$E),1))</f>
        <v/>
      </c>
    </row>
    <row r="41" customFormat="false" ht="15" hidden="false" customHeight="false" outlineLevel="0" collapsed="false">
      <c r="A41" s="47" t="str">
        <f aca="false">IFERROR(INDEX('Animal Register'!$A:$A,MATCH(37,'Animal Register'!$V:$V,0)),"")</f>
        <v/>
      </c>
      <c r="B41" s="47" t="str">
        <f aca="false">IF($A41="","",INDEX('Animal Register'!$C:$C,MATCH($A41,'Animal Register'!$A:$A,0)))</f>
        <v/>
      </c>
      <c r="C41" s="47" t="str">
        <f aca="false">IF($A41="","",INDEX('Animal Register'!$E:$E,MATCH($A41,'Animal Register'!$A:$A,0)))</f>
        <v/>
      </c>
      <c r="D41" s="52" t="str">
        <f aca="false">IF($A41="","",INDEX('Animal Register'!$F:$F,MATCH($A41,'Animal Register'!$A:$A,0)))</f>
        <v/>
      </c>
      <c r="E41" s="53" t="str">
        <f aca="false">IF($A41="","",INDEX('Animal Register'!$S:$S,MATCH($A41,'Animal Register'!$A:$A,0)))</f>
        <v/>
      </c>
      <c r="F41" s="47" t="str">
        <f aca="false">IF($A41="","",INDEX('Animal Register'!$Q:$Q,MATCH($A41,'Animal Register'!$A:$A,0)))</f>
        <v/>
      </c>
      <c r="G41" s="53" t="str">
        <f aca="false">IF($A41="","",IFERROR(ROUND(AVERAGEIF('Milk Production Log'!$B:$B,$A41,'Milk Production Log'!$E:$E),1),"-"))</f>
        <v/>
      </c>
      <c r="H41" s="52" t="str">
        <f aca="false">IF($A41="","",IF(SUMPRODUCT(MAX(('Milk Production Log'!$B$5:$B$404=$A41)*ROW('Milk Production Log'!$B$5:$B$404)))=0,"-",INDEX('Milk Production Log'!$A:$A,SUMPRODUCT(MAX(('Milk Production Log'!$B$5:$B$404=$A41)*ROW('Milk Production Log'!$B$5:$B$404))))))</f>
        <v/>
      </c>
      <c r="I41" s="53" t="str">
        <f aca="false">IF($A41="","",ROUND(SUMIF('Milk Production Log'!$B:$B,$A41,'Milk Production Log'!$E:$E),1))</f>
        <v/>
      </c>
    </row>
    <row r="42" customFormat="false" ht="15" hidden="false" customHeight="false" outlineLevel="0" collapsed="false">
      <c r="A42" s="47" t="str">
        <f aca="false">IFERROR(INDEX('Animal Register'!$A:$A,MATCH(38,'Animal Register'!$V:$V,0)),"")</f>
        <v/>
      </c>
      <c r="B42" s="47" t="str">
        <f aca="false">IF($A42="","",INDEX('Animal Register'!$C:$C,MATCH($A42,'Animal Register'!$A:$A,0)))</f>
        <v/>
      </c>
      <c r="C42" s="47" t="str">
        <f aca="false">IF($A42="","",INDEX('Animal Register'!$E:$E,MATCH($A42,'Animal Register'!$A:$A,0)))</f>
        <v/>
      </c>
      <c r="D42" s="52" t="str">
        <f aca="false">IF($A42="","",INDEX('Animal Register'!$F:$F,MATCH($A42,'Animal Register'!$A:$A,0)))</f>
        <v/>
      </c>
      <c r="E42" s="53" t="str">
        <f aca="false">IF($A42="","",INDEX('Animal Register'!$S:$S,MATCH($A42,'Animal Register'!$A:$A,0)))</f>
        <v/>
      </c>
      <c r="F42" s="47" t="str">
        <f aca="false">IF($A42="","",INDEX('Animal Register'!$Q:$Q,MATCH($A42,'Animal Register'!$A:$A,0)))</f>
        <v/>
      </c>
      <c r="G42" s="53" t="str">
        <f aca="false">IF($A42="","",IFERROR(ROUND(AVERAGEIF('Milk Production Log'!$B:$B,$A42,'Milk Production Log'!$E:$E),1),"-"))</f>
        <v/>
      </c>
      <c r="H42" s="52" t="str">
        <f aca="false">IF($A42="","",IF(SUMPRODUCT(MAX(('Milk Production Log'!$B$5:$B$404=$A42)*ROW('Milk Production Log'!$B$5:$B$404)))=0,"-",INDEX('Milk Production Log'!$A:$A,SUMPRODUCT(MAX(('Milk Production Log'!$B$5:$B$404=$A42)*ROW('Milk Production Log'!$B$5:$B$404))))))</f>
        <v/>
      </c>
      <c r="I42" s="53" t="str">
        <f aca="false">IF($A42="","",ROUND(SUMIF('Milk Production Log'!$B:$B,$A42,'Milk Production Log'!$E:$E),1))</f>
        <v/>
      </c>
    </row>
    <row r="43" customFormat="false" ht="15" hidden="false" customHeight="false" outlineLevel="0" collapsed="false">
      <c r="A43" s="47" t="str">
        <f aca="false">IFERROR(INDEX('Animal Register'!$A:$A,MATCH(39,'Animal Register'!$V:$V,0)),"")</f>
        <v/>
      </c>
      <c r="B43" s="47" t="str">
        <f aca="false">IF($A43="","",INDEX('Animal Register'!$C:$C,MATCH($A43,'Animal Register'!$A:$A,0)))</f>
        <v/>
      </c>
      <c r="C43" s="47" t="str">
        <f aca="false">IF($A43="","",INDEX('Animal Register'!$E:$E,MATCH($A43,'Animal Register'!$A:$A,0)))</f>
        <v/>
      </c>
      <c r="D43" s="52" t="str">
        <f aca="false">IF($A43="","",INDEX('Animal Register'!$F:$F,MATCH($A43,'Animal Register'!$A:$A,0)))</f>
        <v/>
      </c>
      <c r="E43" s="53" t="str">
        <f aca="false">IF($A43="","",INDEX('Animal Register'!$S:$S,MATCH($A43,'Animal Register'!$A:$A,0)))</f>
        <v/>
      </c>
      <c r="F43" s="47" t="str">
        <f aca="false">IF($A43="","",INDEX('Animal Register'!$Q:$Q,MATCH($A43,'Animal Register'!$A:$A,0)))</f>
        <v/>
      </c>
      <c r="G43" s="53" t="str">
        <f aca="false">IF($A43="","",IFERROR(ROUND(AVERAGEIF('Milk Production Log'!$B:$B,$A43,'Milk Production Log'!$E:$E),1),"-"))</f>
        <v/>
      </c>
      <c r="H43" s="52" t="str">
        <f aca="false">IF($A43="","",IF(SUMPRODUCT(MAX(('Milk Production Log'!$B$5:$B$404=$A43)*ROW('Milk Production Log'!$B$5:$B$404)))=0,"-",INDEX('Milk Production Log'!$A:$A,SUMPRODUCT(MAX(('Milk Production Log'!$B$5:$B$404=$A43)*ROW('Milk Production Log'!$B$5:$B$404))))))</f>
        <v/>
      </c>
      <c r="I43" s="53" t="str">
        <f aca="false">IF($A43="","",ROUND(SUMIF('Milk Production Log'!$B:$B,$A43,'Milk Production Log'!$E:$E),1))</f>
        <v/>
      </c>
    </row>
    <row r="44" customFormat="false" ht="15" hidden="false" customHeight="false" outlineLevel="0" collapsed="false">
      <c r="A44" s="47" t="str">
        <f aca="false">IFERROR(INDEX('Animal Register'!$A:$A,MATCH(40,'Animal Register'!$V:$V,0)),"")</f>
        <v/>
      </c>
      <c r="B44" s="47" t="str">
        <f aca="false">IF($A44="","",INDEX('Animal Register'!$C:$C,MATCH($A44,'Animal Register'!$A:$A,0)))</f>
        <v/>
      </c>
      <c r="C44" s="47" t="str">
        <f aca="false">IF($A44="","",INDEX('Animal Register'!$E:$E,MATCH($A44,'Animal Register'!$A:$A,0)))</f>
        <v/>
      </c>
      <c r="D44" s="52" t="str">
        <f aca="false">IF($A44="","",INDEX('Animal Register'!$F:$F,MATCH($A44,'Animal Register'!$A:$A,0)))</f>
        <v/>
      </c>
      <c r="E44" s="53" t="str">
        <f aca="false">IF($A44="","",INDEX('Animal Register'!$S:$S,MATCH($A44,'Animal Register'!$A:$A,0)))</f>
        <v/>
      </c>
      <c r="F44" s="47" t="str">
        <f aca="false">IF($A44="","",INDEX('Animal Register'!$Q:$Q,MATCH($A44,'Animal Register'!$A:$A,0)))</f>
        <v/>
      </c>
      <c r="G44" s="53" t="str">
        <f aca="false">IF($A44="","",IFERROR(ROUND(AVERAGEIF('Milk Production Log'!$B:$B,$A44,'Milk Production Log'!$E:$E),1),"-"))</f>
        <v/>
      </c>
      <c r="H44" s="52" t="str">
        <f aca="false">IF($A44="","",IF(SUMPRODUCT(MAX(('Milk Production Log'!$B$5:$B$404=$A44)*ROW('Milk Production Log'!$B$5:$B$404)))=0,"-",INDEX('Milk Production Log'!$A:$A,SUMPRODUCT(MAX(('Milk Production Log'!$B$5:$B$404=$A44)*ROW('Milk Production Log'!$B$5:$B$404))))))</f>
        <v/>
      </c>
      <c r="I44" s="53" t="str">
        <f aca="false">IF($A44="","",ROUND(SUMIF('Milk Production Log'!$B:$B,$A44,'Milk Production Log'!$E:$E),1))</f>
        <v/>
      </c>
    </row>
    <row r="45" customFormat="false" ht="15" hidden="false" customHeight="false" outlineLevel="0" collapsed="false">
      <c r="A45" s="47" t="str">
        <f aca="false">IFERROR(INDEX('Animal Register'!$A:$A,MATCH(41,'Animal Register'!$V:$V,0)),"")</f>
        <v/>
      </c>
      <c r="B45" s="47" t="str">
        <f aca="false">IF($A45="","",INDEX('Animal Register'!$C:$C,MATCH($A45,'Animal Register'!$A:$A,0)))</f>
        <v/>
      </c>
      <c r="C45" s="47" t="str">
        <f aca="false">IF($A45="","",INDEX('Animal Register'!$E:$E,MATCH($A45,'Animal Register'!$A:$A,0)))</f>
        <v/>
      </c>
      <c r="D45" s="52" t="str">
        <f aca="false">IF($A45="","",INDEX('Animal Register'!$F:$F,MATCH($A45,'Animal Register'!$A:$A,0)))</f>
        <v/>
      </c>
      <c r="E45" s="53" t="str">
        <f aca="false">IF($A45="","",INDEX('Animal Register'!$S:$S,MATCH($A45,'Animal Register'!$A:$A,0)))</f>
        <v/>
      </c>
      <c r="F45" s="47" t="str">
        <f aca="false">IF($A45="","",INDEX('Animal Register'!$Q:$Q,MATCH($A45,'Animal Register'!$A:$A,0)))</f>
        <v/>
      </c>
      <c r="G45" s="53" t="str">
        <f aca="false">IF($A45="","",IFERROR(ROUND(AVERAGEIF('Milk Production Log'!$B:$B,$A45,'Milk Production Log'!$E:$E),1),"-"))</f>
        <v/>
      </c>
      <c r="H45" s="52" t="str">
        <f aca="false">IF($A45="","",IF(SUMPRODUCT(MAX(('Milk Production Log'!$B$5:$B$404=$A45)*ROW('Milk Production Log'!$B$5:$B$404)))=0,"-",INDEX('Milk Production Log'!$A:$A,SUMPRODUCT(MAX(('Milk Production Log'!$B$5:$B$404=$A45)*ROW('Milk Production Log'!$B$5:$B$404))))))</f>
        <v/>
      </c>
      <c r="I45" s="53" t="str">
        <f aca="false">IF($A45="","",ROUND(SUMIF('Milk Production Log'!$B:$B,$A45,'Milk Production Log'!$E:$E),1))</f>
        <v/>
      </c>
    </row>
    <row r="46" customFormat="false" ht="15" hidden="false" customHeight="false" outlineLevel="0" collapsed="false">
      <c r="A46" s="47" t="str">
        <f aca="false">IFERROR(INDEX('Animal Register'!$A:$A,MATCH(42,'Animal Register'!$V:$V,0)),"")</f>
        <v/>
      </c>
      <c r="B46" s="47" t="str">
        <f aca="false">IF($A46="","",INDEX('Animal Register'!$C:$C,MATCH($A46,'Animal Register'!$A:$A,0)))</f>
        <v/>
      </c>
      <c r="C46" s="47" t="str">
        <f aca="false">IF($A46="","",INDEX('Animal Register'!$E:$E,MATCH($A46,'Animal Register'!$A:$A,0)))</f>
        <v/>
      </c>
      <c r="D46" s="52" t="str">
        <f aca="false">IF($A46="","",INDEX('Animal Register'!$F:$F,MATCH($A46,'Animal Register'!$A:$A,0)))</f>
        <v/>
      </c>
      <c r="E46" s="53" t="str">
        <f aca="false">IF($A46="","",INDEX('Animal Register'!$S:$S,MATCH($A46,'Animal Register'!$A:$A,0)))</f>
        <v/>
      </c>
      <c r="F46" s="47" t="str">
        <f aca="false">IF($A46="","",INDEX('Animal Register'!$Q:$Q,MATCH($A46,'Animal Register'!$A:$A,0)))</f>
        <v/>
      </c>
      <c r="G46" s="53" t="str">
        <f aca="false">IF($A46="","",IFERROR(ROUND(AVERAGEIF('Milk Production Log'!$B:$B,$A46,'Milk Production Log'!$E:$E),1),"-"))</f>
        <v/>
      </c>
      <c r="H46" s="52" t="str">
        <f aca="false">IF($A46="","",IF(SUMPRODUCT(MAX(('Milk Production Log'!$B$5:$B$404=$A46)*ROW('Milk Production Log'!$B$5:$B$404)))=0,"-",INDEX('Milk Production Log'!$A:$A,SUMPRODUCT(MAX(('Milk Production Log'!$B$5:$B$404=$A46)*ROW('Milk Production Log'!$B$5:$B$404))))))</f>
        <v/>
      </c>
      <c r="I46" s="53" t="str">
        <f aca="false">IF($A46="","",ROUND(SUMIF('Milk Production Log'!$B:$B,$A46,'Milk Production Log'!$E:$E),1))</f>
        <v/>
      </c>
    </row>
    <row r="47" customFormat="false" ht="15" hidden="false" customHeight="false" outlineLevel="0" collapsed="false">
      <c r="A47" s="47" t="str">
        <f aca="false">IFERROR(INDEX('Animal Register'!$A:$A,MATCH(43,'Animal Register'!$V:$V,0)),"")</f>
        <v/>
      </c>
      <c r="B47" s="47" t="str">
        <f aca="false">IF($A47="","",INDEX('Animal Register'!$C:$C,MATCH($A47,'Animal Register'!$A:$A,0)))</f>
        <v/>
      </c>
      <c r="C47" s="47" t="str">
        <f aca="false">IF($A47="","",INDEX('Animal Register'!$E:$E,MATCH($A47,'Animal Register'!$A:$A,0)))</f>
        <v/>
      </c>
      <c r="D47" s="52" t="str">
        <f aca="false">IF($A47="","",INDEX('Animal Register'!$F:$F,MATCH($A47,'Animal Register'!$A:$A,0)))</f>
        <v/>
      </c>
      <c r="E47" s="53" t="str">
        <f aca="false">IF($A47="","",INDEX('Animal Register'!$S:$S,MATCH($A47,'Animal Register'!$A:$A,0)))</f>
        <v/>
      </c>
      <c r="F47" s="47" t="str">
        <f aca="false">IF($A47="","",INDEX('Animal Register'!$Q:$Q,MATCH($A47,'Animal Register'!$A:$A,0)))</f>
        <v/>
      </c>
      <c r="G47" s="53" t="str">
        <f aca="false">IF($A47="","",IFERROR(ROUND(AVERAGEIF('Milk Production Log'!$B:$B,$A47,'Milk Production Log'!$E:$E),1),"-"))</f>
        <v/>
      </c>
      <c r="H47" s="52" t="str">
        <f aca="false">IF($A47="","",IF(SUMPRODUCT(MAX(('Milk Production Log'!$B$5:$B$404=$A47)*ROW('Milk Production Log'!$B$5:$B$404)))=0,"-",INDEX('Milk Production Log'!$A:$A,SUMPRODUCT(MAX(('Milk Production Log'!$B$5:$B$404=$A47)*ROW('Milk Production Log'!$B$5:$B$404))))))</f>
        <v/>
      </c>
      <c r="I47" s="53" t="str">
        <f aca="false">IF($A47="","",ROUND(SUMIF('Milk Production Log'!$B:$B,$A47,'Milk Production Log'!$E:$E),1))</f>
        <v/>
      </c>
    </row>
    <row r="48" customFormat="false" ht="15" hidden="false" customHeight="false" outlineLevel="0" collapsed="false">
      <c r="A48" s="47" t="str">
        <f aca="false">IFERROR(INDEX('Animal Register'!$A:$A,MATCH(44,'Animal Register'!$V:$V,0)),"")</f>
        <v/>
      </c>
      <c r="B48" s="47" t="str">
        <f aca="false">IF($A48="","",INDEX('Animal Register'!$C:$C,MATCH($A48,'Animal Register'!$A:$A,0)))</f>
        <v/>
      </c>
      <c r="C48" s="47" t="str">
        <f aca="false">IF($A48="","",INDEX('Animal Register'!$E:$E,MATCH($A48,'Animal Register'!$A:$A,0)))</f>
        <v/>
      </c>
      <c r="D48" s="52" t="str">
        <f aca="false">IF($A48="","",INDEX('Animal Register'!$F:$F,MATCH($A48,'Animal Register'!$A:$A,0)))</f>
        <v/>
      </c>
      <c r="E48" s="53" t="str">
        <f aca="false">IF($A48="","",INDEX('Animal Register'!$S:$S,MATCH($A48,'Animal Register'!$A:$A,0)))</f>
        <v/>
      </c>
      <c r="F48" s="47" t="str">
        <f aca="false">IF($A48="","",INDEX('Animal Register'!$Q:$Q,MATCH($A48,'Animal Register'!$A:$A,0)))</f>
        <v/>
      </c>
      <c r="G48" s="53" t="str">
        <f aca="false">IF($A48="","",IFERROR(ROUND(AVERAGEIF('Milk Production Log'!$B:$B,$A48,'Milk Production Log'!$E:$E),1),"-"))</f>
        <v/>
      </c>
      <c r="H48" s="52" t="str">
        <f aca="false">IF($A48="","",IF(SUMPRODUCT(MAX(('Milk Production Log'!$B$5:$B$404=$A48)*ROW('Milk Production Log'!$B$5:$B$404)))=0,"-",INDEX('Milk Production Log'!$A:$A,SUMPRODUCT(MAX(('Milk Production Log'!$B$5:$B$404=$A48)*ROW('Milk Production Log'!$B$5:$B$404))))))</f>
        <v/>
      </c>
      <c r="I48" s="53" t="str">
        <f aca="false">IF($A48="","",ROUND(SUMIF('Milk Production Log'!$B:$B,$A48,'Milk Production Log'!$E:$E),1))</f>
        <v/>
      </c>
    </row>
    <row r="49" customFormat="false" ht="15" hidden="false" customHeight="false" outlineLevel="0" collapsed="false">
      <c r="A49" s="47" t="str">
        <f aca="false">IFERROR(INDEX('Animal Register'!$A:$A,MATCH(45,'Animal Register'!$V:$V,0)),"")</f>
        <v/>
      </c>
      <c r="B49" s="47" t="str">
        <f aca="false">IF($A49="","",INDEX('Animal Register'!$C:$C,MATCH($A49,'Animal Register'!$A:$A,0)))</f>
        <v/>
      </c>
      <c r="C49" s="47" t="str">
        <f aca="false">IF($A49="","",INDEX('Animal Register'!$E:$E,MATCH($A49,'Animal Register'!$A:$A,0)))</f>
        <v/>
      </c>
      <c r="D49" s="52" t="str">
        <f aca="false">IF($A49="","",INDEX('Animal Register'!$F:$F,MATCH($A49,'Animal Register'!$A:$A,0)))</f>
        <v/>
      </c>
      <c r="E49" s="53" t="str">
        <f aca="false">IF($A49="","",INDEX('Animal Register'!$S:$S,MATCH($A49,'Animal Register'!$A:$A,0)))</f>
        <v/>
      </c>
      <c r="F49" s="47" t="str">
        <f aca="false">IF($A49="","",INDEX('Animal Register'!$Q:$Q,MATCH($A49,'Animal Register'!$A:$A,0)))</f>
        <v/>
      </c>
      <c r="G49" s="53" t="str">
        <f aca="false">IF($A49="","",IFERROR(ROUND(AVERAGEIF('Milk Production Log'!$B:$B,$A49,'Milk Production Log'!$E:$E),1),"-"))</f>
        <v/>
      </c>
      <c r="H49" s="52" t="str">
        <f aca="false">IF($A49="","",IF(SUMPRODUCT(MAX(('Milk Production Log'!$B$5:$B$404=$A49)*ROW('Milk Production Log'!$B$5:$B$404)))=0,"-",INDEX('Milk Production Log'!$A:$A,SUMPRODUCT(MAX(('Milk Production Log'!$B$5:$B$404=$A49)*ROW('Milk Production Log'!$B$5:$B$404))))))</f>
        <v/>
      </c>
      <c r="I49" s="53" t="str">
        <f aca="false">IF($A49="","",ROUND(SUMIF('Milk Production Log'!$B:$B,$A49,'Milk Production Log'!$E:$E),1))</f>
        <v/>
      </c>
    </row>
    <row r="50" customFormat="false" ht="15" hidden="false" customHeight="false" outlineLevel="0" collapsed="false">
      <c r="A50" s="47" t="str">
        <f aca="false">IFERROR(INDEX('Animal Register'!$A:$A,MATCH(46,'Animal Register'!$V:$V,0)),"")</f>
        <v/>
      </c>
      <c r="B50" s="47" t="str">
        <f aca="false">IF($A50="","",INDEX('Animal Register'!$C:$C,MATCH($A50,'Animal Register'!$A:$A,0)))</f>
        <v/>
      </c>
      <c r="C50" s="47" t="str">
        <f aca="false">IF($A50="","",INDEX('Animal Register'!$E:$E,MATCH($A50,'Animal Register'!$A:$A,0)))</f>
        <v/>
      </c>
      <c r="D50" s="52" t="str">
        <f aca="false">IF($A50="","",INDEX('Animal Register'!$F:$F,MATCH($A50,'Animal Register'!$A:$A,0)))</f>
        <v/>
      </c>
      <c r="E50" s="53" t="str">
        <f aca="false">IF($A50="","",INDEX('Animal Register'!$S:$S,MATCH($A50,'Animal Register'!$A:$A,0)))</f>
        <v/>
      </c>
      <c r="F50" s="47" t="str">
        <f aca="false">IF($A50="","",INDEX('Animal Register'!$Q:$Q,MATCH($A50,'Animal Register'!$A:$A,0)))</f>
        <v/>
      </c>
      <c r="G50" s="53" t="str">
        <f aca="false">IF($A50="","",IFERROR(ROUND(AVERAGEIF('Milk Production Log'!$B:$B,$A50,'Milk Production Log'!$E:$E),1),"-"))</f>
        <v/>
      </c>
      <c r="H50" s="52" t="str">
        <f aca="false">IF($A50="","",IF(SUMPRODUCT(MAX(('Milk Production Log'!$B$5:$B$404=$A50)*ROW('Milk Production Log'!$B$5:$B$404)))=0,"-",INDEX('Milk Production Log'!$A:$A,SUMPRODUCT(MAX(('Milk Production Log'!$B$5:$B$404=$A50)*ROW('Milk Production Log'!$B$5:$B$404))))))</f>
        <v/>
      </c>
      <c r="I50" s="53" t="str">
        <f aca="false">IF($A50="","",ROUND(SUMIF('Milk Production Log'!$B:$B,$A50,'Milk Production Log'!$E:$E),1))</f>
        <v/>
      </c>
    </row>
    <row r="51" customFormat="false" ht="15" hidden="false" customHeight="false" outlineLevel="0" collapsed="false">
      <c r="A51" s="47" t="str">
        <f aca="false">IFERROR(INDEX('Animal Register'!$A:$A,MATCH(47,'Animal Register'!$V:$V,0)),"")</f>
        <v/>
      </c>
      <c r="B51" s="47" t="str">
        <f aca="false">IF($A51="","",INDEX('Animal Register'!$C:$C,MATCH($A51,'Animal Register'!$A:$A,0)))</f>
        <v/>
      </c>
      <c r="C51" s="47" t="str">
        <f aca="false">IF($A51="","",INDEX('Animal Register'!$E:$E,MATCH($A51,'Animal Register'!$A:$A,0)))</f>
        <v/>
      </c>
      <c r="D51" s="52" t="str">
        <f aca="false">IF($A51="","",INDEX('Animal Register'!$F:$F,MATCH($A51,'Animal Register'!$A:$A,0)))</f>
        <v/>
      </c>
      <c r="E51" s="53" t="str">
        <f aca="false">IF($A51="","",INDEX('Animal Register'!$S:$S,MATCH($A51,'Animal Register'!$A:$A,0)))</f>
        <v/>
      </c>
      <c r="F51" s="47" t="str">
        <f aca="false">IF($A51="","",INDEX('Animal Register'!$Q:$Q,MATCH($A51,'Animal Register'!$A:$A,0)))</f>
        <v/>
      </c>
      <c r="G51" s="53" t="str">
        <f aca="false">IF($A51="","",IFERROR(ROUND(AVERAGEIF('Milk Production Log'!$B:$B,$A51,'Milk Production Log'!$E:$E),1),"-"))</f>
        <v/>
      </c>
      <c r="H51" s="52" t="str">
        <f aca="false">IF($A51="","",IF(SUMPRODUCT(MAX(('Milk Production Log'!$B$5:$B$404=$A51)*ROW('Milk Production Log'!$B$5:$B$404)))=0,"-",INDEX('Milk Production Log'!$A:$A,SUMPRODUCT(MAX(('Milk Production Log'!$B$5:$B$404=$A51)*ROW('Milk Production Log'!$B$5:$B$404))))))</f>
        <v/>
      </c>
      <c r="I51" s="53" t="str">
        <f aca="false">IF($A51="","",ROUND(SUMIF('Milk Production Log'!$B:$B,$A51,'Milk Production Log'!$E:$E),1))</f>
        <v/>
      </c>
    </row>
    <row r="52" customFormat="false" ht="15" hidden="false" customHeight="false" outlineLevel="0" collapsed="false">
      <c r="A52" s="47" t="str">
        <f aca="false">IFERROR(INDEX('Animal Register'!$A:$A,MATCH(48,'Animal Register'!$V:$V,0)),"")</f>
        <v/>
      </c>
      <c r="B52" s="47" t="str">
        <f aca="false">IF($A52="","",INDEX('Animal Register'!$C:$C,MATCH($A52,'Animal Register'!$A:$A,0)))</f>
        <v/>
      </c>
      <c r="C52" s="47" t="str">
        <f aca="false">IF($A52="","",INDEX('Animal Register'!$E:$E,MATCH($A52,'Animal Register'!$A:$A,0)))</f>
        <v/>
      </c>
      <c r="D52" s="52" t="str">
        <f aca="false">IF($A52="","",INDEX('Animal Register'!$F:$F,MATCH($A52,'Animal Register'!$A:$A,0)))</f>
        <v/>
      </c>
      <c r="E52" s="53" t="str">
        <f aca="false">IF($A52="","",INDEX('Animal Register'!$S:$S,MATCH($A52,'Animal Register'!$A:$A,0)))</f>
        <v/>
      </c>
      <c r="F52" s="47" t="str">
        <f aca="false">IF($A52="","",INDEX('Animal Register'!$Q:$Q,MATCH($A52,'Animal Register'!$A:$A,0)))</f>
        <v/>
      </c>
      <c r="G52" s="53" t="str">
        <f aca="false">IF($A52="","",IFERROR(ROUND(AVERAGEIF('Milk Production Log'!$B:$B,$A52,'Milk Production Log'!$E:$E),1),"-"))</f>
        <v/>
      </c>
      <c r="H52" s="52" t="str">
        <f aca="false">IF($A52="","",IF(SUMPRODUCT(MAX(('Milk Production Log'!$B$5:$B$404=$A52)*ROW('Milk Production Log'!$B$5:$B$404)))=0,"-",INDEX('Milk Production Log'!$A:$A,SUMPRODUCT(MAX(('Milk Production Log'!$B$5:$B$404=$A52)*ROW('Milk Production Log'!$B$5:$B$404))))))</f>
        <v/>
      </c>
      <c r="I52" s="53" t="str">
        <f aca="false">IF($A52="","",ROUND(SUMIF('Milk Production Log'!$B:$B,$A52,'Milk Production Log'!$E:$E),1))</f>
        <v/>
      </c>
    </row>
    <row r="53" customFormat="false" ht="15" hidden="false" customHeight="false" outlineLevel="0" collapsed="false">
      <c r="A53" s="47" t="str">
        <f aca="false">IFERROR(INDEX('Animal Register'!$A:$A,MATCH(49,'Animal Register'!$V:$V,0)),"")</f>
        <v/>
      </c>
      <c r="B53" s="47" t="str">
        <f aca="false">IF($A53="","",INDEX('Animal Register'!$C:$C,MATCH($A53,'Animal Register'!$A:$A,0)))</f>
        <v/>
      </c>
      <c r="C53" s="47" t="str">
        <f aca="false">IF($A53="","",INDEX('Animal Register'!$E:$E,MATCH($A53,'Animal Register'!$A:$A,0)))</f>
        <v/>
      </c>
      <c r="D53" s="52" t="str">
        <f aca="false">IF($A53="","",INDEX('Animal Register'!$F:$F,MATCH($A53,'Animal Register'!$A:$A,0)))</f>
        <v/>
      </c>
      <c r="E53" s="53" t="str">
        <f aca="false">IF($A53="","",INDEX('Animal Register'!$S:$S,MATCH($A53,'Animal Register'!$A:$A,0)))</f>
        <v/>
      </c>
      <c r="F53" s="47" t="str">
        <f aca="false">IF($A53="","",INDEX('Animal Register'!$Q:$Q,MATCH($A53,'Animal Register'!$A:$A,0)))</f>
        <v/>
      </c>
      <c r="G53" s="53" t="str">
        <f aca="false">IF($A53="","",IFERROR(ROUND(AVERAGEIF('Milk Production Log'!$B:$B,$A53,'Milk Production Log'!$E:$E),1),"-"))</f>
        <v/>
      </c>
      <c r="H53" s="52" t="str">
        <f aca="false">IF($A53="","",IF(SUMPRODUCT(MAX(('Milk Production Log'!$B$5:$B$404=$A53)*ROW('Milk Production Log'!$B$5:$B$404)))=0,"-",INDEX('Milk Production Log'!$A:$A,SUMPRODUCT(MAX(('Milk Production Log'!$B$5:$B$404=$A53)*ROW('Milk Production Log'!$B$5:$B$404))))))</f>
        <v/>
      </c>
      <c r="I53" s="53" t="str">
        <f aca="false">IF($A53="","",ROUND(SUMIF('Milk Production Log'!$B:$B,$A53,'Milk Production Log'!$E:$E),1))</f>
        <v/>
      </c>
    </row>
    <row r="54" customFormat="false" ht="15" hidden="false" customHeight="false" outlineLevel="0" collapsed="false">
      <c r="A54" s="47" t="str">
        <f aca="false">IFERROR(INDEX('Animal Register'!$A:$A,MATCH(50,'Animal Register'!$V:$V,0)),"")</f>
        <v/>
      </c>
      <c r="B54" s="47" t="str">
        <f aca="false">IF($A54="","",INDEX('Animal Register'!$C:$C,MATCH($A54,'Animal Register'!$A:$A,0)))</f>
        <v/>
      </c>
      <c r="C54" s="47" t="str">
        <f aca="false">IF($A54="","",INDEX('Animal Register'!$E:$E,MATCH($A54,'Animal Register'!$A:$A,0)))</f>
        <v/>
      </c>
      <c r="D54" s="52" t="str">
        <f aca="false">IF($A54="","",INDEX('Animal Register'!$F:$F,MATCH($A54,'Animal Register'!$A:$A,0)))</f>
        <v/>
      </c>
      <c r="E54" s="53" t="str">
        <f aca="false">IF($A54="","",INDEX('Animal Register'!$S:$S,MATCH($A54,'Animal Register'!$A:$A,0)))</f>
        <v/>
      </c>
      <c r="F54" s="47" t="str">
        <f aca="false">IF($A54="","",INDEX('Animal Register'!$Q:$Q,MATCH($A54,'Animal Register'!$A:$A,0)))</f>
        <v/>
      </c>
      <c r="G54" s="53" t="str">
        <f aca="false">IF($A54="","",IFERROR(ROUND(AVERAGEIF('Milk Production Log'!$B:$B,$A54,'Milk Production Log'!$E:$E),1),"-"))</f>
        <v/>
      </c>
      <c r="H54" s="52" t="str">
        <f aca="false">IF($A54="","",IF(SUMPRODUCT(MAX(('Milk Production Log'!$B$5:$B$404=$A54)*ROW('Milk Production Log'!$B$5:$B$404)))=0,"-",INDEX('Milk Production Log'!$A:$A,SUMPRODUCT(MAX(('Milk Production Log'!$B$5:$B$404=$A54)*ROW('Milk Production Log'!$B$5:$B$404))))))</f>
        <v/>
      </c>
      <c r="I54" s="53" t="str">
        <f aca="false">IF($A54="","",ROUND(SUMIF('Milk Production Log'!$B:$B,$A54,'Milk Production Log'!$E:$E),1))</f>
        <v/>
      </c>
    </row>
    <row r="55" customFormat="false" ht="15" hidden="false" customHeight="false" outlineLevel="0" collapsed="false">
      <c r="A55" s="47" t="str">
        <f aca="false">IFERROR(INDEX('Animal Register'!$A:$A,MATCH(51,'Animal Register'!$V:$V,0)),"")</f>
        <v/>
      </c>
      <c r="B55" s="47" t="str">
        <f aca="false">IF($A55="","",INDEX('Animal Register'!$C:$C,MATCH($A55,'Animal Register'!$A:$A,0)))</f>
        <v/>
      </c>
      <c r="C55" s="47" t="str">
        <f aca="false">IF($A55="","",INDEX('Animal Register'!$E:$E,MATCH($A55,'Animal Register'!$A:$A,0)))</f>
        <v/>
      </c>
      <c r="D55" s="52" t="str">
        <f aca="false">IF($A55="","",INDEX('Animal Register'!$F:$F,MATCH($A55,'Animal Register'!$A:$A,0)))</f>
        <v/>
      </c>
      <c r="E55" s="53" t="str">
        <f aca="false">IF($A55="","",INDEX('Animal Register'!$S:$S,MATCH($A55,'Animal Register'!$A:$A,0)))</f>
        <v/>
      </c>
      <c r="F55" s="47" t="str">
        <f aca="false">IF($A55="","",INDEX('Animal Register'!$Q:$Q,MATCH($A55,'Animal Register'!$A:$A,0)))</f>
        <v/>
      </c>
      <c r="G55" s="53" t="str">
        <f aca="false">IF($A55="","",IFERROR(ROUND(AVERAGEIF('Milk Production Log'!$B:$B,$A55,'Milk Production Log'!$E:$E),1),"-"))</f>
        <v/>
      </c>
      <c r="H55" s="52" t="str">
        <f aca="false">IF($A55="","",IF(SUMPRODUCT(MAX(('Milk Production Log'!$B$5:$B$404=$A55)*ROW('Milk Production Log'!$B$5:$B$404)))=0,"-",INDEX('Milk Production Log'!$A:$A,SUMPRODUCT(MAX(('Milk Production Log'!$B$5:$B$404=$A55)*ROW('Milk Production Log'!$B$5:$B$404))))))</f>
        <v/>
      </c>
      <c r="I55" s="53" t="str">
        <f aca="false">IF($A55="","",ROUND(SUMIF('Milk Production Log'!$B:$B,$A55,'Milk Production Log'!$E:$E),1))</f>
        <v/>
      </c>
    </row>
    <row r="56" customFormat="false" ht="15" hidden="false" customHeight="false" outlineLevel="0" collapsed="false">
      <c r="A56" s="47" t="str">
        <f aca="false">IFERROR(INDEX('Animal Register'!$A:$A,MATCH(52,'Animal Register'!$V:$V,0)),"")</f>
        <v/>
      </c>
      <c r="B56" s="47" t="str">
        <f aca="false">IF($A56="","",INDEX('Animal Register'!$C:$C,MATCH($A56,'Animal Register'!$A:$A,0)))</f>
        <v/>
      </c>
      <c r="C56" s="47" t="str">
        <f aca="false">IF($A56="","",INDEX('Animal Register'!$E:$E,MATCH($A56,'Animal Register'!$A:$A,0)))</f>
        <v/>
      </c>
      <c r="D56" s="52" t="str">
        <f aca="false">IF($A56="","",INDEX('Animal Register'!$F:$F,MATCH($A56,'Animal Register'!$A:$A,0)))</f>
        <v/>
      </c>
      <c r="E56" s="53" t="str">
        <f aca="false">IF($A56="","",INDEX('Animal Register'!$S:$S,MATCH($A56,'Animal Register'!$A:$A,0)))</f>
        <v/>
      </c>
      <c r="F56" s="47" t="str">
        <f aca="false">IF($A56="","",INDEX('Animal Register'!$Q:$Q,MATCH($A56,'Animal Register'!$A:$A,0)))</f>
        <v/>
      </c>
      <c r="G56" s="53" t="str">
        <f aca="false">IF($A56="","",IFERROR(ROUND(AVERAGEIF('Milk Production Log'!$B:$B,$A56,'Milk Production Log'!$E:$E),1),"-"))</f>
        <v/>
      </c>
      <c r="H56" s="52" t="str">
        <f aca="false">IF($A56="","",IF(SUMPRODUCT(MAX(('Milk Production Log'!$B$5:$B$404=$A56)*ROW('Milk Production Log'!$B$5:$B$404)))=0,"-",INDEX('Milk Production Log'!$A:$A,SUMPRODUCT(MAX(('Milk Production Log'!$B$5:$B$404=$A56)*ROW('Milk Production Log'!$B$5:$B$404))))))</f>
        <v/>
      </c>
      <c r="I56" s="53" t="str">
        <f aca="false">IF($A56="","",ROUND(SUMIF('Milk Production Log'!$B:$B,$A56,'Milk Production Log'!$E:$E),1))</f>
        <v/>
      </c>
    </row>
    <row r="57" customFormat="false" ht="15" hidden="false" customHeight="false" outlineLevel="0" collapsed="false">
      <c r="A57" s="47" t="str">
        <f aca="false">IFERROR(INDEX('Animal Register'!$A:$A,MATCH(53,'Animal Register'!$V:$V,0)),"")</f>
        <v/>
      </c>
      <c r="B57" s="47" t="str">
        <f aca="false">IF($A57="","",INDEX('Animal Register'!$C:$C,MATCH($A57,'Animal Register'!$A:$A,0)))</f>
        <v/>
      </c>
      <c r="C57" s="47" t="str">
        <f aca="false">IF($A57="","",INDEX('Animal Register'!$E:$E,MATCH($A57,'Animal Register'!$A:$A,0)))</f>
        <v/>
      </c>
      <c r="D57" s="52" t="str">
        <f aca="false">IF($A57="","",INDEX('Animal Register'!$F:$F,MATCH($A57,'Animal Register'!$A:$A,0)))</f>
        <v/>
      </c>
      <c r="E57" s="53" t="str">
        <f aca="false">IF($A57="","",INDEX('Animal Register'!$S:$S,MATCH($A57,'Animal Register'!$A:$A,0)))</f>
        <v/>
      </c>
      <c r="F57" s="47" t="str">
        <f aca="false">IF($A57="","",INDEX('Animal Register'!$Q:$Q,MATCH($A57,'Animal Register'!$A:$A,0)))</f>
        <v/>
      </c>
      <c r="G57" s="53" t="str">
        <f aca="false">IF($A57="","",IFERROR(ROUND(AVERAGEIF('Milk Production Log'!$B:$B,$A57,'Milk Production Log'!$E:$E),1),"-"))</f>
        <v/>
      </c>
      <c r="H57" s="52" t="str">
        <f aca="false">IF($A57="","",IF(SUMPRODUCT(MAX(('Milk Production Log'!$B$5:$B$404=$A57)*ROW('Milk Production Log'!$B$5:$B$404)))=0,"-",INDEX('Milk Production Log'!$A:$A,SUMPRODUCT(MAX(('Milk Production Log'!$B$5:$B$404=$A57)*ROW('Milk Production Log'!$B$5:$B$404))))))</f>
        <v/>
      </c>
      <c r="I57" s="53" t="str">
        <f aca="false">IF($A57="","",ROUND(SUMIF('Milk Production Log'!$B:$B,$A57,'Milk Production Log'!$E:$E),1))</f>
        <v/>
      </c>
    </row>
    <row r="58" customFormat="false" ht="15" hidden="false" customHeight="false" outlineLevel="0" collapsed="false">
      <c r="A58" s="47" t="str">
        <f aca="false">IFERROR(INDEX('Animal Register'!$A:$A,MATCH(54,'Animal Register'!$V:$V,0)),"")</f>
        <v/>
      </c>
      <c r="B58" s="47" t="str">
        <f aca="false">IF($A58="","",INDEX('Animal Register'!$C:$C,MATCH($A58,'Animal Register'!$A:$A,0)))</f>
        <v/>
      </c>
      <c r="C58" s="47" t="str">
        <f aca="false">IF($A58="","",INDEX('Animal Register'!$E:$E,MATCH($A58,'Animal Register'!$A:$A,0)))</f>
        <v/>
      </c>
      <c r="D58" s="52" t="str">
        <f aca="false">IF($A58="","",INDEX('Animal Register'!$F:$F,MATCH($A58,'Animal Register'!$A:$A,0)))</f>
        <v/>
      </c>
      <c r="E58" s="53" t="str">
        <f aca="false">IF($A58="","",INDEX('Animal Register'!$S:$S,MATCH($A58,'Animal Register'!$A:$A,0)))</f>
        <v/>
      </c>
      <c r="F58" s="47" t="str">
        <f aca="false">IF($A58="","",INDEX('Animal Register'!$Q:$Q,MATCH($A58,'Animal Register'!$A:$A,0)))</f>
        <v/>
      </c>
      <c r="G58" s="53" t="str">
        <f aca="false">IF($A58="","",IFERROR(ROUND(AVERAGEIF('Milk Production Log'!$B:$B,$A58,'Milk Production Log'!$E:$E),1),"-"))</f>
        <v/>
      </c>
      <c r="H58" s="52" t="str">
        <f aca="false">IF($A58="","",IF(SUMPRODUCT(MAX(('Milk Production Log'!$B$5:$B$404=$A58)*ROW('Milk Production Log'!$B$5:$B$404)))=0,"-",INDEX('Milk Production Log'!$A:$A,SUMPRODUCT(MAX(('Milk Production Log'!$B$5:$B$404=$A58)*ROW('Milk Production Log'!$B$5:$B$404))))))</f>
        <v/>
      </c>
      <c r="I58" s="53" t="str">
        <f aca="false">IF($A58="","",ROUND(SUMIF('Milk Production Log'!$B:$B,$A58,'Milk Production Log'!$E:$E),1))</f>
        <v/>
      </c>
    </row>
    <row r="59" customFormat="false" ht="15" hidden="false" customHeight="false" outlineLevel="0" collapsed="false">
      <c r="A59" s="47" t="str">
        <f aca="false">IFERROR(INDEX('Animal Register'!$A:$A,MATCH(55,'Animal Register'!$V:$V,0)),"")</f>
        <v/>
      </c>
      <c r="B59" s="47" t="str">
        <f aca="false">IF($A59="","",INDEX('Animal Register'!$C:$C,MATCH($A59,'Animal Register'!$A:$A,0)))</f>
        <v/>
      </c>
      <c r="C59" s="47" t="str">
        <f aca="false">IF($A59="","",INDEX('Animal Register'!$E:$E,MATCH($A59,'Animal Register'!$A:$A,0)))</f>
        <v/>
      </c>
      <c r="D59" s="52" t="str">
        <f aca="false">IF($A59="","",INDEX('Animal Register'!$F:$F,MATCH($A59,'Animal Register'!$A:$A,0)))</f>
        <v/>
      </c>
      <c r="E59" s="53" t="str">
        <f aca="false">IF($A59="","",INDEX('Animal Register'!$S:$S,MATCH($A59,'Animal Register'!$A:$A,0)))</f>
        <v/>
      </c>
      <c r="F59" s="47" t="str">
        <f aca="false">IF($A59="","",INDEX('Animal Register'!$Q:$Q,MATCH($A59,'Animal Register'!$A:$A,0)))</f>
        <v/>
      </c>
      <c r="G59" s="53" t="str">
        <f aca="false">IF($A59="","",IFERROR(ROUND(AVERAGEIF('Milk Production Log'!$B:$B,$A59,'Milk Production Log'!$E:$E),1),"-"))</f>
        <v/>
      </c>
      <c r="H59" s="52" t="str">
        <f aca="false">IF($A59="","",IF(SUMPRODUCT(MAX(('Milk Production Log'!$B$5:$B$404=$A59)*ROW('Milk Production Log'!$B$5:$B$404)))=0,"-",INDEX('Milk Production Log'!$A:$A,SUMPRODUCT(MAX(('Milk Production Log'!$B$5:$B$404=$A59)*ROW('Milk Production Log'!$B$5:$B$404))))))</f>
        <v/>
      </c>
      <c r="I59" s="53" t="str">
        <f aca="false">IF($A59="","",ROUND(SUMIF('Milk Production Log'!$B:$B,$A59,'Milk Production Log'!$E:$E),1))</f>
        <v/>
      </c>
    </row>
    <row r="60" customFormat="false" ht="15" hidden="false" customHeight="false" outlineLevel="0" collapsed="false">
      <c r="A60" s="47" t="str">
        <f aca="false">IFERROR(INDEX('Animal Register'!$A:$A,MATCH(56,'Animal Register'!$V:$V,0)),"")</f>
        <v/>
      </c>
      <c r="B60" s="47" t="str">
        <f aca="false">IF($A60="","",INDEX('Animal Register'!$C:$C,MATCH($A60,'Animal Register'!$A:$A,0)))</f>
        <v/>
      </c>
      <c r="C60" s="47" t="str">
        <f aca="false">IF($A60="","",INDEX('Animal Register'!$E:$E,MATCH($A60,'Animal Register'!$A:$A,0)))</f>
        <v/>
      </c>
      <c r="D60" s="52" t="str">
        <f aca="false">IF($A60="","",INDEX('Animal Register'!$F:$F,MATCH($A60,'Animal Register'!$A:$A,0)))</f>
        <v/>
      </c>
      <c r="E60" s="53" t="str">
        <f aca="false">IF($A60="","",INDEX('Animal Register'!$S:$S,MATCH($A60,'Animal Register'!$A:$A,0)))</f>
        <v/>
      </c>
      <c r="F60" s="47" t="str">
        <f aca="false">IF($A60="","",INDEX('Animal Register'!$Q:$Q,MATCH($A60,'Animal Register'!$A:$A,0)))</f>
        <v/>
      </c>
      <c r="G60" s="53" t="str">
        <f aca="false">IF($A60="","",IFERROR(ROUND(AVERAGEIF('Milk Production Log'!$B:$B,$A60,'Milk Production Log'!$E:$E),1),"-"))</f>
        <v/>
      </c>
      <c r="H60" s="52" t="str">
        <f aca="false">IF($A60="","",IF(SUMPRODUCT(MAX(('Milk Production Log'!$B$5:$B$404=$A60)*ROW('Milk Production Log'!$B$5:$B$404)))=0,"-",INDEX('Milk Production Log'!$A:$A,SUMPRODUCT(MAX(('Milk Production Log'!$B$5:$B$404=$A60)*ROW('Milk Production Log'!$B$5:$B$404))))))</f>
        <v/>
      </c>
      <c r="I60" s="53" t="str">
        <f aca="false">IF($A60="","",ROUND(SUMIF('Milk Production Log'!$B:$B,$A60,'Milk Production Log'!$E:$E),1))</f>
        <v/>
      </c>
    </row>
    <row r="61" customFormat="false" ht="15" hidden="false" customHeight="false" outlineLevel="0" collapsed="false">
      <c r="A61" s="47" t="str">
        <f aca="false">IFERROR(INDEX('Animal Register'!$A:$A,MATCH(57,'Animal Register'!$V:$V,0)),"")</f>
        <v/>
      </c>
      <c r="B61" s="47" t="str">
        <f aca="false">IF($A61="","",INDEX('Animal Register'!$C:$C,MATCH($A61,'Animal Register'!$A:$A,0)))</f>
        <v/>
      </c>
      <c r="C61" s="47" t="str">
        <f aca="false">IF($A61="","",INDEX('Animal Register'!$E:$E,MATCH($A61,'Animal Register'!$A:$A,0)))</f>
        <v/>
      </c>
      <c r="D61" s="52" t="str">
        <f aca="false">IF($A61="","",INDEX('Animal Register'!$F:$F,MATCH($A61,'Animal Register'!$A:$A,0)))</f>
        <v/>
      </c>
      <c r="E61" s="53" t="str">
        <f aca="false">IF($A61="","",INDEX('Animal Register'!$S:$S,MATCH($A61,'Animal Register'!$A:$A,0)))</f>
        <v/>
      </c>
      <c r="F61" s="47" t="str">
        <f aca="false">IF($A61="","",INDEX('Animal Register'!$Q:$Q,MATCH($A61,'Animal Register'!$A:$A,0)))</f>
        <v/>
      </c>
      <c r="G61" s="53" t="str">
        <f aca="false">IF($A61="","",IFERROR(ROUND(AVERAGEIF('Milk Production Log'!$B:$B,$A61,'Milk Production Log'!$E:$E),1),"-"))</f>
        <v/>
      </c>
      <c r="H61" s="52" t="str">
        <f aca="false">IF($A61="","",IF(SUMPRODUCT(MAX(('Milk Production Log'!$B$5:$B$404=$A61)*ROW('Milk Production Log'!$B$5:$B$404)))=0,"-",INDEX('Milk Production Log'!$A:$A,SUMPRODUCT(MAX(('Milk Production Log'!$B$5:$B$404=$A61)*ROW('Milk Production Log'!$B$5:$B$404))))))</f>
        <v/>
      </c>
      <c r="I61" s="53" t="str">
        <f aca="false">IF($A61="","",ROUND(SUMIF('Milk Production Log'!$B:$B,$A61,'Milk Production Log'!$E:$E),1))</f>
        <v/>
      </c>
    </row>
    <row r="62" customFormat="false" ht="15" hidden="false" customHeight="false" outlineLevel="0" collapsed="false">
      <c r="A62" s="47" t="str">
        <f aca="false">IFERROR(INDEX('Animal Register'!$A:$A,MATCH(58,'Animal Register'!$V:$V,0)),"")</f>
        <v/>
      </c>
      <c r="B62" s="47" t="str">
        <f aca="false">IF($A62="","",INDEX('Animal Register'!$C:$C,MATCH($A62,'Animal Register'!$A:$A,0)))</f>
        <v/>
      </c>
      <c r="C62" s="47" t="str">
        <f aca="false">IF($A62="","",INDEX('Animal Register'!$E:$E,MATCH($A62,'Animal Register'!$A:$A,0)))</f>
        <v/>
      </c>
      <c r="D62" s="52" t="str">
        <f aca="false">IF($A62="","",INDEX('Animal Register'!$F:$F,MATCH($A62,'Animal Register'!$A:$A,0)))</f>
        <v/>
      </c>
      <c r="E62" s="53" t="str">
        <f aca="false">IF($A62="","",INDEX('Animal Register'!$S:$S,MATCH($A62,'Animal Register'!$A:$A,0)))</f>
        <v/>
      </c>
      <c r="F62" s="47" t="str">
        <f aca="false">IF($A62="","",INDEX('Animal Register'!$Q:$Q,MATCH($A62,'Animal Register'!$A:$A,0)))</f>
        <v/>
      </c>
      <c r="G62" s="53" t="str">
        <f aca="false">IF($A62="","",IFERROR(ROUND(AVERAGEIF('Milk Production Log'!$B:$B,$A62,'Milk Production Log'!$E:$E),1),"-"))</f>
        <v/>
      </c>
      <c r="H62" s="52" t="str">
        <f aca="false">IF($A62="","",IF(SUMPRODUCT(MAX(('Milk Production Log'!$B$5:$B$404=$A62)*ROW('Milk Production Log'!$B$5:$B$404)))=0,"-",INDEX('Milk Production Log'!$A:$A,SUMPRODUCT(MAX(('Milk Production Log'!$B$5:$B$404=$A62)*ROW('Milk Production Log'!$B$5:$B$404))))))</f>
        <v/>
      </c>
      <c r="I62" s="53" t="str">
        <f aca="false">IF($A62="","",ROUND(SUMIF('Milk Production Log'!$B:$B,$A62,'Milk Production Log'!$E:$E),1))</f>
        <v/>
      </c>
    </row>
    <row r="63" customFormat="false" ht="15" hidden="false" customHeight="false" outlineLevel="0" collapsed="false">
      <c r="A63" s="47" t="str">
        <f aca="false">IFERROR(INDEX('Animal Register'!$A:$A,MATCH(59,'Animal Register'!$V:$V,0)),"")</f>
        <v/>
      </c>
      <c r="B63" s="47" t="str">
        <f aca="false">IF($A63="","",INDEX('Animal Register'!$C:$C,MATCH($A63,'Animal Register'!$A:$A,0)))</f>
        <v/>
      </c>
      <c r="C63" s="47" t="str">
        <f aca="false">IF($A63="","",INDEX('Animal Register'!$E:$E,MATCH($A63,'Animal Register'!$A:$A,0)))</f>
        <v/>
      </c>
      <c r="D63" s="52" t="str">
        <f aca="false">IF($A63="","",INDEX('Animal Register'!$F:$F,MATCH($A63,'Animal Register'!$A:$A,0)))</f>
        <v/>
      </c>
      <c r="E63" s="53" t="str">
        <f aca="false">IF($A63="","",INDEX('Animal Register'!$S:$S,MATCH($A63,'Animal Register'!$A:$A,0)))</f>
        <v/>
      </c>
      <c r="F63" s="47" t="str">
        <f aca="false">IF($A63="","",INDEX('Animal Register'!$Q:$Q,MATCH($A63,'Animal Register'!$A:$A,0)))</f>
        <v/>
      </c>
      <c r="G63" s="53" t="str">
        <f aca="false">IF($A63="","",IFERROR(ROUND(AVERAGEIF('Milk Production Log'!$B:$B,$A63,'Milk Production Log'!$E:$E),1),"-"))</f>
        <v/>
      </c>
      <c r="H63" s="52" t="str">
        <f aca="false">IF($A63="","",IF(SUMPRODUCT(MAX(('Milk Production Log'!$B$5:$B$404=$A63)*ROW('Milk Production Log'!$B$5:$B$404)))=0,"-",INDEX('Milk Production Log'!$A:$A,SUMPRODUCT(MAX(('Milk Production Log'!$B$5:$B$404=$A63)*ROW('Milk Production Log'!$B$5:$B$404))))))</f>
        <v/>
      </c>
      <c r="I63" s="53" t="str">
        <f aca="false">IF($A63="","",ROUND(SUMIF('Milk Production Log'!$B:$B,$A63,'Milk Production Log'!$E:$E),1))</f>
        <v/>
      </c>
    </row>
    <row r="64" customFormat="false" ht="15" hidden="false" customHeight="false" outlineLevel="0" collapsed="false">
      <c r="A64" s="47" t="str">
        <f aca="false">IFERROR(INDEX('Animal Register'!$A:$A,MATCH(60,'Animal Register'!$V:$V,0)),"")</f>
        <v/>
      </c>
      <c r="B64" s="47" t="str">
        <f aca="false">IF($A64="","",INDEX('Animal Register'!$C:$C,MATCH($A64,'Animal Register'!$A:$A,0)))</f>
        <v/>
      </c>
      <c r="C64" s="47" t="str">
        <f aca="false">IF($A64="","",INDEX('Animal Register'!$E:$E,MATCH($A64,'Animal Register'!$A:$A,0)))</f>
        <v/>
      </c>
      <c r="D64" s="52" t="str">
        <f aca="false">IF($A64="","",INDEX('Animal Register'!$F:$F,MATCH($A64,'Animal Register'!$A:$A,0)))</f>
        <v/>
      </c>
      <c r="E64" s="53" t="str">
        <f aca="false">IF($A64="","",INDEX('Animal Register'!$S:$S,MATCH($A64,'Animal Register'!$A:$A,0)))</f>
        <v/>
      </c>
      <c r="F64" s="47" t="str">
        <f aca="false">IF($A64="","",INDEX('Animal Register'!$Q:$Q,MATCH($A64,'Animal Register'!$A:$A,0)))</f>
        <v/>
      </c>
      <c r="G64" s="53" t="str">
        <f aca="false">IF($A64="","",IFERROR(ROUND(AVERAGEIF('Milk Production Log'!$B:$B,$A64,'Milk Production Log'!$E:$E),1),"-"))</f>
        <v/>
      </c>
      <c r="H64" s="52" t="str">
        <f aca="false">IF($A64="","",IF(SUMPRODUCT(MAX(('Milk Production Log'!$B$5:$B$404=$A64)*ROW('Milk Production Log'!$B$5:$B$404)))=0,"-",INDEX('Milk Production Log'!$A:$A,SUMPRODUCT(MAX(('Milk Production Log'!$B$5:$B$404=$A64)*ROW('Milk Production Log'!$B$5:$B$404))))))</f>
        <v/>
      </c>
      <c r="I64" s="53" t="str">
        <f aca="false">IF($A64="","",ROUND(SUMIF('Milk Production Log'!$B:$B,$A64,'Milk Production Log'!$E:$E),1))</f>
        <v/>
      </c>
    </row>
    <row r="65" customFormat="false" ht="15" hidden="false" customHeight="false" outlineLevel="0" collapsed="false">
      <c r="A65" s="47" t="str">
        <f aca="false">IFERROR(INDEX('Animal Register'!$A:$A,MATCH(61,'Animal Register'!$V:$V,0)),"")</f>
        <v/>
      </c>
      <c r="B65" s="47" t="str">
        <f aca="false">IF($A65="","",INDEX('Animal Register'!$C:$C,MATCH($A65,'Animal Register'!$A:$A,0)))</f>
        <v/>
      </c>
      <c r="C65" s="47" t="str">
        <f aca="false">IF($A65="","",INDEX('Animal Register'!$E:$E,MATCH($A65,'Animal Register'!$A:$A,0)))</f>
        <v/>
      </c>
      <c r="D65" s="52" t="str">
        <f aca="false">IF($A65="","",INDEX('Animal Register'!$F:$F,MATCH($A65,'Animal Register'!$A:$A,0)))</f>
        <v/>
      </c>
      <c r="E65" s="53" t="str">
        <f aca="false">IF($A65="","",INDEX('Animal Register'!$S:$S,MATCH($A65,'Animal Register'!$A:$A,0)))</f>
        <v/>
      </c>
      <c r="F65" s="47" t="str">
        <f aca="false">IF($A65="","",INDEX('Animal Register'!$Q:$Q,MATCH($A65,'Animal Register'!$A:$A,0)))</f>
        <v/>
      </c>
      <c r="G65" s="53" t="str">
        <f aca="false">IF($A65="","",IFERROR(ROUND(AVERAGEIF('Milk Production Log'!$B:$B,$A65,'Milk Production Log'!$E:$E),1),"-"))</f>
        <v/>
      </c>
      <c r="H65" s="52" t="str">
        <f aca="false">IF($A65="","",IF(SUMPRODUCT(MAX(('Milk Production Log'!$B$5:$B$404=$A65)*ROW('Milk Production Log'!$B$5:$B$404)))=0,"-",INDEX('Milk Production Log'!$A:$A,SUMPRODUCT(MAX(('Milk Production Log'!$B$5:$B$404=$A65)*ROW('Milk Production Log'!$B$5:$B$404))))))</f>
        <v/>
      </c>
      <c r="I65" s="53" t="str">
        <f aca="false">IF($A65="","",ROUND(SUMIF('Milk Production Log'!$B:$B,$A65,'Milk Production Log'!$E:$E),1))</f>
        <v/>
      </c>
    </row>
    <row r="66" customFormat="false" ht="15" hidden="false" customHeight="false" outlineLevel="0" collapsed="false">
      <c r="A66" s="47" t="str">
        <f aca="false">IFERROR(INDEX('Animal Register'!$A:$A,MATCH(62,'Animal Register'!$V:$V,0)),"")</f>
        <v/>
      </c>
      <c r="B66" s="47" t="str">
        <f aca="false">IF($A66="","",INDEX('Animal Register'!$C:$C,MATCH($A66,'Animal Register'!$A:$A,0)))</f>
        <v/>
      </c>
      <c r="C66" s="47" t="str">
        <f aca="false">IF($A66="","",INDEX('Animal Register'!$E:$E,MATCH($A66,'Animal Register'!$A:$A,0)))</f>
        <v/>
      </c>
      <c r="D66" s="52" t="str">
        <f aca="false">IF($A66="","",INDEX('Animal Register'!$F:$F,MATCH($A66,'Animal Register'!$A:$A,0)))</f>
        <v/>
      </c>
      <c r="E66" s="53" t="str">
        <f aca="false">IF($A66="","",INDEX('Animal Register'!$S:$S,MATCH($A66,'Animal Register'!$A:$A,0)))</f>
        <v/>
      </c>
      <c r="F66" s="47" t="str">
        <f aca="false">IF($A66="","",INDEX('Animal Register'!$Q:$Q,MATCH($A66,'Animal Register'!$A:$A,0)))</f>
        <v/>
      </c>
      <c r="G66" s="53" t="str">
        <f aca="false">IF($A66="","",IFERROR(ROUND(AVERAGEIF('Milk Production Log'!$B:$B,$A66,'Milk Production Log'!$E:$E),1),"-"))</f>
        <v/>
      </c>
      <c r="H66" s="52" t="str">
        <f aca="false">IF($A66="","",IF(SUMPRODUCT(MAX(('Milk Production Log'!$B$5:$B$404=$A66)*ROW('Milk Production Log'!$B$5:$B$404)))=0,"-",INDEX('Milk Production Log'!$A:$A,SUMPRODUCT(MAX(('Milk Production Log'!$B$5:$B$404=$A66)*ROW('Milk Production Log'!$B$5:$B$404))))))</f>
        <v/>
      </c>
      <c r="I66" s="53" t="str">
        <f aca="false">IF($A66="","",ROUND(SUMIF('Milk Production Log'!$B:$B,$A66,'Milk Production Log'!$E:$E),1))</f>
        <v/>
      </c>
    </row>
    <row r="67" customFormat="false" ht="15" hidden="false" customHeight="false" outlineLevel="0" collapsed="false">
      <c r="A67" s="47" t="str">
        <f aca="false">IFERROR(INDEX('Animal Register'!$A:$A,MATCH(63,'Animal Register'!$V:$V,0)),"")</f>
        <v/>
      </c>
      <c r="B67" s="47" t="str">
        <f aca="false">IF($A67="","",INDEX('Animal Register'!$C:$C,MATCH($A67,'Animal Register'!$A:$A,0)))</f>
        <v/>
      </c>
      <c r="C67" s="47" t="str">
        <f aca="false">IF($A67="","",INDEX('Animal Register'!$E:$E,MATCH($A67,'Animal Register'!$A:$A,0)))</f>
        <v/>
      </c>
      <c r="D67" s="52" t="str">
        <f aca="false">IF($A67="","",INDEX('Animal Register'!$F:$F,MATCH($A67,'Animal Register'!$A:$A,0)))</f>
        <v/>
      </c>
      <c r="E67" s="53" t="str">
        <f aca="false">IF($A67="","",INDEX('Animal Register'!$S:$S,MATCH($A67,'Animal Register'!$A:$A,0)))</f>
        <v/>
      </c>
      <c r="F67" s="47" t="str">
        <f aca="false">IF($A67="","",INDEX('Animal Register'!$Q:$Q,MATCH($A67,'Animal Register'!$A:$A,0)))</f>
        <v/>
      </c>
      <c r="G67" s="53" t="str">
        <f aca="false">IF($A67="","",IFERROR(ROUND(AVERAGEIF('Milk Production Log'!$B:$B,$A67,'Milk Production Log'!$E:$E),1),"-"))</f>
        <v/>
      </c>
      <c r="H67" s="52" t="str">
        <f aca="false">IF($A67="","",IF(SUMPRODUCT(MAX(('Milk Production Log'!$B$5:$B$404=$A67)*ROW('Milk Production Log'!$B$5:$B$404)))=0,"-",INDEX('Milk Production Log'!$A:$A,SUMPRODUCT(MAX(('Milk Production Log'!$B$5:$B$404=$A67)*ROW('Milk Production Log'!$B$5:$B$404))))))</f>
        <v/>
      </c>
      <c r="I67" s="53" t="str">
        <f aca="false">IF($A67="","",ROUND(SUMIF('Milk Production Log'!$B:$B,$A67,'Milk Production Log'!$E:$E),1))</f>
        <v/>
      </c>
    </row>
    <row r="68" customFormat="false" ht="15" hidden="false" customHeight="false" outlineLevel="0" collapsed="false">
      <c r="A68" s="47" t="str">
        <f aca="false">IFERROR(INDEX('Animal Register'!$A:$A,MATCH(64,'Animal Register'!$V:$V,0)),"")</f>
        <v/>
      </c>
      <c r="B68" s="47" t="str">
        <f aca="false">IF($A68="","",INDEX('Animal Register'!$C:$C,MATCH($A68,'Animal Register'!$A:$A,0)))</f>
        <v/>
      </c>
      <c r="C68" s="47" t="str">
        <f aca="false">IF($A68="","",INDEX('Animal Register'!$E:$E,MATCH($A68,'Animal Register'!$A:$A,0)))</f>
        <v/>
      </c>
      <c r="D68" s="52" t="str">
        <f aca="false">IF($A68="","",INDEX('Animal Register'!$F:$F,MATCH($A68,'Animal Register'!$A:$A,0)))</f>
        <v/>
      </c>
      <c r="E68" s="53" t="str">
        <f aca="false">IF($A68="","",INDEX('Animal Register'!$S:$S,MATCH($A68,'Animal Register'!$A:$A,0)))</f>
        <v/>
      </c>
      <c r="F68" s="47" t="str">
        <f aca="false">IF($A68="","",INDEX('Animal Register'!$Q:$Q,MATCH($A68,'Animal Register'!$A:$A,0)))</f>
        <v/>
      </c>
      <c r="G68" s="53" t="str">
        <f aca="false">IF($A68="","",IFERROR(ROUND(AVERAGEIF('Milk Production Log'!$B:$B,$A68,'Milk Production Log'!$E:$E),1),"-"))</f>
        <v/>
      </c>
      <c r="H68" s="52" t="str">
        <f aca="false">IF($A68="","",IF(SUMPRODUCT(MAX(('Milk Production Log'!$B$5:$B$404=$A68)*ROW('Milk Production Log'!$B$5:$B$404)))=0,"-",INDEX('Milk Production Log'!$A:$A,SUMPRODUCT(MAX(('Milk Production Log'!$B$5:$B$404=$A68)*ROW('Milk Production Log'!$B$5:$B$404))))))</f>
        <v/>
      </c>
      <c r="I68" s="53" t="str">
        <f aca="false">IF($A68="","",ROUND(SUMIF('Milk Production Log'!$B:$B,$A68,'Milk Production Log'!$E:$E),1))</f>
        <v/>
      </c>
    </row>
    <row r="69" customFormat="false" ht="15" hidden="false" customHeight="false" outlineLevel="0" collapsed="false">
      <c r="A69" s="47" t="str">
        <f aca="false">IFERROR(INDEX('Animal Register'!$A:$A,MATCH(65,'Animal Register'!$V:$V,0)),"")</f>
        <v/>
      </c>
      <c r="B69" s="47" t="str">
        <f aca="false">IF($A69="","",INDEX('Animal Register'!$C:$C,MATCH($A69,'Animal Register'!$A:$A,0)))</f>
        <v/>
      </c>
      <c r="C69" s="47" t="str">
        <f aca="false">IF($A69="","",INDEX('Animal Register'!$E:$E,MATCH($A69,'Animal Register'!$A:$A,0)))</f>
        <v/>
      </c>
      <c r="D69" s="52" t="str">
        <f aca="false">IF($A69="","",INDEX('Animal Register'!$F:$F,MATCH($A69,'Animal Register'!$A:$A,0)))</f>
        <v/>
      </c>
      <c r="E69" s="53" t="str">
        <f aca="false">IF($A69="","",INDEX('Animal Register'!$S:$S,MATCH($A69,'Animal Register'!$A:$A,0)))</f>
        <v/>
      </c>
      <c r="F69" s="47" t="str">
        <f aca="false">IF($A69="","",INDEX('Animal Register'!$Q:$Q,MATCH($A69,'Animal Register'!$A:$A,0)))</f>
        <v/>
      </c>
      <c r="G69" s="53" t="str">
        <f aca="false">IF($A69="","",IFERROR(ROUND(AVERAGEIF('Milk Production Log'!$B:$B,$A69,'Milk Production Log'!$E:$E),1),"-"))</f>
        <v/>
      </c>
      <c r="H69" s="52" t="str">
        <f aca="false">IF($A69="","",IF(SUMPRODUCT(MAX(('Milk Production Log'!$B$5:$B$404=$A69)*ROW('Milk Production Log'!$B$5:$B$404)))=0,"-",INDEX('Milk Production Log'!$A:$A,SUMPRODUCT(MAX(('Milk Production Log'!$B$5:$B$404=$A69)*ROW('Milk Production Log'!$B$5:$B$404))))))</f>
        <v/>
      </c>
      <c r="I69" s="53" t="str">
        <f aca="false">IF($A69="","",ROUND(SUMIF('Milk Production Log'!$B:$B,$A69,'Milk Production Log'!$E:$E),1))</f>
        <v/>
      </c>
    </row>
    <row r="70" customFormat="false" ht="15" hidden="false" customHeight="false" outlineLevel="0" collapsed="false">
      <c r="A70" s="47" t="str">
        <f aca="false">IFERROR(INDEX('Animal Register'!$A:$A,MATCH(66,'Animal Register'!$V:$V,0)),"")</f>
        <v/>
      </c>
      <c r="B70" s="47" t="str">
        <f aca="false">IF($A70="","",INDEX('Animal Register'!$C:$C,MATCH($A70,'Animal Register'!$A:$A,0)))</f>
        <v/>
      </c>
      <c r="C70" s="47" t="str">
        <f aca="false">IF($A70="","",INDEX('Animal Register'!$E:$E,MATCH($A70,'Animal Register'!$A:$A,0)))</f>
        <v/>
      </c>
      <c r="D70" s="52" t="str">
        <f aca="false">IF($A70="","",INDEX('Animal Register'!$F:$F,MATCH($A70,'Animal Register'!$A:$A,0)))</f>
        <v/>
      </c>
      <c r="E70" s="53" t="str">
        <f aca="false">IF($A70="","",INDEX('Animal Register'!$S:$S,MATCH($A70,'Animal Register'!$A:$A,0)))</f>
        <v/>
      </c>
      <c r="F70" s="47" t="str">
        <f aca="false">IF($A70="","",INDEX('Animal Register'!$Q:$Q,MATCH($A70,'Animal Register'!$A:$A,0)))</f>
        <v/>
      </c>
      <c r="G70" s="53" t="str">
        <f aca="false">IF($A70="","",IFERROR(ROUND(AVERAGEIF('Milk Production Log'!$B:$B,$A70,'Milk Production Log'!$E:$E),1),"-"))</f>
        <v/>
      </c>
      <c r="H70" s="52" t="str">
        <f aca="false">IF($A70="","",IF(SUMPRODUCT(MAX(('Milk Production Log'!$B$5:$B$404=$A70)*ROW('Milk Production Log'!$B$5:$B$404)))=0,"-",INDEX('Milk Production Log'!$A:$A,SUMPRODUCT(MAX(('Milk Production Log'!$B$5:$B$404=$A70)*ROW('Milk Production Log'!$B$5:$B$404))))))</f>
        <v/>
      </c>
      <c r="I70" s="53" t="str">
        <f aca="false">IF($A70="","",ROUND(SUMIF('Milk Production Log'!$B:$B,$A70,'Milk Production Log'!$E:$E),1))</f>
        <v/>
      </c>
    </row>
    <row r="71" customFormat="false" ht="15" hidden="false" customHeight="false" outlineLevel="0" collapsed="false">
      <c r="A71" s="47" t="str">
        <f aca="false">IFERROR(INDEX('Animal Register'!$A:$A,MATCH(67,'Animal Register'!$V:$V,0)),"")</f>
        <v/>
      </c>
      <c r="B71" s="47" t="str">
        <f aca="false">IF($A71="","",INDEX('Animal Register'!$C:$C,MATCH($A71,'Animal Register'!$A:$A,0)))</f>
        <v/>
      </c>
      <c r="C71" s="47" t="str">
        <f aca="false">IF($A71="","",INDEX('Animal Register'!$E:$E,MATCH($A71,'Animal Register'!$A:$A,0)))</f>
        <v/>
      </c>
      <c r="D71" s="52" t="str">
        <f aca="false">IF($A71="","",INDEX('Animal Register'!$F:$F,MATCH($A71,'Animal Register'!$A:$A,0)))</f>
        <v/>
      </c>
      <c r="E71" s="53" t="str">
        <f aca="false">IF($A71="","",INDEX('Animal Register'!$S:$S,MATCH($A71,'Animal Register'!$A:$A,0)))</f>
        <v/>
      </c>
      <c r="F71" s="47" t="str">
        <f aca="false">IF($A71="","",INDEX('Animal Register'!$Q:$Q,MATCH($A71,'Animal Register'!$A:$A,0)))</f>
        <v/>
      </c>
      <c r="G71" s="53" t="str">
        <f aca="false">IF($A71="","",IFERROR(ROUND(AVERAGEIF('Milk Production Log'!$B:$B,$A71,'Milk Production Log'!$E:$E),1),"-"))</f>
        <v/>
      </c>
      <c r="H71" s="52" t="str">
        <f aca="false">IF($A71="","",IF(SUMPRODUCT(MAX(('Milk Production Log'!$B$5:$B$404=$A71)*ROW('Milk Production Log'!$B$5:$B$404)))=0,"-",INDEX('Milk Production Log'!$A:$A,SUMPRODUCT(MAX(('Milk Production Log'!$B$5:$B$404=$A71)*ROW('Milk Production Log'!$B$5:$B$404))))))</f>
        <v/>
      </c>
      <c r="I71" s="53" t="str">
        <f aca="false">IF($A71="","",ROUND(SUMIF('Milk Production Log'!$B:$B,$A71,'Milk Production Log'!$E:$E),1))</f>
        <v/>
      </c>
    </row>
    <row r="72" customFormat="false" ht="15" hidden="false" customHeight="false" outlineLevel="0" collapsed="false">
      <c r="A72" s="47" t="str">
        <f aca="false">IFERROR(INDEX('Animal Register'!$A:$A,MATCH(68,'Animal Register'!$V:$V,0)),"")</f>
        <v/>
      </c>
      <c r="B72" s="47" t="str">
        <f aca="false">IF($A72="","",INDEX('Animal Register'!$C:$C,MATCH($A72,'Animal Register'!$A:$A,0)))</f>
        <v/>
      </c>
      <c r="C72" s="47" t="str">
        <f aca="false">IF($A72="","",INDEX('Animal Register'!$E:$E,MATCH($A72,'Animal Register'!$A:$A,0)))</f>
        <v/>
      </c>
      <c r="D72" s="52" t="str">
        <f aca="false">IF($A72="","",INDEX('Animal Register'!$F:$F,MATCH($A72,'Animal Register'!$A:$A,0)))</f>
        <v/>
      </c>
      <c r="E72" s="53" t="str">
        <f aca="false">IF($A72="","",INDEX('Animal Register'!$S:$S,MATCH($A72,'Animal Register'!$A:$A,0)))</f>
        <v/>
      </c>
      <c r="F72" s="47" t="str">
        <f aca="false">IF($A72="","",INDEX('Animal Register'!$Q:$Q,MATCH($A72,'Animal Register'!$A:$A,0)))</f>
        <v/>
      </c>
      <c r="G72" s="53" t="str">
        <f aca="false">IF($A72="","",IFERROR(ROUND(AVERAGEIF('Milk Production Log'!$B:$B,$A72,'Milk Production Log'!$E:$E),1),"-"))</f>
        <v/>
      </c>
      <c r="H72" s="52" t="str">
        <f aca="false">IF($A72="","",IF(SUMPRODUCT(MAX(('Milk Production Log'!$B$5:$B$404=$A72)*ROW('Milk Production Log'!$B$5:$B$404)))=0,"-",INDEX('Milk Production Log'!$A:$A,SUMPRODUCT(MAX(('Milk Production Log'!$B$5:$B$404=$A72)*ROW('Milk Production Log'!$B$5:$B$404))))))</f>
        <v/>
      </c>
      <c r="I72" s="53" t="str">
        <f aca="false">IF($A72="","",ROUND(SUMIF('Milk Production Log'!$B:$B,$A72,'Milk Production Log'!$E:$E),1))</f>
        <v/>
      </c>
    </row>
    <row r="73" customFormat="false" ht="15" hidden="false" customHeight="false" outlineLevel="0" collapsed="false">
      <c r="A73" s="47" t="str">
        <f aca="false">IFERROR(INDEX('Animal Register'!$A:$A,MATCH(69,'Animal Register'!$V:$V,0)),"")</f>
        <v/>
      </c>
      <c r="B73" s="47" t="str">
        <f aca="false">IF($A73="","",INDEX('Animal Register'!$C:$C,MATCH($A73,'Animal Register'!$A:$A,0)))</f>
        <v/>
      </c>
      <c r="C73" s="47" t="str">
        <f aca="false">IF($A73="","",INDEX('Animal Register'!$E:$E,MATCH($A73,'Animal Register'!$A:$A,0)))</f>
        <v/>
      </c>
      <c r="D73" s="52" t="str">
        <f aca="false">IF($A73="","",INDEX('Animal Register'!$F:$F,MATCH($A73,'Animal Register'!$A:$A,0)))</f>
        <v/>
      </c>
      <c r="E73" s="53" t="str">
        <f aca="false">IF($A73="","",INDEX('Animal Register'!$S:$S,MATCH($A73,'Animal Register'!$A:$A,0)))</f>
        <v/>
      </c>
      <c r="F73" s="47" t="str">
        <f aca="false">IF($A73="","",INDEX('Animal Register'!$Q:$Q,MATCH($A73,'Animal Register'!$A:$A,0)))</f>
        <v/>
      </c>
      <c r="G73" s="53" t="str">
        <f aca="false">IF($A73="","",IFERROR(ROUND(AVERAGEIF('Milk Production Log'!$B:$B,$A73,'Milk Production Log'!$E:$E),1),"-"))</f>
        <v/>
      </c>
      <c r="H73" s="52" t="str">
        <f aca="false">IF($A73="","",IF(SUMPRODUCT(MAX(('Milk Production Log'!$B$5:$B$404=$A73)*ROW('Milk Production Log'!$B$5:$B$404)))=0,"-",INDEX('Milk Production Log'!$A:$A,SUMPRODUCT(MAX(('Milk Production Log'!$B$5:$B$404=$A73)*ROW('Milk Production Log'!$B$5:$B$404))))))</f>
        <v/>
      </c>
      <c r="I73" s="53" t="str">
        <f aca="false">IF($A73="","",ROUND(SUMIF('Milk Production Log'!$B:$B,$A73,'Milk Production Log'!$E:$E),1))</f>
        <v/>
      </c>
    </row>
    <row r="74" customFormat="false" ht="15" hidden="false" customHeight="false" outlineLevel="0" collapsed="false">
      <c r="A74" s="47" t="str">
        <f aca="false">IFERROR(INDEX('Animal Register'!$A:$A,MATCH(70,'Animal Register'!$V:$V,0)),"")</f>
        <v/>
      </c>
      <c r="B74" s="47" t="str">
        <f aca="false">IF($A74="","",INDEX('Animal Register'!$C:$C,MATCH($A74,'Animal Register'!$A:$A,0)))</f>
        <v/>
      </c>
      <c r="C74" s="47" t="str">
        <f aca="false">IF($A74="","",INDEX('Animal Register'!$E:$E,MATCH($A74,'Animal Register'!$A:$A,0)))</f>
        <v/>
      </c>
      <c r="D74" s="52" t="str">
        <f aca="false">IF($A74="","",INDEX('Animal Register'!$F:$F,MATCH($A74,'Animal Register'!$A:$A,0)))</f>
        <v/>
      </c>
      <c r="E74" s="53" t="str">
        <f aca="false">IF($A74="","",INDEX('Animal Register'!$S:$S,MATCH($A74,'Animal Register'!$A:$A,0)))</f>
        <v/>
      </c>
      <c r="F74" s="47" t="str">
        <f aca="false">IF($A74="","",INDEX('Animal Register'!$Q:$Q,MATCH($A74,'Animal Register'!$A:$A,0)))</f>
        <v/>
      </c>
      <c r="G74" s="53" t="str">
        <f aca="false">IF($A74="","",IFERROR(ROUND(AVERAGEIF('Milk Production Log'!$B:$B,$A74,'Milk Production Log'!$E:$E),1),"-"))</f>
        <v/>
      </c>
      <c r="H74" s="52" t="str">
        <f aca="false">IF($A74="","",IF(SUMPRODUCT(MAX(('Milk Production Log'!$B$5:$B$404=$A74)*ROW('Milk Production Log'!$B$5:$B$404)))=0,"-",INDEX('Milk Production Log'!$A:$A,SUMPRODUCT(MAX(('Milk Production Log'!$B$5:$B$404=$A74)*ROW('Milk Production Log'!$B$5:$B$404))))))</f>
        <v/>
      </c>
      <c r="I74" s="53" t="str">
        <f aca="false">IF($A74="","",ROUND(SUMIF('Milk Production Log'!$B:$B,$A74,'Milk Production Log'!$E:$E),1))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30" t="s">
        <v>284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48" t="s">
        <v>285</v>
      </c>
      <c r="B2" s="48"/>
      <c r="C2" s="48"/>
      <c r="D2" s="48"/>
      <c r="E2" s="48"/>
      <c r="F2" s="48"/>
      <c r="G2" s="48"/>
      <c r="H2" s="48"/>
    </row>
    <row r="4" customFormat="false" ht="26.85" hidden="false" customHeight="false" outlineLevel="0" collapsed="false">
      <c r="A4" s="31" t="s">
        <v>286</v>
      </c>
      <c r="B4" s="31" t="s">
        <v>216</v>
      </c>
      <c r="C4" s="31" t="s">
        <v>287</v>
      </c>
      <c r="D4" s="31" t="s">
        <v>288</v>
      </c>
      <c r="E4" s="31" t="s">
        <v>289</v>
      </c>
      <c r="F4" s="31" t="s">
        <v>290</v>
      </c>
      <c r="G4" s="31" t="s">
        <v>291</v>
      </c>
      <c r="H4" s="31" t="s">
        <v>232</v>
      </c>
    </row>
    <row r="5" customFormat="false" ht="15" hidden="false" customHeight="false" outlineLevel="0" collapsed="false">
      <c r="A5" s="51" t="n">
        <v>46240</v>
      </c>
      <c r="B5" s="50"/>
      <c r="C5" s="62"/>
      <c r="D5" s="62"/>
      <c r="E5" s="53" t="str">
        <f aca="false">IF($B5="","",C5+D5)</f>
        <v/>
      </c>
      <c r="F5" s="62"/>
      <c r="G5" s="62"/>
      <c r="H5" s="32" t="s">
        <v>292</v>
      </c>
    </row>
    <row r="6" customFormat="false" ht="15" hidden="false" customHeight="false" outlineLevel="0" collapsed="false">
      <c r="A6" s="51"/>
      <c r="B6" s="50"/>
      <c r="C6" s="62"/>
      <c r="D6" s="62"/>
      <c r="E6" s="53" t="str">
        <f aca="false">IF($B6="","",C6+D6)</f>
        <v/>
      </c>
      <c r="F6" s="62"/>
      <c r="G6" s="62"/>
      <c r="H6" s="32"/>
    </row>
    <row r="7" customFormat="false" ht="15" hidden="false" customHeight="false" outlineLevel="0" collapsed="false">
      <c r="A7" s="51"/>
      <c r="B7" s="50"/>
      <c r="C7" s="62"/>
      <c r="D7" s="62"/>
      <c r="E7" s="53" t="str">
        <f aca="false">IF($B7="","",C7+D7)</f>
        <v/>
      </c>
      <c r="F7" s="62"/>
      <c r="G7" s="62"/>
      <c r="H7" s="32"/>
    </row>
    <row r="8" customFormat="false" ht="15" hidden="false" customHeight="false" outlineLevel="0" collapsed="false">
      <c r="A8" s="51"/>
      <c r="B8" s="50"/>
      <c r="C8" s="62"/>
      <c r="D8" s="62"/>
      <c r="E8" s="53" t="str">
        <f aca="false">IF($B8="","",C8+D8)</f>
        <v/>
      </c>
      <c r="F8" s="62"/>
      <c r="G8" s="62"/>
      <c r="H8" s="32"/>
    </row>
    <row r="9" customFormat="false" ht="15" hidden="false" customHeight="false" outlineLevel="0" collapsed="false">
      <c r="A9" s="51"/>
      <c r="B9" s="50"/>
      <c r="C9" s="62"/>
      <c r="D9" s="62"/>
      <c r="E9" s="53" t="str">
        <f aca="false">IF($B9="","",C9+D9)</f>
        <v/>
      </c>
      <c r="F9" s="62"/>
      <c r="G9" s="62"/>
      <c r="H9" s="32"/>
    </row>
    <row r="10" customFormat="false" ht="15" hidden="false" customHeight="false" outlineLevel="0" collapsed="false">
      <c r="A10" s="51"/>
      <c r="B10" s="50"/>
      <c r="C10" s="62"/>
      <c r="D10" s="62"/>
      <c r="E10" s="53" t="str">
        <f aca="false">IF($B10="","",C10+D10)</f>
        <v/>
      </c>
      <c r="F10" s="62"/>
      <c r="G10" s="62"/>
      <c r="H10" s="32"/>
    </row>
    <row r="11" customFormat="false" ht="15" hidden="false" customHeight="false" outlineLevel="0" collapsed="false">
      <c r="A11" s="51"/>
      <c r="B11" s="50"/>
      <c r="C11" s="62"/>
      <c r="D11" s="62"/>
      <c r="E11" s="53" t="str">
        <f aca="false">IF($B11="","",C11+D11)</f>
        <v/>
      </c>
      <c r="F11" s="62"/>
      <c r="G11" s="62"/>
      <c r="H11" s="32"/>
    </row>
    <row r="12" customFormat="false" ht="15" hidden="false" customHeight="false" outlineLevel="0" collapsed="false">
      <c r="A12" s="51"/>
      <c r="B12" s="50"/>
      <c r="C12" s="62"/>
      <c r="D12" s="62"/>
      <c r="E12" s="53" t="str">
        <f aca="false">IF($B12="","",C12+D12)</f>
        <v/>
      </c>
      <c r="F12" s="62"/>
      <c r="G12" s="62"/>
      <c r="H12" s="32"/>
    </row>
    <row r="13" customFormat="false" ht="15" hidden="false" customHeight="false" outlineLevel="0" collapsed="false">
      <c r="A13" s="51"/>
      <c r="B13" s="50"/>
      <c r="C13" s="62"/>
      <c r="D13" s="62"/>
      <c r="E13" s="53" t="str">
        <f aca="false">IF($B13="","",C13+D13)</f>
        <v/>
      </c>
      <c r="F13" s="62"/>
      <c r="G13" s="62"/>
      <c r="H13" s="32"/>
    </row>
    <row r="14" customFormat="false" ht="15" hidden="false" customHeight="false" outlineLevel="0" collapsed="false">
      <c r="A14" s="51"/>
      <c r="B14" s="50"/>
      <c r="C14" s="62"/>
      <c r="D14" s="62"/>
      <c r="E14" s="53" t="str">
        <f aca="false">IF($B14="","",C14+D14)</f>
        <v/>
      </c>
      <c r="F14" s="62"/>
      <c r="G14" s="62"/>
      <c r="H14" s="32"/>
    </row>
    <row r="15" customFormat="false" ht="15" hidden="false" customHeight="false" outlineLevel="0" collapsed="false">
      <c r="A15" s="51"/>
      <c r="B15" s="50"/>
      <c r="C15" s="62"/>
      <c r="D15" s="62"/>
      <c r="E15" s="53" t="str">
        <f aca="false">IF($B15="","",C15+D15)</f>
        <v/>
      </c>
      <c r="F15" s="62"/>
      <c r="G15" s="62"/>
      <c r="H15" s="32"/>
    </row>
    <row r="16" customFormat="false" ht="15" hidden="false" customHeight="false" outlineLevel="0" collapsed="false">
      <c r="A16" s="51"/>
      <c r="B16" s="50"/>
      <c r="C16" s="62"/>
      <c r="D16" s="62"/>
      <c r="E16" s="53" t="str">
        <f aca="false">IF($B16="","",C16+D16)</f>
        <v/>
      </c>
      <c r="F16" s="62"/>
      <c r="G16" s="62"/>
      <c r="H16" s="32"/>
    </row>
    <row r="17" customFormat="false" ht="15" hidden="false" customHeight="false" outlineLevel="0" collapsed="false">
      <c r="A17" s="51"/>
      <c r="B17" s="50"/>
      <c r="C17" s="62"/>
      <c r="D17" s="62"/>
      <c r="E17" s="53" t="str">
        <f aca="false">IF($B17="","",C17+D17)</f>
        <v/>
      </c>
      <c r="F17" s="62"/>
      <c r="G17" s="62"/>
      <c r="H17" s="32"/>
    </row>
    <row r="18" customFormat="false" ht="15" hidden="false" customHeight="false" outlineLevel="0" collapsed="false">
      <c r="A18" s="51"/>
      <c r="B18" s="50"/>
      <c r="C18" s="62"/>
      <c r="D18" s="62"/>
      <c r="E18" s="53" t="str">
        <f aca="false">IF($B18="","",C18+D18)</f>
        <v/>
      </c>
      <c r="F18" s="62"/>
      <c r="G18" s="62"/>
      <c r="H18" s="32"/>
    </row>
    <row r="19" customFormat="false" ht="15" hidden="false" customHeight="false" outlineLevel="0" collapsed="false">
      <c r="A19" s="51"/>
      <c r="B19" s="50"/>
      <c r="C19" s="62"/>
      <c r="D19" s="62"/>
      <c r="E19" s="53" t="str">
        <f aca="false">IF($B19="","",C19+D19)</f>
        <v/>
      </c>
      <c r="F19" s="62"/>
      <c r="G19" s="62"/>
      <c r="H19" s="32"/>
    </row>
    <row r="20" customFormat="false" ht="15" hidden="false" customHeight="false" outlineLevel="0" collapsed="false">
      <c r="A20" s="51"/>
      <c r="B20" s="50"/>
      <c r="C20" s="62"/>
      <c r="D20" s="62"/>
      <c r="E20" s="53" t="str">
        <f aca="false">IF($B20="","",C20+D20)</f>
        <v/>
      </c>
      <c r="F20" s="62"/>
      <c r="G20" s="62"/>
      <c r="H20" s="32"/>
    </row>
    <row r="21" customFormat="false" ht="15" hidden="false" customHeight="false" outlineLevel="0" collapsed="false">
      <c r="A21" s="51"/>
      <c r="B21" s="50"/>
      <c r="C21" s="62"/>
      <c r="D21" s="62"/>
      <c r="E21" s="53" t="str">
        <f aca="false">IF($B21="","",C21+D21)</f>
        <v/>
      </c>
      <c r="F21" s="62"/>
      <c r="G21" s="62"/>
      <c r="H21" s="32"/>
    </row>
    <row r="22" customFormat="false" ht="15" hidden="false" customHeight="false" outlineLevel="0" collapsed="false">
      <c r="A22" s="51"/>
      <c r="B22" s="50"/>
      <c r="C22" s="62"/>
      <c r="D22" s="62"/>
      <c r="E22" s="53" t="str">
        <f aca="false">IF($B22="","",C22+D22)</f>
        <v/>
      </c>
      <c r="F22" s="62"/>
      <c r="G22" s="62"/>
      <c r="H22" s="32"/>
    </row>
    <row r="23" customFormat="false" ht="15" hidden="false" customHeight="false" outlineLevel="0" collapsed="false">
      <c r="A23" s="51"/>
      <c r="B23" s="50"/>
      <c r="C23" s="62"/>
      <c r="D23" s="62"/>
      <c r="E23" s="53" t="str">
        <f aca="false">IF($B23="","",C23+D23)</f>
        <v/>
      </c>
      <c r="F23" s="62"/>
      <c r="G23" s="62"/>
      <c r="H23" s="32"/>
    </row>
    <row r="24" customFormat="false" ht="15" hidden="false" customHeight="false" outlineLevel="0" collapsed="false">
      <c r="A24" s="51"/>
      <c r="B24" s="50"/>
      <c r="C24" s="62"/>
      <c r="D24" s="62"/>
      <c r="E24" s="53" t="str">
        <f aca="false">IF($B24="","",C24+D24)</f>
        <v/>
      </c>
      <c r="F24" s="62"/>
      <c r="G24" s="62"/>
      <c r="H24" s="32"/>
    </row>
    <row r="25" customFormat="false" ht="15" hidden="false" customHeight="false" outlineLevel="0" collapsed="false">
      <c r="A25" s="51"/>
      <c r="B25" s="50"/>
      <c r="C25" s="62"/>
      <c r="D25" s="62"/>
      <c r="E25" s="53" t="str">
        <f aca="false">IF($B25="","",C25+D25)</f>
        <v/>
      </c>
      <c r="F25" s="62"/>
      <c r="G25" s="62"/>
      <c r="H25" s="32"/>
    </row>
    <row r="26" customFormat="false" ht="15" hidden="false" customHeight="false" outlineLevel="0" collapsed="false">
      <c r="A26" s="51"/>
      <c r="B26" s="50"/>
      <c r="C26" s="62"/>
      <c r="D26" s="62"/>
      <c r="E26" s="53" t="str">
        <f aca="false">IF($B26="","",C26+D26)</f>
        <v/>
      </c>
      <c r="F26" s="62"/>
      <c r="G26" s="62"/>
      <c r="H26" s="32"/>
    </row>
    <row r="27" customFormat="false" ht="15" hidden="false" customHeight="false" outlineLevel="0" collapsed="false">
      <c r="A27" s="51"/>
      <c r="B27" s="50"/>
      <c r="C27" s="62"/>
      <c r="D27" s="62"/>
      <c r="E27" s="53" t="str">
        <f aca="false">IF($B27="","",C27+D27)</f>
        <v/>
      </c>
      <c r="F27" s="62"/>
      <c r="G27" s="62"/>
      <c r="H27" s="32"/>
    </row>
    <row r="28" customFormat="false" ht="15" hidden="false" customHeight="false" outlineLevel="0" collapsed="false">
      <c r="A28" s="51"/>
      <c r="B28" s="50"/>
      <c r="C28" s="62"/>
      <c r="D28" s="62"/>
      <c r="E28" s="53" t="str">
        <f aca="false">IF($B28="","",C28+D28)</f>
        <v/>
      </c>
      <c r="F28" s="62"/>
      <c r="G28" s="62"/>
      <c r="H28" s="32"/>
    </row>
    <row r="29" customFormat="false" ht="15" hidden="false" customHeight="false" outlineLevel="0" collapsed="false">
      <c r="A29" s="51"/>
      <c r="B29" s="50"/>
      <c r="C29" s="62"/>
      <c r="D29" s="62"/>
      <c r="E29" s="53" t="str">
        <f aca="false">IF($B29="","",C29+D29)</f>
        <v/>
      </c>
      <c r="F29" s="62"/>
      <c r="G29" s="62"/>
      <c r="H29" s="32"/>
    </row>
    <row r="30" customFormat="false" ht="15" hidden="false" customHeight="false" outlineLevel="0" collapsed="false">
      <c r="A30" s="51"/>
      <c r="B30" s="50"/>
      <c r="C30" s="62"/>
      <c r="D30" s="62"/>
      <c r="E30" s="53" t="str">
        <f aca="false">IF($B30="","",C30+D30)</f>
        <v/>
      </c>
      <c r="F30" s="62"/>
      <c r="G30" s="62"/>
      <c r="H30" s="32"/>
    </row>
    <row r="31" customFormat="false" ht="15" hidden="false" customHeight="false" outlineLevel="0" collapsed="false">
      <c r="A31" s="51"/>
      <c r="B31" s="50"/>
      <c r="C31" s="62"/>
      <c r="D31" s="62"/>
      <c r="E31" s="53" t="str">
        <f aca="false">IF($B31="","",C31+D31)</f>
        <v/>
      </c>
      <c r="F31" s="62"/>
      <c r="G31" s="62"/>
      <c r="H31" s="32"/>
    </row>
    <row r="32" customFormat="false" ht="15" hidden="false" customHeight="false" outlineLevel="0" collapsed="false">
      <c r="A32" s="51"/>
      <c r="B32" s="50"/>
      <c r="C32" s="62"/>
      <c r="D32" s="62"/>
      <c r="E32" s="53" t="str">
        <f aca="false">IF($B32="","",C32+D32)</f>
        <v/>
      </c>
      <c r="F32" s="62"/>
      <c r="G32" s="62"/>
      <c r="H32" s="32"/>
    </row>
    <row r="33" customFormat="false" ht="15" hidden="false" customHeight="false" outlineLevel="0" collapsed="false">
      <c r="A33" s="51"/>
      <c r="B33" s="50"/>
      <c r="C33" s="62"/>
      <c r="D33" s="62"/>
      <c r="E33" s="53" t="str">
        <f aca="false">IF($B33="","",C33+D33)</f>
        <v/>
      </c>
      <c r="F33" s="62"/>
      <c r="G33" s="62"/>
      <c r="H33" s="32"/>
    </row>
    <row r="34" customFormat="false" ht="15" hidden="false" customHeight="false" outlineLevel="0" collapsed="false">
      <c r="A34" s="51"/>
      <c r="B34" s="50"/>
      <c r="C34" s="62"/>
      <c r="D34" s="62"/>
      <c r="E34" s="53" t="str">
        <f aca="false">IF($B34="","",C34+D34)</f>
        <v/>
      </c>
      <c r="F34" s="62"/>
      <c r="G34" s="62"/>
      <c r="H34" s="32"/>
    </row>
    <row r="35" customFormat="false" ht="15" hidden="false" customHeight="false" outlineLevel="0" collapsed="false">
      <c r="A35" s="51"/>
      <c r="B35" s="50"/>
      <c r="C35" s="62"/>
      <c r="D35" s="62"/>
      <c r="E35" s="53" t="str">
        <f aca="false">IF($B35="","",C35+D35)</f>
        <v/>
      </c>
      <c r="F35" s="62"/>
      <c r="G35" s="62"/>
      <c r="H35" s="32"/>
    </row>
    <row r="36" customFormat="false" ht="15" hidden="false" customHeight="false" outlineLevel="0" collapsed="false">
      <c r="A36" s="51"/>
      <c r="B36" s="50"/>
      <c r="C36" s="62"/>
      <c r="D36" s="62"/>
      <c r="E36" s="53" t="str">
        <f aca="false">IF($B36="","",C36+D36)</f>
        <v/>
      </c>
      <c r="F36" s="62"/>
      <c r="G36" s="62"/>
      <c r="H36" s="32"/>
    </row>
    <row r="37" customFormat="false" ht="15" hidden="false" customHeight="false" outlineLevel="0" collapsed="false">
      <c r="A37" s="51"/>
      <c r="B37" s="50"/>
      <c r="C37" s="62"/>
      <c r="D37" s="62"/>
      <c r="E37" s="53" t="str">
        <f aca="false">IF($B37="","",C37+D37)</f>
        <v/>
      </c>
      <c r="F37" s="62"/>
      <c r="G37" s="62"/>
      <c r="H37" s="32"/>
    </row>
    <row r="38" customFormat="false" ht="15" hidden="false" customHeight="false" outlineLevel="0" collapsed="false">
      <c r="A38" s="51"/>
      <c r="B38" s="50"/>
      <c r="C38" s="62"/>
      <c r="D38" s="62"/>
      <c r="E38" s="53" t="str">
        <f aca="false">IF($B38="","",C38+D38)</f>
        <v/>
      </c>
      <c r="F38" s="62"/>
      <c r="G38" s="62"/>
      <c r="H38" s="32"/>
    </row>
    <row r="39" customFormat="false" ht="15" hidden="false" customHeight="false" outlineLevel="0" collapsed="false">
      <c r="A39" s="51"/>
      <c r="B39" s="50"/>
      <c r="C39" s="62"/>
      <c r="D39" s="62"/>
      <c r="E39" s="53" t="str">
        <f aca="false">IF($B39="","",C39+D39)</f>
        <v/>
      </c>
      <c r="F39" s="62"/>
      <c r="G39" s="62"/>
      <c r="H39" s="32"/>
    </row>
    <row r="40" customFormat="false" ht="15" hidden="false" customHeight="false" outlineLevel="0" collapsed="false">
      <c r="A40" s="51"/>
      <c r="B40" s="50"/>
      <c r="C40" s="62"/>
      <c r="D40" s="62"/>
      <c r="E40" s="53" t="str">
        <f aca="false">IF($B40="","",C40+D40)</f>
        <v/>
      </c>
      <c r="F40" s="62"/>
      <c r="G40" s="62"/>
      <c r="H40" s="32"/>
    </row>
    <row r="41" customFormat="false" ht="15" hidden="false" customHeight="false" outlineLevel="0" collapsed="false">
      <c r="A41" s="51"/>
      <c r="B41" s="50"/>
      <c r="C41" s="62"/>
      <c r="D41" s="62"/>
      <c r="E41" s="53" t="str">
        <f aca="false">IF($B41="","",C41+D41)</f>
        <v/>
      </c>
      <c r="F41" s="62"/>
      <c r="G41" s="62"/>
      <c r="H41" s="32"/>
    </row>
    <row r="42" customFormat="false" ht="15" hidden="false" customHeight="false" outlineLevel="0" collapsed="false">
      <c r="A42" s="51"/>
      <c r="B42" s="50"/>
      <c r="C42" s="62"/>
      <c r="D42" s="62"/>
      <c r="E42" s="53" t="str">
        <f aca="false">IF($B42="","",C42+D42)</f>
        <v/>
      </c>
      <c r="F42" s="62"/>
      <c r="G42" s="62"/>
      <c r="H42" s="32"/>
    </row>
    <row r="43" customFormat="false" ht="15" hidden="false" customHeight="false" outlineLevel="0" collapsed="false">
      <c r="A43" s="51"/>
      <c r="B43" s="50"/>
      <c r="C43" s="62"/>
      <c r="D43" s="62"/>
      <c r="E43" s="53" t="str">
        <f aca="false">IF($B43="","",C43+D43)</f>
        <v/>
      </c>
      <c r="F43" s="62"/>
      <c r="G43" s="62"/>
      <c r="H43" s="32"/>
    </row>
    <row r="44" customFormat="false" ht="15" hidden="false" customHeight="false" outlineLevel="0" collapsed="false">
      <c r="A44" s="51"/>
      <c r="B44" s="50"/>
      <c r="C44" s="62"/>
      <c r="D44" s="62"/>
      <c r="E44" s="53" t="str">
        <f aca="false">IF($B44="","",C44+D44)</f>
        <v/>
      </c>
      <c r="F44" s="62"/>
      <c r="G44" s="62"/>
      <c r="H44" s="32"/>
    </row>
    <row r="45" customFormat="false" ht="15" hidden="false" customHeight="false" outlineLevel="0" collapsed="false">
      <c r="A45" s="51"/>
      <c r="B45" s="50"/>
      <c r="C45" s="62"/>
      <c r="D45" s="62"/>
      <c r="E45" s="53" t="str">
        <f aca="false">IF($B45="","",C45+D45)</f>
        <v/>
      </c>
      <c r="F45" s="62"/>
      <c r="G45" s="62"/>
      <c r="H45" s="32"/>
    </row>
    <row r="46" customFormat="false" ht="15" hidden="false" customHeight="false" outlineLevel="0" collapsed="false">
      <c r="A46" s="51"/>
      <c r="B46" s="50"/>
      <c r="C46" s="62"/>
      <c r="D46" s="62"/>
      <c r="E46" s="53" t="str">
        <f aca="false">IF($B46="","",C46+D46)</f>
        <v/>
      </c>
      <c r="F46" s="62"/>
      <c r="G46" s="62"/>
      <c r="H46" s="32"/>
    </row>
    <row r="47" customFormat="false" ht="15" hidden="false" customHeight="false" outlineLevel="0" collapsed="false">
      <c r="A47" s="51"/>
      <c r="B47" s="50"/>
      <c r="C47" s="62"/>
      <c r="D47" s="62"/>
      <c r="E47" s="53" t="str">
        <f aca="false">IF($B47="","",C47+D47)</f>
        <v/>
      </c>
      <c r="F47" s="62"/>
      <c r="G47" s="62"/>
      <c r="H47" s="32"/>
    </row>
    <row r="48" customFormat="false" ht="15" hidden="false" customHeight="false" outlineLevel="0" collapsed="false">
      <c r="A48" s="51"/>
      <c r="B48" s="50"/>
      <c r="C48" s="62"/>
      <c r="D48" s="62"/>
      <c r="E48" s="53" t="str">
        <f aca="false">IF($B48="","",C48+D48)</f>
        <v/>
      </c>
      <c r="F48" s="62"/>
      <c r="G48" s="62"/>
      <c r="H48" s="32"/>
    </row>
    <row r="49" customFormat="false" ht="15" hidden="false" customHeight="false" outlineLevel="0" collapsed="false">
      <c r="A49" s="51"/>
      <c r="B49" s="50"/>
      <c r="C49" s="62"/>
      <c r="D49" s="62"/>
      <c r="E49" s="53" t="str">
        <f aca="false">IF($B49="","",C49+D49)</f>
        <v/>
      </c>
      <c r="F49" s="62"/>
      <c r="G49" s="62"/>
      <c r="H49" s="32"/>
    </row>
    <row r="50" customFormat="false" ht="15" hidden="false" customHeight="false" outlineLevel="0" collapsed="false">
      <c r="A50" s="51"/>
      <c r="B50" s="50"/>
      <c r="C50" s="62"/>
      <c r="D50" s="62"/>
      <c r="E50" s="53" t="str">
        <f aca="false">IF($B50="","",C50+D50)</f>
        <v/>
      </c>
      <c r="F50" s="62"/>
      <c r="G50" s="62"/>
      <c r="H50" s="32"/>
    </row>
    <row r="51" customFormat="false" ht="15" hidden="false" customHeight="false" outlineLevel="0" collapsed="false">
      <c r="A51" s="51"/>
      <c r="B51" s="50"/>
      <c r="C51" s="62"/>
      <c r="D51" s="62"/>
      <c r="E51" s="53" t="str">
        <f aca="false">IF($B51="","",C51+D51)</f>
        <v/>
      </c>
      <c r="F51" s="62"/>
      <c r="G51" s="62"/>
      <c r="H51" s="32"/>
    </row>
    <row r="52" customFormat="false" ht="15" hidden="false" customHeight="false" outlineLevel="0" collapsed="false">
      <c r="A52" s="51"/>
      <c r="B52" s="50"/>
      <c r="C52" s="62"/>
      <c r="D52" s="62"/>
      <c r="E52" s="53" t="str">
        <f aca="false">IF($B52="","",C52+D52)</f>
        <v/>
      </c>
      <c r="F52" s="62"/>
      <c r="G52" s="62"/>
      <c r="H52" s="32"/>
    </row>
    <row r="53" customFormat="false" ht="15" hidden="false" customHeight="false" outlineLevel="0" collapsed="false">
      <c r="A53" s="51"/>
      <c r="B53" s="50"/>
      <c r="C53" s="62"/>
      <c r="D53" s="62"/>
      <c r="E53" s="53" t="str">
        <f aca="false">IF($B53="","",C53+D53)</f>
        <v/>
      </c>
      <c r="F53" s="62"/>
      <c r="G53" s="62"/>
      <c r="H53" s="32"/>
    </row>
    <row r="54" customFormat="false" ht="15" hidden="false" customHeight="false" outlineLevel="0" collapsed="false">
      <c r="A54" s="51"/>
      <c r="B54" s="50"/>
      <c r="C54" s="62"/>
      <c r="D54" s="62"/>
      <c r="E54" s="53" t="str">
        <f aca="false">IF($B54="","",C54+D54)</f>
        <v/>
      </c>
      <c r="F54" s="62"/>
      <c r="G54" s="62"/>
      <c r="H54" s="32"/>
    </row>
    <row r="55" customFormat="false" ht="15" hidden="false" customHeight="false" outlineLevel="0" collapsed="false">
      <c r="A55" s="51"/>
      <c r="B55" s="50"/>
      <c r="C55" s="62"/>
      <c r="D55" s="62"/>
      <c r="E55" s="53" t="str">
        <f aca="false">IF($B55="","",C55+D55)</f>
        <v/>
      </c>
      <c r="F55" s="62"/>
      <c r="G55" s="62"/>
      <c r="H55" s="32"/>
    </row>
    <row r="56" customFormat="false" ht="15" hidden="false" customHeight="false" outlineLevel="0" collapsed="false">
      <c r="A56" s="51"/>
      <c r="B56" s="50"/>
      <c r="C56" s="62"/>
      <c r="D56" s="62"/>
      <c r="E56" s="53" t="str">
        <f aca="false">IF($B56="","",C56+D56)</f>
        <v/>
      </c>
      <c r="F56" s="62"/>
      <c r="G56" s="62"/>
      <c r="H56" s="32"/>
    </row>
    <row r="57" customFormat="false" ht="15" hidden="false" customHeight="false" outlineLevel="0" collapsed="false">
      <c r="A57" s="51"/>
      <c r="B57" s="50"/>
      <c r="C57" s="62"/>
      <c r="D57" s="62"/>
      <c r="E57" s="53" t="str">
        <f aca="false">IF($B57="","",C57+D57)</f>
        <v/>
      </c>
      <c r="F57" s="62"/>
      <c r="G57" s="62"/>
      <c r="H57" s="32"/>
    </row>
    <row r="58" customFormat="false" ht="15" hidden="false" customHeight="false" outlineLevel="0" collapsed="false">
      <c r="A58" s="51"/>
      <c r="B58" s="50"/>
      <c r="C58" s="62"/>
      <c r="D58" s="62"/>
      <c r="E58" s="53" t="str">
        <f aca="false">IF($B58="","",C58+D58)</f>
        <v/>
      </c>
      <c r="F58" s="62"/>
      <c r="G58" s="62"/>
      <c r="H58" s="32"/>
    </row>
    <row r="59" customFormat="false" ht="15" hidden="false" customHeight="false" outlineLevel="0" collapsed="false">
      <c r="A59" s="51"/>
      <c r="B59" s="50"/>
      <c r="C59" s="62"/>
      <c r="D59" s="62"/>
      <c r="E59" s="53" t="str">
        <f aca="false">IF($B59="","",C59+D59)</f>
        <v/>
      </c>
      <c r="F59" s="62"/>
      <c r="G59" s="62"/>
      <c r="H59" s="32"/>
    </row>
    <row r="60" customFormat="false" ht="15" hidden="false" customHeight="false" outlineLevel="0" collapsed="false">
      <c r="A60" s="51"/>
      <c r="B60" s="50"/>
      <c r="C60" s="62"/>
      <c r="D60" s="62"/>
      <c r="E60" s="53" t="str">
        <f aca="false">IF($B60="","",C60+D60)</f>
        <v/>
      </c>
      <c r="F60" s="62"/>
      <c r="G60" s="62"/>
      <c r="H60" s="32"/>
    </row>
    <row r="61" customFormat="false" ht="15" hidden="false" customHeight="false" outlineLevel="0" collapsed="false">
      <c r="A61" s="51"/>
      <c r="B61" s="50"/>
      <c r="C61" s="62"/>
      <c r="D61" s="62"/>
      <c r="E61" s="53" t="str">
        <f aca="false">IF($B61="","",C61+D61)</f>
        <v/>
      </c>
      <c r="F61" s="62"/>
      <c r="G61" s="62"/>
      <c r="H61" s="32"/>
    </row>
    <row r="62" customFormat="false" ht="15" hidden="false" customHeight="false" outlineLevel="0" collapsed="false">
      <c r="A62" s="51"/>
      <c r="B62" s="50"/>
      <c r="C62" s="62"/>
      <c r="D62" s="62"/>
      <c r="E62" s="53" t="str">
        <f aca="false">IF($B62="","",C62+D62)</f>
        <v/>
      </c>
      <c r="F62" s="62"/>
      <c r="G62" s="62"/>
      <c r="H62" s="32"/>
    </row>
    <row r="63" customFormat="false" ht="15" hidden="false" customHeight="false" outlineLevel="0" collapsed="false">
      <c r="A63" s="51"/>
      <c r="B63" s="50"/>
      <c r="C63" s="62"/>
      <c r="D63" s="62"/>
      <c r="E63" s="53" t="str">
        <f aca="false">IF($B63="","",C63+D63)</f>
        <v/>
      </c>
      <c r="F63" s="62"/>
      <c r="G63" s="62"/>
      <c r="H63" s="32"/>
    </row>
    <row r="64" customFormat="false" ht="15" hidden="false" customHeight="false" outlineLevel="0" collapsed="false">
      <c r="A64" s="51"/>
      <c r="B64" s="50"/>
      <c r="C64" s="62"/>
      <c r="D64" s="62"/>
      <c r="E64" s="53" t="str">
        <f aca="false">IF($B64="","",C64+D64)</f>
        <v/>
      </c>
      <c r="F64" s="62"/>
      <c r="G64" s="62"/>
      <c r="H64" s="32"/>
    </row>
    <row r="65" customFormat="false" ht="15" hidden="false" customHeight="false" outlineLevel="0" collapsed="false">
      <c r="A65" s="51"/>
      <c r="B65" s="50"/>
      <c r="C65" s="62"/>
      <c r="D65" s="62"/>
      <c r="E65" s="53" t="str">
        <f aca="false">IF($B65="","",C65+D65)</f>
        <v/>
      </c>
      <c r="F65" s="62"/>
      <c r="G65" s="62"/>
      <c r="H65" s="32"/>
    </row>
    <row r="66" customFormat="false" ht="15" hidden="false" customHeight="false" outlineLevel="0" collapsed="false">
      <c r="A66" s="51"/>
      <c r="B66" s="50"/>
      <c r="C66" s="62"/>
      <c r="D66" s="62"/>
      <c r="E66" s="53" t="str">
        <f aca="false">IF($B66="","",C66+D66)</f>
        <v/>
      </c>
      <c r="F66" s="62"/>
      <c r="G66" s="62"/>
      <c r="H66" s="32"/>
    </row>
    <row r="67" customFormat="false" ht="15" hidden="false" customHeight="false" outlineLevel="0" collapsed="false">
      <c r="A67" s="51"/>
      <c r="B67" s="50"/>
      <c r="C67" s="62"/>
      <c r="D67" s="62"/>
      <c r="E67" s="53" t="str">
        <f aca="false">IF($B67="","",C67+D67)</f>
        <v/>
      </c>
      <c r="F67" s="62"/>
      <c r="G67" s="62"/>
      <c r="H67" s="32"/>
    </row>
    <row r="68" customFormat="false" ht="15" hidden="false" customHeight="false" outlineLevel="0" collapsed="false">
      <c r="A68" s="51"/>
      <c r="B68" s="50"/>
      <c r="C68" s="62"/>
      <c r="D68" s="62"/>
      <c r="E68" s="53" t="str">
        <f aca="false">IF($B68="","",C68+D68)</f>
        <v/>
      </c>
      <c r="F68" s="62"/>
      <c r="G68" s="62"/>
      <c r="H68" s="32"/>
    </row>
    <row r="69" customFormat="false" ht="15" hidden="false" customHeight="false" outlineLevel="0" collapsed="false">
      <c r="A69" s="51"/>
      <c r="B69" s="50"/>
      <c r="C69" s="62"/>
      <c r="D69" s="62"/>
      <c r="E69" s="53" t="str">
        <f aca="false">IF($B69="","",C69+D69)</f>
        <v/>
      </c>
      <c r="F69" s="62"/>
      <c r="G69" s="62"/>
      <c r="H69" s="32"/>
    </row>
    <row r="70" customFormat="false" ht="15" hidden="false" customHeight="false" outlineLevel="0" collapsed="false">
      <c r="A70" s="51"/>
      <c r="B70" s="50"/>
      <c r="C70" s="62"/>
      <c r="D70" s="62"/>
      <c r="E70" s="53" t="str">
        <f aca="false">IF($B70="","",C70+D70)</f>
        <v/>
      </c>
      <c r="F70" s="62"/>
      <c r="G70" s="62"/>
      <c r="H70" s="32"/>
    </row>
    <row r="71" customFormat="false" ht="15" hidden="false" customHeight="false" outlineLevel="0" collapsed="false">
      <c r="A71" s="51"/>
      <c r="B71" s="50"/>
      <c r="C71" s="62"/>
      <c r="D71" s="62"/>
      <c r="E71" s="53" t="str">
        <f aca="false">IF($B71="","",C71+D71)</f>
        <v/>
      </c>
      <c r="F71" s="62"/>
      <c r="G71" s="62"/>
      <c r="H71" s="32"/>
    </row>
    <row r="72" customFormat="false" ht="15" hidden="false" customHeight="false" outlineLevel="0" collapsed="false">
      <c r="A72" s="51"/>
      <c r="B72" s="50"/>
      <c r="C72" s="62"/>
      <c r="D72" s="62"/>
      <c r="E72" s="53" t="str">
        <f aca="false">IF($B72="","",C72+D72)</f>
        <v/>
      </c>
      <c r="F72" s="62"/>
      <c r="G72" s="62"/>
      <c r="H72" s="32"/>
    </row>
    <row r="73" customFormat="false" ht="15" hidden="false" customHeight="false" outlineLevel="0" collapsed="false">
      <c r="A73" s="51"/>
      <c r="B73" s="50"/>
      <c r="C73" s="62"/>
      <c r="D73" s="62"/>
      <c r="E73" s="53" t="str">
        <f aca="false">IF($B73="","",C73+D73)</f>
        <v/>
      </c>
      <c r="F73" s="62"/>
      <c r="G73" s="62"/>
      <c r="H73" s="32"/>
    </row>
    <row r="74" customFormat="false" ht="15" hidden="false" customHeight="false" outlineLevel="0" collapsed="false">
      <c r="A74" s="51"/>
      <c r="B74" s="50"/>
      <c r="C74" s="62"/>
      <c r="D74" s="62"/>
      <c r="E74" s="53" t="str">
        <f aca="false">IF($B74="","",C74+D74)</f>
        <v/>
      </c>
      <c r="F74" s="62"/>
      <c r="G74" s="62"/>
      <c r="H74" s="32"/>
    </row>
    <row r="75" customFormat="false" ht="15" hidden="false" customHeight="false" outlineLevel="0" collapsed="false">
      <c r="A75" s="51"/>
      <c r="B75" s="50"/>
      <c r="C75" s="62"/>
      <c r="D75" s="62"/>
      <c r="E75" s="53" t="str">
        <f aca="false">IF($B75="","",C75+D75)</f>
        <v/>
      </c>
      <c r="F75" s="62"/>
      <c r="G75" s="62"/>
      <c r="H75" s="32"/>
    </row>
    <row r="76" customFormat="false" ht="15" hidden="false" customHeight="false" outlineLevel="0" collapsed="false">
      <c r="A76" s="51"/>
      <c r="B76" s="50"/>
      <c r="C76" s="62"/>
      <c r="D76" s="62"/>
      <c r="E76" s="53" t="str">
        <f aca="false">IF($B76="","",C76+D76)</f>
        <v/>
      </c>
      <c r="F76" s="62"/>
      <c r="G76" s="62"/>
      <c r="H76" s="32"/>
    </row>
    <row r="77" customFormat="false" ht="15" hidden="false" customHeight="false" outlineLevel="0" collapsed="false">
      <c r="A77" s="51"/>
      <c r="B77" s="50"/>
      <c r="C77" s="62"/>
      <c r="D77" s="62"/>
      <c r="E77" s="53" t="str">
        <f aca="false">IF($B77="","",C77+D77)</f>
        <v/>
      </c>
      <c r="F77" s="62"/>
      <c r="G77" s="62"/>
      <c r="H77" s="32"/>
    </row>
    <row r="78" customFormat="false" ht="15" hidden="false" customHeight="false" outlineLevel="0" collapsed="false">
      <c r="A78" s="51"/>
      <c r="B78" s="50"/>
      <c r="C78" s="62"/>
      <c r="D78" s="62"/>
      <c r="E78" s="53" t="str">
        <f aca="false">IF($B78="","",C78+D78)</f>
        <v/>
      </c>
      <c r="F78" s="62"/>
      <c r="G78" s="62"/>
      <c r="H78" s="32"/>
    </row>
    <row r="79" customFormat="false" ht="15" hidden="false" customHeight="false" outlineLevel="0" collapsed="false">
      <c r="A79" s="51"/>
      <c r="B79" s="50"/>
      <c r="C79" s="62"/>
      <c r="D79" s="62"/>
      <c r="E79" s="53" t="str">
        <f aca="false">IF($B79="","",C79+D79)</f>
        <v/>
      </c>
      <c r="F79" s="62"/>
      <c r="G79" s="62"/>
      <c r="H79" s="32"/>
    </row>
    <row r="80" customFormat="false" ht="15" hidden="false" customHeight="false" outlineLevel="0" collapsed="false">
      <c r="A80" s="51"/>
      <c r="B80" s="50"/>
      <c r="C80" s="62"/>
      <c r="D80" s="62"/>
      <c r="E80" s="53" t="str">
        <f aca="false">IF($B80="","",C80+D80)</f>
        <v/>
      </c>
      <c r="F80" s="62"/>
      <c r="G80" s="62"/>
      <c r="H80" s="32"/>
    </row>
    <row r="81" customFormat="false" ht="15" hidden="false" customHeight="false" outlineLevel="0" collapsed="false">
      <c r="A81" s="51"/>
      <c r="B81" s="50"/>
      <c r="C81" s="62"/>
      <c r="D81" s="62"/>
      <c r="E81" s="53" t="str">
        <f aca="false">IF($B81="","",C81+D81)</f>
        <v/>
      </c>
      <c r="F81" s="62"/>
      <c r="G81" s="62"/>
      <c r="H81" s="32"/>
    </row>
    <row r="82" customFormat="false" ht="15" hidden="false" customHeight="false" outlineLevel="0" collapsed="false">
      <c r="A82" s="51"/>
      <c r="B82" s="50"/>
      <c r="C82" s="62"/>
      <c r="D82" s="62"/>
      <c r="E82" s="53" t="str">
        <f aca="false">IF($B82="","",C82+D82)</f>
        <v/>
      </c>
      <c r="F82" s="62"/>
      <c r="G82" s="62"/>
      <c r="H82" s="32"/>
    </row>
    <row r="83" customFormat="false" ht="15" hidden="false" customHeight="false" outlineLevel="0" collapsed="false">
      <c r="A83" s="51"/>
      <c r="B83" s="50"/>
      <c r="C83" s="62"/>
      <c r="D83" s="62"/>
      <c r="E83" s="53" t="str">
        <f aca="false">IF($B83="","",C83+D83)</f>
        <v/>
      </c>
      <c r="F83" s="62"/>
      <c r="G83" s="62"/>
      <c r="H83" s="32"/>
    </row>
    <row r="84" customFormat="false" ht="15" hidden="false" customHeight="false" outlineLevel="0" collapsed="false">
      <c r="A84" s="51"/>
      <c r="B84" s="50"/>
      <c r="C84" s="62"/>
      <c r="D84" s="62"/>
      <c r="E84" s="53" t="str">
        <f aca="false">IF($B84="","",C84+D84)</f>
        <v/>
      </c>
      <c r="F84" s="62"/>
      <c r="G84" s="62"/>
      <c r="H84" s="32"/>
    </row>
    <row r="85" customFormat="false" ht="15" hidden="false" customHeight="false" outlineLevel="0" collapsed="false">
      <c r="A85" s="51"/>
      <c r="B85" s="50"/>
      <c r="C85" s="62"/>
      <c r="D85" s="62"/>
      <c r="E85" s="53" t="str">
        <f aca="false">IF($B85="","",C85+D85)</f>
        <v/>
      </c>
      <c r="F85" s="62"/>
      <c r="G85" s="62"/>
      <c r="H85" s="32"/>
    </row>
    <row r="86" customFormat="false" ht="15" hidden="false" customHeight="false" outlineLevel="0" collapsed="false">
      <c r="A86" s="51"/>
      <c r="B86" s="50"/>
      <c r="C86" s="62"/>
      <c r="D86" s="62"/>
      <c r="E86" s="53" t="str">
        <f aca="false">IF($B86="","",C86+D86)</f>
        <v/>
      </c>
      <c r="F86" s="62"/>
      <c r="G86" s="62"/>
      <c r="H86" s="32"/>
    </row>
    <row r="87" customFormat="false" ht="15" hidden="false" customHeight="false" outlineLevel="0" collapsed="false">
      <c r="A87" s="51"/>
      <c r="B87" s="50"/>
      <c r="C87" s="62"/>
      <c r="D87" s="62"/>
      <c r="E87" s="53" t="str">
        <f aca="false">IF($B87="","",C87+D87)</f>
        <v/>
      </c>
      <c r="F87" s="62"/>
      <c r="G87" s="62"/>
      <c r="H87" s="32"/>
    </row>
    <row r="88" customFormat="false" ht="15" hidden="false" customHeight="false" outlineLevel="0" collapsed="false">
      <c r="A88" s="51"/>
      <c r="B88" s="50"/>
      <c r="C88" s="62"/>
      <c r="D88" s="62"/>
      <c r="E88" s="53" t="str">
        <f aca="false">IF($B88="","",C88+D88)</f>
        <v/>
      </c>
      <c r="F88" s="62"/>
      <c r="G88" s="62"/>
      <c r="H88" s="32"/>
    </row>
    <row r="89" customFormat="false" ht="15" hidden="false" customHeight="false" outlineLevel="0" collapsed="false">
      <c r="A89" s="51"/>
      <c r="B89" s="50"/>
      <c r="C89" s="62"/>
      <c r="D89" s="62"/>
      <c r="E89" s="53" t="str">
        <f aca="false">IF($B89="","",C89+D89)</f>
        <v/>
      </c>
      <c r="F89" s="62"/>
      <c r="G89" s="62"/>
      <c r="H89" s="32"/>
    </row>
    <row r="90" customFormat="false" ht="15" hidden="false" customHeight="false" outlineLevel="0" collapsed="false">
      <c r="A90" s="51"/>
      <c r="B90" s="50"/>
      <c r="C90" s="62"/>
      <c r="D90" s="62"/>
      <c r="E90" s="53" t="str">
        <f aca="false">IF($B90="","",C90+D90)</f>
        <v/>
      </c>
      <c r="F90" s="62"/>
      <c r="G90" s="62"/>
      <c r="H90" s="32"/>
    </row>
    <row r="91" customFormat="false" ht="15" hidden="false" customHeight="false" outlineLevel="0" collapsed="false">
      <c r="A91" s="51"/>
      <c r="B91" s="50"/>
      <c r="C91" s="62"/>
      <c r="D91" s="62"/>
      <c r="E91" s="53" t="str">
        <f aca="false">IF($B91="","",C91+D91)</f>
        <v/>
      </c>
      <c r="F91" s="62"/>
      <c r="G91" s="62"/>
      <c r="H91" s="32"/>
    </row>
    <row r="92" customFormat="false" ht="15" hidden="false" customHeight="false" outlineLevel="0" collapsed="false">
      <c r="A92" s="51"/>
      <c r="B92" s="50"/>
      <c r="C92" s="62"/>
      <c r="D92" s="62"/>
      <c r="E92" s="53" t="str">
        <f aca="false">IF($B92="","",C92+D92)</f>
        <v/>
      </c>
      <c r="F92" s="62"/>
      <c r="G92" s="62"/>
      <c r="H92" s="32"/>
    </row>
    <row r="93" customFormat="false" ht="15" hidden="false" customHeight="false" outlineLevel="0" collapsed="false">
      <c r="A93" s="51"/>
      <c r="B93" s="50"/>
      <c r="C93" s="62"/>
      <c r="D93" s="62"/>
      <c r="E93" s="53" t="str">
        <f aca="false">IF($B93="","",C93+D93)</f>
        <v/>
      </c>
      <c r="F93" s="62"/>
      <c r="G93" s="62"/>
      <c r="H93" s="32"/>
    </row>
    <row r="94" customFormat="false" ht="15" hidden="false" customHeight="false" outlineLevel="0" collapsed="false">
      <c r="A94" s="51"/>
      <c r="B94" s="50"/>
      <c r="C94" s="62"/>
      <c r="D94" s="62"/>
      <c r="E94" s="53" t="str">
        <f aca="false">IF($B94="","",C94+D94)</f>
        <v/>
      </c>
      <c r="F94" s="62"/>
      <c r="G94" s="62"/>
      <c r="H94" s="32"/>
    </row>
    <row r="95" customFormat="false" ht="15" hidden="false" customHeight="false" outlineLevel="0" collapsed="false">
      <c r="A95" s="51"/>
      <c r="B95" s="50"/>
      <c r="C95" s="62"/>
      <c r="D95" s="62"/>
      <c r="E95" s="53" t="str">
        <f aca="false">IF($B95="","",C95+D95)</f>
        <v/>
      </c>
      <c r="F95" s="62"/>
      <c r="G95" s="62"/>
      <c r="H95" s="32"/>
    </row>
    <row r="96" customFormat="false" ht="15" hidden="false" customHeight="false" outlineLevel="0" collapsed="false">
      <c r="A96" s="51"/>
      <c r="B96" s="50"/>
      <c r="C96" s="62"/>
      <c r="D96" s="62"/>
      <c r="E96" s="53" t="str">
        <f aca="false">IF($B96="","",C96+D96)</f>
        <v/>
      </c>
      <c r="F96" s="62"/>
      <c r="G96" s="62"/>
      <c r="H96" s="32"/>
    </row>
    <row r="97" customFormat="false" ht="15" hidden="false" customHeight="false" outlineLevel="0" collapsed="false">
      <c r="A97" s="51"/>
      <c r="B97" s="50"/>
      <c r="C97" s="62"/>
      <c r="D97" s="62"/>
      <c r="E97" s="53" t="str">
        <f aca="false">IF($B97="","",C97+D97)</f>
        <v/>
      </c>
      <c r="F97" s="62"/>
      <c r="G97" s="62"/>
      <c r="H97" s="32"/>
    </row>
    <row r="98" customFormat="false" ht="15" hidden="false" customHeight="false" outlineLevel="0" collapsed="false">
      <c r="A98" s="51"/>
      <c r="B98" s="50"/>
      <c r="C98" s="62"/>
      <c r="D98" s="62"/>
      <c r="E98" s="53" t="str">
        <f aca="false">IF($B98="","",C98+D98)</f>
        <v/>
      </c>
      <c r="F98" s="62"/>
      <c r="G98" s="62"/>
      <c r="H98" s="32"/>
    </row>
    <row r="99" customFormat="false" ht="15" hidden="false" customHeight="false" outlineLevel="0" collapsed="false">
      <c r="A99" s="51"/>
      <c r="B99" s="50"/>
      <c r="C99" s="62"/>
      <c r="D99" s="62"/>
      <c r="E99" s="53" t="str">
        <f aca="false">IF($B99="","",C99+D99)</f>
        <v/>
      </c>
      <c r="F99" s="62"/>
      <c r="G99" s="62"/>
      <c r="H99" s="32"/>
    </row>
    <row r="100" customFormat="false" ht="15" hidden="false" customHeight="false" outlineLevel="0" collapsed="false">
      <c r="A100" s="51"/>
      <c r="B100" s="50"/>
      <c r="C100" s="62"/>
      <c r="D100" s="62"/>
      <c r="E100" s="53" t="str">
        <f aca="false">IF($B100="","",C100+D100)</f>
        <v/>
      </c>
      <c r="F100" s="62"/>
      <c r="G100" s="62"/>
      <c r="H100" s="32"/>
    </row>
    <row r="101" customFormat="false" ht="15" hidden="false" customHeight="false" outlineLevel="0" collapsed="false">
      <c r="A101" s="51"/>
      <c r="B101" s="50"/>
      <c r="C101" s="62"/>
      <c r="D101" s="62"/>
      <c r="E101" s="53" t="str">
        <f aca="false">IF($B101="","",C101+D101)</f>
        <v/>
      </c>
      <c r="F101" s="62"/>
      <c r="G101" s="62"/>
      <c r="H101" s="32"/>
    </row>
    <row r="102" customFormat="false" ht="15" hidden="false" customHeight="false" outlineLevel="0" collapsed="false">
      <c r="A102" s="51"/>
      <c r="B102" s="50"/>
      <c r="C102" s="62"/>
      <c r="D102" s="62"/>
      <c r="E102" s="53" t="str">
        <f aca="false">IF($B102="","",C102+D102)</f>
        <v/>
      </c>
      <c r="F102" s="62"/>
      <c r="G102" s="62"/>
      <c r="H102" s="32"/>
    </row>
    <row r="103" customFormat="false" ht="15" hidden="false" customHeight="false" outlineLevel="0" collapsed="false">
      <c r="A103" s="51"/>
      <c r="B103" s="50"/>
      <c r="C103" s="62"/>
      <c r="D103" s="62"/>
      <c r="E103" s="53" t="str">
        <f aca="false">IF($B103="","",C103+D103)</f>
        <v/>
      </c>
      <c r="F103" s="62"/>
      <c r="G103" s="62"/>
      <c r="H103" s="32"/>
    </row>
    <row r="104" customFormat="false" ht="15" hidden="false" customHeight="false" outlineLevel="0" collapsed="false">
      <c r="A104" s="51"/>
      <c r="B104" s="50"/>
      <c r="C104" s="62"/>
      <c r="D104" s="62"/>
      <c r="E104" s="53" t="str">
        <f aca="false">IF($B104="","",C104+D104)</f>
        <v/>
      </c>
      <c r="F104" s="62"/>
      <c r="G104" s="62"/>
      <c r="H104" s="32"/>
    </row>
    <row r="105" customFormat="false" ht="15" hidden="false" customHeight="false" outlineLevel="0" collapsed="false">
      <c r="A105" s="51"/>
      <c r="B105" s="50"/>
      <c r="C105" s="62"/>
      <c r="D105" s="62"/>
      <c r="E105" s="53" t="str">
        <f aca="false">IF($B105="","",C105+D105)</f>
        <v/>
      </c>
      <c r="F105" s="62"/>
      <c r="G105" s="62"/>
      <c r="H105" s="32"/>
    </row>
    <row r="106" customFormat="false" ht="15" hidden="false" customHeight="false" outlineLevel="0" collapsed="false">
      <c r="A106" s="51"/>
      <c r="B106" s="50"/>
      <c r="C106" s="62"/>
      <c r="D106" s="62"/>
      <c r="E106" s="53" t="str">
        <f aca="false">IF($B106="","",C106+D106)</f>
        <v/>
      </c>
      <c r="F106" s="62"/>
      <c r="G106" s="62"/>
      <c r="H106" s="32"/>
    </row>
    <row r="107" customFormat="false" ht="15" hidden="false" customHeight="false" outlineLevel="0" collapsed="false">
      <c r="A107" s="51"/>
      <c r="B107" s="50"/>
      <c r="C107" s="62"/>
      <c r="D107" s="62"/>
      <c r="E107" s="53" t="str">
        <f aca="false">IF($B107="","",C107+D107)</f>
        <v/>
      </c>
      <c r="F107" s="62"/>
      <c r="G107" s="62"/>
      <c r="H107" s="32"/>
    </row>
    <row r="108" customFormat="false" ht="15" hidden="false" customHeight="false" outlineLevel="0" collapsed="false">
      <c r="A108" s="51"/>
      <c r="B108" s="50"/>
      <c r="C108" s="62"/>
      <c r="D108" s="62"/>
      <c r="E108" s="53" t="str">
        <f aca="false">IF($B108="","",C108+D108)</f>
        <v/>
      </c>
      <c r="F108" s="62"/>
      <c r="G108" s="62"/>
      <c r="H108" s="32"/>
    </row>
    <row r="109" customFormat="false" ht="15" hidden="false" customHeight="false" outlineLevel="0" collapsed="false">
      <c r="A109" s="51"/>
      <c r="B109" s="50"/>
      <c r="C109" s="62"/>
      <c r="D109" s="62"/>
      <c r="E109" s="53" t="str">
        <f aca="false">IF($B109="","",C109+D109)</f>
        <v/>
      </c>
      <c r="F109" s="62"/>
      <c r="G109" s="62"/>
      <c r="H109" s="32"/>
    </row>
    <row r="110" customFormat="false" ht="15" hidden="false" customHeight="false" outlineLevel="0" collapsed="false">
      <c r="A110" s="51"/>
      <c r="B110" s="50"/>
      <c r="C110" s="62"/>
      <c r="D110" s="62"/>
      <c r="E110" s="53" t="str">
        <f aca="false">IF($B110="","",C110+D110)</f>
        <v/>
      </c>
      <c r="F110" s="62"/>
      <c r="G110" s="62"/>
      <c r="H110" s="32"/>
    </row>
    <row r="111" customFormat="false" ht="15" hidden="false" customHeight="false" outlineLevel="0" collapsed="false">
      <c r="A111" s="51"/>
      <c r="B111" s="50"/>
      <c r="C111" s="62"/>
      <c r="D111" s="62"/>
      <c r="E111" s="53" t="str">
        <f aca="false">IF($B111="","",C111+D111)</f>
        <v/>
      </c>
      <c r="F111" s="62"/>
      <c r="G111" s="62"/>
      <c r="H111" s="32"/>
    </row>
    <row r="112" customFormat="false" ht="15" hidden="false" customHeight="false" outlineLevel="0" collapsed="false">
      <c r="A112" s="51"/>
      <c r="B112" s="50"/>
      <c r="C112" s="62"/>
      <c r="D112" s="62"/>
      <c r="E112" s="53" t="str">
        <f aca="false">IF($B112="","",C112+D112)</f>
        <v/>
      </c>
      <c r="F112" s="62"/>
      <c r="G112" s="62"/>
      <c r="H112" s="32"/>
    </row>
    <row r="113" customFormat="false" ht="15" hidden="false" customHeight="false" outlineLevel="0" collapsed="false">
      <c r="A113" s="51"/>
      <c r="B113" s="50"/>
      <c r="C113" s="62"/>
      <c r="D113" s="62"/>
      <c r="E113" s="53" t="str">
        <f aca="false">IF($B113="","",C113+D113)</f>
        <v/>
      </c>
      <c r="F113" s="62"/>
      <c r="G113" s="62"/>
      <c r="H113" s="32"/>
    </row>
    <row r="114" customFormat="false" ht="15" hidden="false" customHeight="false" outlineLevel="0" collapsed="false">
      <c r="A114" s="51"/>
      <c r="B114" s="50"/>
      <c r="C114" s="62"/>
      <c r="D114" s="62"/>
      <c r="E114" s="53" t="str">
        <f aca="false">IF($B114="","",C114+D114)</f>
        <v/>
      </c>
      <c r="F114" s="62"/>
      <c r="G114" s="62"/>
      <c r="H114" s="32"/>
    </row>
    <row r="115" customFormat="false" ht="15" hidden="false" customHeight="false" outlineLevel="0" collapsed="false">
      <c r="A115" s="51"/>
      <c r="B115" s="50"/>
      <c r="C115" s="62"/>
      <c r="D115" s="62"/>
      <c r="E115" s="53" t="str">
        <f aca="false">IF($B115="","",C115+D115)</f>
        <v/>
      </c>
      <c r="F115" s="62"/>
      <c r="G115" s="62"/>
      <c r="H115" s="32"/>
    </row>
    <row r="116" customFormat="false" ht="15" hidden="false" customHeight="false" outlineLevel="0" collapsed="false">
      <c r="A116" s="51"/>
      <c r="B116" s="50"/>
      <c r="C116" s="62"/>
      <c r="D116" s="62"/>
      <c r="E116" s="53" t="str">
        <f aca="false">IF($B116="","",C116+D116)</f>
        <v/>
      </c>
      <c r="F116" s="62"/>
      <c r="G116" s="62"/>
      <c r="H116" s="32"/>
    </row>
    <row r="117" customFormat="false" ht="15" hidden="false" customHeight="false" outlineLevel="0" collapsed="false">
      <c r="A117" s="51"/>
      <c r="B117" s="50"/>
      <c r="C117" s="62"/>
      <c r="D117" s="62"/>
      <c r="E117" s="53" t="str">
        <f aca="false">IF($B117="","",C117+D117)</f>
        <v/>
      </c>
      <c r="F117" s="62"/>
      <c r="G117" s="62"/>
      <c r="H117" s="32"/>
    </row>
    <row r="118" customFormat="false" ht="15" hidden="false" customHeight="false" outlineLevel="0" collapsed="false">
      <c r="A118" s="51"/>
      <c r="B118" s="50"/>
      <c r="C118" s="62"/>
      <c r="D118" s="62"/>
      <c r="E118" s="53" t="str">
        <f aca="false">IF($B118="","",C118+D118)</f>
        <v/>
      </c>
      <c r="F118" s="62"/>
      <c r="G118" s="62"/>
      <c r="H118" s="32"/>
    </row>
    <row r="119" customFormat="false" ht="15" hidden="false" customHeight="false" outlineLevel="0" collapsed="false">
      <c r="A119" s="51"/>
      <c r="B119" s="50"/>
      <c r="C119" s="62"/>
      <c r="D119" s="62"/>
      <c r="E119" s="53" t="str">
        <f aca="false">IF($B119="","",C119+D119)</f>
        <v/>
      </c>
      <c r="F119" s="62"/>
      <c r="G119" s="62"/>
      <c r="H119" s="32"/>
    </row>
    <row r="120" customFormat="false" ht="15" hidden="false" customHeight="false" outlineLevel="0" collapsed="false">
      <c r="A120" s="51"/>
      <c r="B120" s="50"/>
      <c r="C120" s="62"/>
      <c r="D120" s="62"/>
      <c r="E120" s="53" t="str">
        <f aca="false">IF($B120="","",C120+D120)</f>
        <v/>
      </c>
      <c r="F120" s="62"/>
      <c r="G120" s="62"/>
      <c r="H120" s="32"/>
    </row>
    <row r="121" customFormat="false" ht="15" hidden="false" customHeight="false" outlineLevel="0" collapsed="false">
      <c r="A121" s="51"/>
      <c r="B121" s="50"/>
      <c r="C121" s="62"/>
      <c r="D121" s="62"/>
      <c r="E121" s="53" t="str">
        <f aca="false">IF($B121="","",C121+D121)</f>
        <v/>
      </c>
      <c r="F121" s="62"/>
      <c r="G121" s="62"/>
      <c r="H121" s="32"/>
    </row>
    <row r="122" customFormat="false" ht="15" hidden="false" customHeight="false" outlineLevel="0" collapsed="false">
      <c r="A122" s="51"/>
      <c r="B122" s="50"/>
      <c r="C122" s="62"/>
      <c r="D122" s="62"/>
      <c r="E122" s="53" t="str">
        <f aca="false">IF($B122="","",C122+D122)</f>
        <v/>
      </c>
      <c r="F122" s="62"/>
      <c r="G122" s="62"/>
      <c r="H122" s="32"/>
    </row>
    <row r="123" customFormat="false" ht="15" hidden="false" customHeight="false" outlineLevel="0" collapsed="false">
      <c r="A123" s="51"/>
      <c r="B123" s="50"/>
      <c r="C123" s="62"/>
      <c r="D123" s="62"/>
      <c r="E123" s="53" t="str">
        <f aca="false">IF($B123="","",C123+D123)</f>
        <v/>
      </c>
      <c r="F123" s="62"/>
      <c r="G123" s="62"/>
      <c r="H123" s="32"/>
    </row>
    <row r="124" customFormat="false" ht="15" hidden="false" customHeight="false" outlineLevel="0" collapsed="false">
      <c r="A124" s="51"/>
      <c r="B124" s="50"/>
      <c r="C124" s="62"/>
      <c r="D124" s="62"/>
      <c r="E124" s="53" t="str">
        <f aca="false">IF($B124="","",C124+D124)</f>
        <v/>
      </c>
      <c r="F124" s="62"/>
      <c r="G124" s="62"/>
      <c r="H124" s="32"/>
    </row>
    <row r="125" customFormat="false" ht="15" hidden="false" customHeight="false" outlineLevel="0" collapsed="false">
      <c r="A125" s="51"/>
      <c r="B125" s="50"/>
      <c r="C125" s="62"/>
      <c r="D125" s="62"/>
      <c r="E125" s="53" t="str">
        <f aca="false">IF($B125="","",C125+D125)</f>
        <v/>
      </c>
      <c r="F125" s="62"/>
      <c r="G125" s="62"/>
      <c r="H125" s="32"/>
    </row>
    <row r="126" customFormat="false" ht="15" hidden="false" customHeight="false" outlineLevel="0" collapsed="false">
      <c r="A126" s="51"/>
      <c r="B126" s="50"/>
      <c r="C126" s="62"/>
      <c r="D126" s="62"/>
      <c r="E126" s="53" t="str">
        <f aca="false">IF($B126="","",C126+D126)</f>
        <v/>
      </c>
      <c r="F126" s="62"/>
      <c r="G126" s="62"/>
      <c r="H126" s="32"/>
    </row>
    <row r="127" customFormat="false" ht="15" hidden="false" customHeight="false" outlineLevel="0" collapsed="false">
      <c r="A127" s="51"/>
      <c r="B127" s="50"/>
      <c r="C127" s="62"/>
      <c r="D127" s="62"/>
      <c r="E127" s="53" t="str">
        <f aca="false">IF($B127="","",C127+D127)</f>
        <v/>
      </c>
      <c r="F127" s="62"/>
      <c r="G127" s="62"/>
      <c r="H127" s="32"/>
    </row>
    <row r="128" customFormat="false" ht="15" hidden="false" customHeight="false" outlineLevel="0" collapsed="false">
      <c r="A128" s="51"/>
      <c r="B128" s="50"/>
      <c r="C128" s="62"/>
      <c r="D128" s="62"/>
      <c r="E128" s="53" t="str">
        <f aca="false">IF($B128="","",C128+D128)</f>
        <v/>
      </c>
      <c r="F128" s="62"/>
      <c r="G128" s="62"/>
      <c r="H128" s="32"/>
    </row>
    <row r="129" customFormat="false" ht="15" hidden="false" customHeight="false" outlineLevel="0" collapsed="false">
      <c r="A129" s="51"/>
      <c r="B129" s="50"/>
      <c r="C129" s="62"/>
      <c r="D129" s="62"/>
      <c r="E129" s="53" t="str">
        <f aca="false">IF($B129="","",C129+D129)</f>
        <v/>
      </c>
      <c r="F129" s="62"/>
      <c r="G129" s="62"/>
      <c r="H129" s="32"/>
    </row>
    <row r="130" customFormat="false" ht="15" hidden="false" customHeight="false" outlineLevel="0" collapsed="false">
      <c r="A130" s="51"/>
      <c r="B130" s="50"/>
      <c r="C130" s="62"/>
      <c r="D130" s="62"/>
      <c r="E130" s="53" t="str">
        <f aca="false">IF($B130="","",C130+D130)</f>
        <v/>
      </c>
      <c r="F130" s="62"/>
      <c r="G130" s="62"/>
      <c r="H130" s="32"/>
    </row>
    <row r="131" customFormat="false" ht="15" hidden="false" customHeight="false" outlineLevel="0" collapsed="false">
      <c r="A131" s="51"/>
      <c r="B131" s="50"/>
      <c r="C131" s="62"/>
      <c r="D131" s="62"/>
      <c r="E131" s="53" t="str">
        <f aca="false">IF($B131="","",C131+D131)</f>
        <v/>
      </c>
      <c r="F131" s="62"/>
      <c r="G131" s="62"/>
      <c r="H131" s="32"/>
    </row>
    <row r="132" customFormat="false" ht="15" hidden="false" customHeight="false" outlineLevel="0" collapsed="false">
      <c r="A132" s="51"/>
      <c r="B132" s="50"/>
      <c r="C132" s="62"/>
      <c r="D132" s="62"/>
      <c r="E132" s="53" t="str">
        <f aca="false">IF($B132="","",C132+D132)</f>
        <v/>
      </c>
      <c r="F132" s="62"/>
      <c r="G132" s="62"/>
      <c r="H132" s="32"/>
    </row>
    <row r="133" customFormat="false" ht="15" hidden="false" customHeight="false" outlineLevel="0" collapsed="false">
      <c r="A133" s="51"/>
      <c r="B133" s="50"/>
      <c r="C133" s="62"/>
      <c r="D133" s="62"/>
      <c r="E133" s="53" t="str">
        <f aca="false">IF($B133="","",C133+D133)</f>
        <v/>
      </c>
      <c r="F133" s="62"/>
      <c r="G133" s="62"/>
      <c r="H133" s="32"/>
    </row>
    <row r="134" customFormat="false" ht="15" hidden="false" customHeight="false" outlineLevel="0" collapsed="false">
      <c r="A134" s="51"/>
      <c r="B134" s="50"/>
      <c r="C134" s="62"/>
      <c r="D134" s="62"/>
      <c r="E134" s="53" t="str">
        <f aca="false">IF($B134="","",C134+D134)</f>
        <v/>
      </c>
      <c r="F134" s="62"/>
      <c r="G134" s="62"/>
      <c r="H134" s="32"/>
    </row>
    <row r="135" customFormat="false" ht="15" hidden="false" customHeight="false" outlineLevel="0" collapsed="false">
      <c r="A135" s="51"/>
      <c r="B135" s="50"/>
      <c r="C135" s="62"/>
      <c r="D135" s="62"/>
      <c r="E135" s="53" t="str">
        <f aca="false">IF($B135="","",C135+D135)</f>
        <v/>
      </c>
      <c r="F135" s="62"/>
      <c r="G135" s="62"/>
      <c r="H135" s="32"/>
    </row>
    <row r="136" customFormat="false" ht="15" hidden="false" customHeight="false" outlineLevel="0" collapsed="false">
      <c r="A136" s="51"/>
      <c r="B136" s="50"/>
      <c r="C136" s="62"/>
      <c r="D136" s="62"/>
      <c r="E136" s="53" t="str">
        <f aca="false">IF($B136="","",C136+D136)</f>
        <v/>
      </c>
      <c r="F136" s="62"/>
      <c r="G136" s="62"/>
      <c r="H136" s="32"/>
    </row>
    <row r="137" customFormat="false" ht="15" hidden="false" customHeight="false" outlineLevel="0" collapsed="false">
      <c r="A137" s="51"/>
      <c r="B137" s="50"/>
      <c r="C137" s="62"/>
      <c r="D137" s="62"/>
      <c r="E137" s="53" t="str">
        <f aca="false">IF($B137="","",C137+D137)</f>
        <v/>
      </c>
      <c r="F137" s="62"/>
      <c r="G137" s="62"/>
      <c r="H137" s="32"/>
    </row>
    <row r="138" customFormat="false" ht="15" hidden="false" customHeight="false" outlineLevel="0" collapsed="false">
      <c r="A138" s="51"/>
      <c r="B138" s="50"/>
      <c r="C138" s="62"/>
      <c r="D138" s="62"/>
      <c r="E138" s="53" t="str">
        <f aca="false">IF($B138="","",C138+D138)</f>
        <v/>
      </c>
      <c r="F138" s="62"/>
      <c r="G138" s="62"/>
      <c r="H138" s="32"/>
    </row>
    <row r="139" customFormat="false" ht="15" hidden="false" customHeight="false" outlineLevel="0" collapsed="false">
      <c r="A139" s="51"/>
      <c r="B139" s="50"/>
      <c r="C139" s="62"/>
      <c r="D139" s="62"/>
      <c r="E139" s="53" t="str">
        <f aca="false">IF($B139="","",C139+D139)</f>
        <v/>
      </c>
      <c r="F139" s="62"/>
      <c r="G139" s="62"/>
      <c r="H139" s="32"/>
    </row>
    <row r="140" customFormat="false" ht="15" hidden="false" customHeight="false" outlineLevel="0" collapsed="false">
      <c r="A140" s="51"/>
      <c r="B140" s="50"/>
      <c r="C140" s="62"/>
      <c r="D140" s="62"/>
      <c r="E140" s="53" t="str">
        <f aca="false">IF($B140="","",C140+D140)</f>
        <v/>
      </c>
      <c r="F140" s="62"/>
      <c r="G140" s="62"/>
      <c r="H140" s="32"/>
    </row>
    <row r="141" customFormat="false" ht="15" hidden="false" customHeight="false" outlineLevel="0" collapsed="false">
      <c r="A141" s="51"/>
      <c r="B141" s="50"/>
      <c r="C141" s="62"/>
      <c r="D141" s="62"/>
      <c r="E141" s="53" t="str">
        <f aca="false">IF($B141="","",C141+D141)</f>
        <v/>
      </c>
      <c r="F141" s="62"/>
      <c r="G141" s="62"/>
      <c r="H141" s="32"/>
    </row>
    <row r="142" customFormat="false" ht="15" hidden="false" customHeight="false" outlineLevel="0" collapsed="false">
      <c r="A142" s="51"/>
      <c r="B142" s="50"/>
      <c r="C142" s="62"/>
      <c r="D142" s="62"/>
      <c r="E142" s="53" t="str">
        <f aca="false">IF($B142="","",C142+D142)</f>
        <v/>
      </c>
      <c r="F142" s="62"/>
      <c r="G142" s="62"/>
      <c r="H142" s="32"/>
    </row>
    <row r="143" customFormat="false" ht="15" hidden="false" customHeight="false" outlineLevel="0" collapsed="false">
      <c r="A143" s="51"/>
      <c r="B143" s="50"/>
      <c r="C143" s="62"/>
      <c r="D143" s="62"/>
      <c r="E143" s="53" t="str">
        <f aca="false">IF($B143="","",C143+D143)</f>
        <v/>
      </c>
      <c r="F143" s="62"/>
      <c r="G143" s="62"/>
      <c r="H143" s="32"/>
    </row>
    <row r="144" customFormat="false" ht="15" hidden="false" customHeight="false" outlineLevel="0" collapsed="false">
      <c r="A144" s="51"/>
      <c r="B144" s="50"/>
      <c r="C144" s="62"/>
      <c r="D144" s="62"/>
      <c r="E144" s="53" t="str">
        <f aca="false">IF($B144="","",C144+D144)</f>
        <v/>
      </c>
      <c r="F144" s="62"/>
      <c r="G144" s="62"/>
      <c r="H144" s="32"/>
    </row>
    <row r="145" customFormat="false" ht="15" hidden="false" customHeight="false" outlineLevel="0" collapsed="false">
      <c r="A145" s="51"/>
      <c r="B145" s="50"/>
      <c r="C145" s="62"/>
      <c r="D145" s="62"/>
      <c r="E145" s="53" t="str">
        <f aca="false">IF($B145="","",C145+D145)</f>
        <v/>
      </c>
      <c r="F145" s="62"/>
      <c r="G145" s="62"/>
      <c r="H145" s="32"/>
    </row>
    <row r="146" customFormat="false" ht="15" hidden="false" customHeight="false" outlineLevel="0" collapsed="false">
      <c r="A146" s="51"/>
      <c r="B146" s="50"/>
      <c r="C146" s="62"/>
      <c r="D146" s="62"/>
      <c r="E146" s="53" t="str">
        <f aca="false">IF($B146="","",C146+D146)</f>
        <v/>
      </c>
      <c r="F146" s="62"/>
      <c r="G146" s="62"/>
      <c r="H146" s="32"/>
    </row>
    <row r="147" customFormat="false" ht="15" hidden="false" customHeight="false" outlineLevel="0" collapsed="false">
      <c r="A147" s="51"/>
      <c r="B147" s="50"/>
      <c r="C147" s="62"/>
      <c r="D147" s="62"/>
      <c r="E147" s="53" t="str">
        <f aca="false">IF($B147="","",C147+D147)</f>
        <v/>
      </c>
      <c r="F147" s="62"/>
      <c r="G147" s="62"/>
      <c r="H147" s="32"/>
    </row>
    <row r="148" customFormat="false" ht="15" hidden="false" customHeight="false" outlineLevel="0" collapsed="false">
      <c r="A148" s="51"/>
      <c r="B148" s="50"/>
      <c r="C148" s="62"/>
      <c r="D148" s="62"/>
      <c r="E148" s="53" t="str">
        <f aca="false">IF($B148="","",C148+D148)</f>
        <v/>
      </c>
      <c r="F148" s="62"/>
      <c r="G148" s="62"/>
      <c r="H148" s="32"/>
    </row>
    <row r="149" customFormat="false" ht="15" hidden="false" customHeight="false" outlineLevel="0" collapsed="false">
      <c r="A149" s="51"/>
      <c r="B149" s="50"/>
      <c r="C149" s="62"/>
      <c r="D149" s="62"/>
      <c r="E149" s="53" t="str">
        <f aca="false">IF($B149="","",C149+D149)</f>
        <v/>
      </c>
      <c r="F149" s="62"/>
      <c r="G149" s="62"/>
      <c r="H149" s="32"/>
    </row>
    <row r="150" customFormat="false" ht="15" hidden="false" customHeight="false" outlineLevel="0" collapsed="false">
      <c r="A150" s="51"/>
      <c r="B150" s="50"/>
      <c r="C150" s="62"/>
      <c r="D150" s="62"/>
      <c r="E150" s="53" t="str">
        <f aca="false">IF($B150="","",C150+D150)</f>
        <v/>
      </c>
      <c r="F150" s="62"/>
      <c r="G150" s="62"/>
      <c r="H150" s="32"/>
    </row>
    <row r="151" customFormat="false" ht="15" hidden="false" customHeight="false" outlineLevel="0" collapsed="false">
      <c r="A151" s="51"/>
      <c r="B151" s="50"/>
      <c r="C151" s="62"/>
      <c r="D151" s="62"/>
      <c r="E151" s="53" t="str">
        <f aca="false">IF($B151="","",C151+D151)</f>
        <v/>
      </c>
      <c r="F151" s="62"/>
      <c r="G151" s="62"/>
      <c r="H151" s="32"/>
    </row>
    <row r="152" customFormat="false" ht="15" hidden="false" customHeight="false" outlineLevel="0" collapsed="false">
      <c r="A152" s="51"/>
      <c r="B152" s="50"/>
      <c r="C152" s="62"/>
      <c r="D152" s="62"/>
      <c r="E152" s="53" t="str">
        <f aca="false">IF($B152="","",C152+D152)</f>
        <v/>
      </c>
      <c r="F152" s="62"/>
      <c r="G152" s="62"/>
      <c r="H152" s="32"/>
    </row>
    <row r="153" customFormat="false" ht="15" hidden="false" customHeight="false" outlineLevel="0" collapsed="false">
      <c r="A153" s="51"/>
      <c r="B153" s="50"/>
      <c r="C153" s="62"/>
      <c r="D153" s="62"/>
      <c r="E153" s="53" t="str">
        <f aca="false">IF($B153="","",C153+D153)</f>
        <v/>
      </c>
      <c r="F153" s="62"/>
      <c r="G153" s="62"/>
      <c r="H153" s="32"/>
    </row>
    <row r="154" customFormat="false" ht="15" hidden="false" customHeight="false" outlineLevel="0" collapsed="false">
      <c r="A154" s="51"/>
      <c r="B154" s="50"/>
      <c r="C154" s="62"/>
      <c r="D154" s="62"/>
      <c r="E154" s="53" t="str">
        <f aca="false">IF($B154="","",C154+D154)</f>
        <v/>
      </c>
      <c r="F154" s="62"/>
      <c r="G154" s="62"/>
      <c r="H154" s="32"/>
    </row>
    <row r="155" customFormat="false" ht="15" hidden="false" customHeight="false" outlineLevel="0" collapsed="false">
      <c r="A155" s="51"/>
      <c r="B155" s="50"/>
      <c r="C155" s="62"/>
      <c r="D155" s="62"/>
      <c r="E155" s="53" t="str">
        <f aca="false">IF($B155="","",C155+D155)</f>
        <v/>
      </c>
      <c r="F155" s="62"/>
      <c r="G155" s="62"/>
      <c r="H155" s="32"/>
    </row>
    <row r="156" customFormat="false" ht="15" hidden="false" customHeight="false" outlineLevel="0" collapsed="false">
      <c r="A156" s="51"/>
      <c r="B156" s="50"/>
      <c r="C156" s="62"/>
      <c r="D156" s="62"/>
      <c r="E156" s="53" t="str">
        <f aca="false">IF($B156="","",C156+D156)</f>
        <v/>
      </c>
      <c r="F156" s="62"/>
      <c r="G156" s="62"/>
      <c r="H156" s="32"/>
    </row>
    <row r="157" customFormat="false" ht="15" hidden="false" customHeight="false" outlineLevel="0" collapsed="false">
      <c r="A157" s="51"/>
      <c r="B157" s="50"/>
      <c r="C157" s="62"/>
      <c r="D157" s="62"/>
      <c r="E157" s="53" t="str">
        <f aca="false">IF($B157="","",C157+D157)</f>
        <v/>
      </c>
      <c r="F157" s="62"/>
      <c r="G157" s="62"/>
      <c r="H157" s="32"/>
    </row>
    <row r="158" customFormat="false" ht="15" hidden="false" customHeight="false" outlineLevel="0" collapsed="false">
      <c r="A158" s="51"/>
      <c r="B158" s="50"/>
      <c r="C158" s="62"/>
      <c r="D158" s="62"/>
      <c r="E158" s="53" t="str">
        <f aca="false">IF($B158="","",C158+D158)</f>
        <v/>
      </c>
      <c r="F158" s="62"/>
      <c r="G158" s="62"/>
      <c r="H158" s="32"/>
    </row>
    <row r="159" customFormat="false" ht="15" hidden="false" customHeight="false" outlineLevel="0" collapsed="false">
      <c r="A159" s="51"/>
      <c r="B159" s="50"/>
      <c r="C159" s="62"/>
      <c r="D159" s="62"/>
      <c r="E159" s="53" t="str">
        <f aca="false">IF($B159="","",C159+D159)</f>
        <v/>
      </c>
      <c r="F159" s="62"/>
      <c r="G159" s="62"/>
      <c r="H159" s="32"/>
    </row>
    <row r="160" customFormat="false" ht="15" hidden="false" customHeight="false" outlineLevel="0" collapsed="false">
      <c r="A160" s="51"/>
      <c r="B160" s="50"/>
      <c r="C160" s="62"/>
      <c r="D160" s="62"/>
      <c r="E160" s="53" t="str">
        <f aca="false">IF($B160="","",C160+D160)</f>
        <v/>
      </c>
      <c r="F160" s="62"/>
      <c r="G160" s="62"/>
      <c r="H160" s="32"/>
    </row>
    <row r="161" customFormat="false" ht="15" hidden="false" customHeight="false" outlineLevel="0" collapsed="false">
      <c r="A161" s="51"/>
      <c r="B161" s="50"/>
      <c r="C161" s="62"/>
      <c r="D161" s="62"/>
      <c r="E161" s="53" t="str">
        <f aca="false">IF($B161="","",C161+D161)</f>
        <v/>
      </c>
      <c r="F161" s="62"/>
      <c r="G161" s="62"/>
      <c r="H161" s="32"/>
    </row>
    <row r="162" customFormat="false" ht="15" hidden="false" customHeight="false" outlineLevel="0" collapsed="false">
      <c r="A162" s="51"/>
      <c r="B162" s="50"/>
      <c r="C162" s="62"/>
      <c r="D162" s="62"/>
      <c r="E162" s="53" t="str">
        <f aca="false">IF($B162="","",C162+D162)</f>
        <v/>
      </c>
      <c r="F162" s="62"/>
      <c r="G162" s="62"/>
      <c r="H162" s="32"/>
    </row>
    <row r="163" customFormat="false" ht="15" hidden="false" customHeight="false" outlineLevel="0" collapsed="false">
      <c r="A163" s="51"/>
      <c r="B163" s="50"/>
      <c r="C163" s="62"/>
      <c r="D163" s="62"/>
      <c r="E163" s="53" t="str">
        <f aca="false">IF($B163="","",C163+D163)</f>
        <v/>
      </c>
      <c r="F163" s="62"/>
      <c r="G163" s="62"/>
      <c r="H163" s="32"/>
    </row>
    <row r="164" customFormat="false" ht="15" hidden="false" customHeight="false" outlineLevel="0" collapsed="false">
      <c r="A164" s="51"/>
      <c r="B164" s="50"/>
      <c r="C164" s="62"/>
      <c r="D164" s="62"/>
      <c r="E164" s="53" t="str">
        <f aca="false">IF($B164="","",C164+D164)</f>
        <v/>
      </c>
      <c r="F164" s="62"/>
      <c r="G164" s="62"/>
      <c r="H164" s="32"/>
    </row>
    <row r="165" customFormat="false" ht="15" hidden="false" customHeight="false" outlineLevel="0" collapsed="false">
      <c r="A165" s="51"/>
      <c r="B165" s="50"/>
      <c r="C165" s="62"/>
      <c r="D165" s="62"/>
      <c r="E165" s="53" t="str">
        <f aca="false">IF($B165="","",C165+D165)</f>
        <v/>
      </c>
      <c r="F165" s="62"/>
      <c r="G165" s="62"/>
      <c r="H165" s="32"/>
    </row>
    <row r="166" customFormat="false" ht="15" hidden="false" customHeight="false" outlineLevel="0" collapsed="false">
      <c r="A166" s="51"/>
      <c r="B166" s="50"/>
      <c r="C166" s="62"/>
      <c r="D166" s="62"/>
      <c r="E166" s="53" t="str">
        <f aca="false">IF($B166="","",C166+D166)</f>
        <v/>
      </c>
      <c r="F166" s="62"/>
      <c r="G166" s="62"/>
      <c r="H166" s="32"/>
    </row>
    <row r="167" customFormat="false" ht="15" hidden="false" customHeight="false" outlineLevel="0" collapsed="false">
      <c r="A167" s="51"/>
      <c r="B167" s="50"/>
      <c r="C167" s="62"/>
      <c r="D167" s="62"/>
      <c r="E167" s="53" t="str">
        <f aca="false">IF($B167="","",C167+D167)</f>
        <v/>
      </c>
      <c r="F167" s="62"/>
      <c r="G167" s="62"/>
      <c r="H167" s="32"/>
    </row>
    <row r="168" customFormat="false" ht="15" hidden="false" customHeight="false" outlineLevel="0" collapsed="false">
      <c r="A168" s="51"/>
      <c r="B168" s="50"/>
      <c r="C168" s="62"/>
      <c r="D168" s="62"/>
      <c r="E168" s="53" t="str">
        <f aca="false">IF($B168="","",C168+D168)</f>
        <v/>
      </c>
      <c r="F168" s="62"/>
      <c r="G168" s="62"/>
      <c r="H168" s="32"/>
    </row>
    <row r="169" customFormat="false" ht="15" hidden="false" customHeight="false" outlineLevel="0" collapsed="false">
      <c r="A169" s="51"/>
      <c r="B169" s="50"/>
      <c r="C169" s="62"/>
      <c r="D169" s="62"/>
      <c r="E169" s="53" t="str">
        <f aca="false">IF($B169="","",C169+D169)</f>
        <v/>
      </c>
      <c r="F169" s="62"/>
      <c r="G169" s="62"/>
      <c r="H169" s="32"/>
    </row>
    <row r="170" customFormat="false" ht="15" hidden="false" customHeight="false" outlineLevel="0" collapsed="false">
      <c r="A170" s="51"/>
      <c r="B170" s="50"/>
      <c r="C170" s="62"/>
      <c r="D170" s="62"/>
      <c r="E170" s="53" t="str">
        <f aca="false">IF($B170="","",C170+D170)</f>
        <v/>
      </c>
      <c r="F170" s="62"/>
      <c r="G170" s="62"/>
      <c r="H170" s="32"/>
    </row>
    <row r="171" customFormat="false" ht="15" hidden="false" customHeight="false" outlineLevel="0" collapsed="false">
      <c r="A171" s="51"/>
      <c r="B171" s="50"/>
      <c r="C171" s="62"/>
      <c r="D171" s="62"/>
      <c r="E171" s="53" t="str">
        <f aca="false">IF($B171="","",C171+D171)</f>
        <v/>
      </c>
      <c r="F171" s="62"/>
      <c r="G171" s="62"/>
      <c r="H171" s="32"/>
    </row>
    <row r="172" customFormat="false" ht="15" hidden="false" customHeight="false" outlineLevel="0" collapsed="false">
      <c r="A172" s="51"/>
      <c r="B172" s="50"/>
      <c r="C172" s="62"/>
      <c r="D172" s="62"/>
      <c r="E172" s="53" t="str">
        <f aca="false">IF($B172="","",C172+D172)</f>
        <v/>
      </c>
      <c r="F172" s="62"/>
      <c r="G172" s="62"/>
      <c r="H172" s="32"/>
    </row>
    <row r="173" customFormat="false" ht="15" hidden="false" customHeight="false" outlineLevel="0" collapsed="false">
      <c r="A173" s="51"/>
      <c r="B173" s="50"/>
      <c r="C173" s="62"/>
      <c r="D173" s="62"/>
      <c r="E173" s="53" t="str">
        <f aca="false">IF($B173="","",C173+D173)</f>
        <v/>
      </c>
      <c r="F173" s="62"/>
      <c r="G173" s="62"/>
      <c r="H173" s="32"/>
    </row>
    <row r="174" customFormat="false" ht="15" hidden="false" customHeight="false" outlineLevel="0" collapsed="false">
      <c r="A174" s="51"/>
      <c r="B174" s="50"/>
      <c r="C174" s="62"/>
      <c r="D174" s="62"/>
      <c r="E174" s="53" t="str">
        <f aca="false">IF($B174="","",C174+D174)</f>
        <v/>
      </c>
      <c r="F174" s="62"/>
      <c r="G174" s="62"/>
      <c r="H174" s="32"/>
    </row>
    <row r="175" customFormat="false" ht="15" hidden="false" customHeight="false" outlineLevel="0" collapsed="false">
      <c r="A175" s="51"/>
      <c r="B175" s="50"/>
      <c r="C175" s="62"/>
      <c r="D175" s="62"/>
      <c r="E175" s="53" t="str">
        <f aca="false">IF($B175="","",C175+D175)</f>
        <v/>
      </c>
      <c r="F175" s="62"/>
      <c r="G175" s="62"/>
      <c r="H175" s="32"/>
    </row>
    <row r="176" customFormat="false" ht="15" hidden="false" customHeight="false" outlineLevel="0" collapsed="false">
      <c r="A176" s="51"/>
      <c r="B176" s="50"/>
      <c r="C176" s="62"/>
      <c r="D176" s="62"/>
      <c r="E176" s="53" t="str">
        <f aca="false">IF($B176="","",C176+D176)</f>
        <v/>
      </c>
      <c r="F176" s="62"/>
      <c r="G176" s="62"/>
      <c r="H176" s="32"/>
    </row>
    <row r="177" customFormat="false" ht="15" hidden="false" customHeight="false" outlineLevel="0" collapsed="false">
      <c r="A177" s="51"/>
      <c r="B177" s="50"/>
      <c r="C177" s="62"/>
      <c r="D177" s="62"/>
      <c r="E177" s="53" t="str">
        <f aca="false">IF($B177="","",C177+D177)</f>
        <v/>
      </c>
      <c r="F177" s="62"/>
      <c r="G177" s="62"/>
      <c r="H177" s="32"/>
    </row>
    <row r="178" customFormat="false" ht="15" hidden="false" customHeight="false" outlineLevel="0" collapsed="false">
      <c r="A178" s="51"/>
      <c r="B178" s="50"/>
      <c r="C178" s="62"/>
      <c r="D178" s="62"/>
      <c r="E178" s="53" t="str">
        <f aca="false">IF($B178="","",C178+D178)</f>
        <v/>
      </c>
      <c r="F178" s="62"/>
      <c r="G178" s="62"/>
      <c r="H178" s="32"/>
    </row>
    <row r="179" customFormat="false" ht="15" hidden="false" customHeight="false" outlineLevel="0" collapsed="false">
      <c r="A179" s="51"/>
      <c r="B179" s="50"/>
      <c r="C179" s="62"/>
      <c r="D179" s="62"/>
      <c r="E179" s="53" t="str">
        <f aca="false">IF($B179="","",C179+D179)</f>
        <v/>
      </c>
      <c r="F179" s="62"/>
      <c r="G179" s="62"/>
      <c r="H179" s="32"/>
    </row>
    <row r="180" customFormat="false" ht="15" hidden="false" customHeight="false" outlineLevel="0" collapsed="false">
      <c r="A180" s="51"/>
      <c r="B180" s="50"/>
      <c r="C180" s="62"/>
      <c r="D180" s="62"/>
      <c r="E180" s="53" t="str">
        <f aca="false">IF($B180="","",C180+D180)</f>
        <v/>
      </c>
      <c r="F180" s="62"/>
      <c r="G180" s="62"/>
      <c r="H180" s="32"/>
    </row>
    <row r="181" customFormat="false" ht="15" hidden="false" customHeight="false" outlineLevel="0" collapsed="false">
      <c r="A181" s="51"/>
      <c r="B181" s="50"/>
      <c r="C181" s="62"/>
      <c r="D181" s="62"/>
      <c r="E181" s="53" t="str">
        <f aca="false">IF($B181="","",C181+D181)</f>
        <v/>
      </c>
      <c r="F181" s="62"/>
      <c r="G181" s="62"/>
      <c r="H181" s="32"/>
    </row>
    <row r="182" customFormat="false" ht="15" hidden="false" customHeight="false" outlineLevel="0" collapsed="false">
      <c r="A182" s="51"/>
      <c r="B182" s="50"/>
      <c r="C182" s="62"/>
      <c r="D182" s="62"/>
      <c r="E182" s="53" t="str">
        <f aca="false">IF($B182="","",C182+D182)</f>
        <v/>
      </c>
      <c r="F182" s="62"/>
      <c r="G182" s="62"/>
      <c r="H182" s="32"/>
    </row>
    <row r="183" customFormat="false" ht="15" hidden="false" customHeight="false" outlineLevel="0" collapsed="false">
      <c r="A183" s="51"/>
      <c r="B183" s="50"/>
      <c r="C183" s="62"/>
      <c r="D183" s="62"/>
      <c r="E183" s="53" t="str">
        <f aca="false">IF($B183="","",C183+D183)</f>
        <v/>
      </c>
      <c r="F183" s="62"/>
      <c r="G183" s="62"/>
      <c r="H183" s="32"/>
    </row>
    <row r="184" customFormat="false" ht="15" hidden="false" customHeight="false" outlineLevel="0" collapsed="false">
      <c r="A184" s="51"/>
      <c r="B184" s="50"/>
      <c r="C184" s="62"/>
      <c r="D184" s="62"/>
      <c r="E184" s="53" t="str">
        <f aca="false">IF($B184="","",C184+D184)</f>
        <v/>
      </c>
      <c r="F184" s="62"/>
      <c r="G184" s="62"/>
      <c r="H184" s="32"/>
    </row>
    <row r="185" customFormat="false" ht="15" hidden="false" customHeight="false" outlineLevel="0" collapsed="false">
      <c r="A185" s="51"/>
      <c r="B185" s="50"/>
      <c r="C185" s="62"/>
      <c r="D185" s="62"/>
      <c r="E185" s="53" t="str">
        <f aca="false">IF($B185="","",C185+D185)</f>
        <v/>
      </c>
      <c r="F185" s="62"/>
      <c r="G185" s="62"/>
      <c r="H185" s="32"/>
    </row>
    <row r="186" customFormat="false" ht="15" hidden="false" customHeight="false" outlineLevel="0" collapsed="false">
      <c r="A186" s="51"/>
      <c r="B186" s="50"/>
      <c r="C186" s="62"/>
      <c r="D186" s="62"/>
      <c r="E186" s="53" t="str">
        <f aca="false">IF($B186="","",C186+D186)</f>
        <v/>
      </c>
      <c r="F186" s="62"/>
      <c r="G186" s="62"/>
      <c r="H186" s="32"/>
    </row>
    <row r="187" customFormat="false" ht="15" hidden="false" customHeight="false" outlineLevel="0" collapsed="false">
      <c r="A187" s="51"/>
      <c r="B187" s="50"/>
      <c r="C187" s="62"/>
      <c r="D187" s="62"/>
      <c r="E187" s="53" t="str">
        <f aca="false">IF($B187="","",C187+D187)</f>
        <v/>
      </c>
      <c r="F187" s="62"/>
      <c r="G187" s="62"/>
      <c r="H187" s="32"/>
    </row>
    <row r="188" customFormat="false" ht="15" hidden="false" customHeight="false" outlineLevel="0" collapsed="false">
      <c r="A188" s="51"/>
      <c r="B188" s="50"/>
      <c r="C188" s="62"/>
      <c r="D188" s="62"/>
      <c r="E188" s="53" t="str">
        <f aca="false">IF($B188="","",C188+D188)</f>
        <v/>
      </c>
      <c r="F188" s="62"/>
      <c r="G188" s="62"/>
      <c r="H188" s="32"/>
    </row>
    <row r="189" customFormat="false" ht="15" hidden="false" customHeight="false" outlineLevel="0" collapsed="false">
      <c r="A189" s="51"/>
      <c r="B189" s="50"/>
      <c r="C189" s="62"/>
      <c r="D189" s="62"/>
      <c r="E189" s="53" t="str">
        <f aca="false">IF($B189="","",C189+D189)</f>
        <v/>
      </c>
      <c r="F189" s="62"/>
      <c r="G189" s="62"/>
      <c r="H189" s="32"/>
    </row>
    <row r="190" customFormat="false" ht="15" hidden="false" customHeight="false" outlineLevel="0" collapsed="false">
      <c r="A190" s="51"/>
      <c r="B190" s="50"/>
      <c r="C190" s="62"/>
      <c r="D190" s="62"/>
      <c r="E190" s="53" t="str">
        <f aca="false">IF($B190="","",C190+D190)</f>
        <v/>
      </c>
      <c r="F190" s="62"/>
      <c r="G190" s="62"/>
      <c r="H190" s="32"/>
    </row>
    <row r="191" customFormat="false" ht="15" hidden="false" customHeight="false" outlineLevel="0" collapsed="false">
      <c r="A191" s="51"/>
      <c r="B191" s="50"/>
      <c r="C191" s="62"/>
      <c r="D191" s="62"/>
      <c r="E191" s="53" t="str">
        <f aca="false">IF($B191="","",C191+D191)</f>
        <v/>
      </c>
      <c r="F191" s="62"/>
      <c r="G191" s="62"/>
      <c r="H191" s="32"/>
    </row>
    <row r="192" customFormat="false" ht="15" hidden="false" customHeight="false" outlineLevel="0" collapsed="false">
      <c r="A192" s="51"/>
      <c r="B192" s="50"/>
      <c r="C192" s="62"/>
      <c r="D192" s="62"/>
      <c r="E192" s="53" t="str">
        <f aca="false">IF($B192="","",C192+D192)</f>
        <v/>
      </c>
      <c r="F192" s="62"/>
      <c r="G192" s="62"/>
      <c r="H192" s="32"/>
    </row>
    <row r="193" customFormat="false" ht="15" hidden="false" customHeight="false" outlineLevel="0" collapsed="false">
      <c r="A193" s="51"/>
      <c r="B193" s="50"/>
      <c r="C193" s="62"/>
      <c r="D193" s="62"/>
      <c r="E193" s="53" t="str">
        <f aca="false">IF($B193="","",C193+D193)</f>
        <v/>
      </c>
      <c r="F193" s="62"/>
      <c r="G193" s="62"/>
      <c r="H193" s="32"/>
    </row>
    <row r="194" customFormat="false" ht="15" hidden="false" customHeight="false" outlineLevel="0" collapsed="false">
      <c r="A194" s="51"/>
      <c r="B194" s="50"/>
      <c r="C194" s="62"/>
      <c r="D194" s="62"/>
      <c r="E194" s="53" t="str">
        <f aca="false">IF($B194="","",C194+D194)</f>
        <v/>
      </c>
      <c r="F194" s="62"/>
      <c r="G194" s="62"/>
      <c r="H194" s="32"/>
    </row>
    <row r="195" customFormat="false" ht="15" hidden="false" customHeight="false" outlineLevel="0" collapsed="false">
      <c r="A195" s="51"/>
      <c r="B195" s="50"/>
      <c r="C195" s="62"/>
      <c r="D195" s="62"/>
      <c r="E195" s="53" t="str">
        <f aca="false">IF($B195="","",C195+D195)</f>
        <v/>
      </c>
      <c r="F195" s="62"/>
      <c r="G195" s="62"/>
      <c r="H195" s="32"/>
    </row>
    <row r="196" customFormat="false" ht="15" hidden="false" customHeight="false" outlineLevel="0" collapsed="false">
      <c r="A196" s="51"/>
      <c r="B196" s="50"/>
      <c r="C196" s="62"/>
      <c r="D196" s="62"/>
      <c r="E196" s="53" t="str">
        <f aca="false">IF($B196="","",C196+D196)</f>
        <v/>
      </c>
      <c r="F196" s="62"/>
      <c r="G196" s="62"/>
      <c r="H196" s="32"/>
    </row>
    <row r="197" customFormat="false" ht="15" hidden="false" customHeight="false" outlineLevel="0" collapsed="false">
      <c r="A197" s="51"/>
      <c r="B197" s="50"/>
      <c r="C197" s="62"/>
      <c r="D197" s="62"/>
      <c r="E197" s="53" t="str">
        <f aca="false">IF($B197="","",C197+D197)</f>
        <v/>
      </c>
      <c r="F197" s="62"/>
      <c r="G197" s="62"/>
      <c r="H197" s="32"/>
    </row>
    <row r="198" customFormat="false" ht="15" hidden="false" customHeight="false" outlineLevel="0" collapsed="false">
      <c r="A198" s="51"/>
      <c r="B198" s="50"/>
      <c r="C198" s="62"/>
      <c r="D198" s="62"/>
      <c r="E198" s="53" t="str">
        <f aca="false">IF($B198="","",C198+D198)</f>
        <v/>
      </c>
      <c r="F198" s="62"/>
      <c r="G198" s="62"/>
      <c r="H198" s="32"/>
    </row>
    <row r="199" customFormat="false" ht="15" hidden="false" customHeight="false" outlineLevel="0" collapsed="false">
      <c r="A199" s="51"/>
      <c r="B199" s="50"/>
      <c r="C199" s="62"/>
      <c r="D199" s="62"/>
      <c r="E199" s="53" t="str">
        <f aca="false">IF($B199="","",C199+D199)</f>
        <v/>
      </c>
      <c r="F199" s="62"/>
      <c r="G199" s="62"/>
      <c r="H199" s="32"/>
    </row>
    <row r="200" customFormat="false" ht="15" hidden="false" customHeight="false" outlineLevel="0" collapsed="false">
      <c r="A200" s="51"/>
      <c r="B200" s="50"/>
      <c r="C200" s="62"/>
      <c r="D200" s="62"/>
      <c r="E200" s="53" t="str">
        <f aca="false">IF($B200="","",C200+D200)</f>
        <v/>
      </c>
      <c r="F200" s="62"/>
      <c r="G200" s="62"/>
      <c r="H200" s="32"/>
    </row>
    <row r="201" customFormat="false" ht="15" hidden="false" customHeight="false" outlineLevel="0" collapsed="false">
      <c r="A201" s="51"/>
      <c r="B201" s="50"/>
      <c r="C201" s="62"/>
      <c r="D201" s="62"/>
      <c r="E201" s="53" t="str">
        <f aca="false">IF($B201="","",C201+D201)</f>
        <v/>
      </c>
      <c r="F201" s="62"/>
      <c r="G201" s="62"/>
      <c r="H201" s="32"/>
    </row>
    <row r="202" customFormat="false" ht="15" hidden="false" customHeight="false" outlineLevel="0" collapsed="false">
      <c r="A202" s="51"/>
      <c r="B202" s="50"/>
      <c r="C202" s="62"/>
      <c r="D202" s="62"/>
      <c r="E202" s="53" t="str">
        <f aca="false">IF($B202="","",C202+D202)</f>
        <v/>
      </c>
      <c r="F202" s="62"/>
      <c r="G202" s="62"/>
      <c r="H202" s="32"/>
    </row>
    <row r="203" customFormat="false" ht="15" hidden="false" customHeight="false" outlineLevel="0" collapsed="false">
      <c r="A203" s="51"/>
      <c r="B203" s="50"/>
      <c r="C203" s="62"/>
      <c r="D203" s="62"/>
      <c r="E203" s="53" t="str">
        <f aca="false">IF($B203="","",C203+D203)</f>
        <v/>
      </c>
      <c r="F203" s="62"/>
      <c r="G203" s="62"/>
      <c r="H203" s="32"/>
    </row>
    <row r="204" customFormat="false" ht="15" hidden="false" customHeight="false" outlineLevel="0" collapsed="false">
      <c r="A204" s="51"/>
      <c r="B204" s="50"/>
      <c r="C204" s="62"/>
      <c r="D204" s="62"/>
      <c r="E204" s="53" t="str">
        <f aca="false">IF($B204="","",C204+D204)</f>
        <v/>
      </c>
      <c r="F204" s="62"/>
      <c r="G204" s="62"/>
      <c r="H204" s="32"/>
    </row>
    <row r="205" customFormat="false" ht="15" hidden="false" customHeight="false" outlineLevel="0" collapsed="false">
      <c r="A205" s="51"/>
      <c r="B205" s="50"/>
      <c r="C205" s="62"/>
      <c r="D205" s="62"/>
      <c r="E205" s="53" t="str">
        <f aca="false">IF($B205="","",C205+D205)</f>
        <v/>
      </c>
      <c r="F205" s="62"/>
      <c r="G205" s="62"/>
      <c r="H205" s="32"/>
    </row>
    <row r="206" customFormat="false" ht="15" hidden="false" customHeight="false" outlineLevel="0" collapsed="false">
      <c r="A206" s="51"/>
      <c r="B206" s="50"/>
      <c r="C206" s="62"/>
      <c r="D206" s="62"/>
      <c r="E206" s="53" t="str">
        <f aca="false">IF($B206="","",C206+D206)</f>
        <v/>
      </c>
      <c r="F206" s="62"/>
      <c r="G206" s="62"/>
      <c r="H206" s="32"/>
    </row>
    <row r="207" customFormat="false" ht="15" hidden="false" customHeight="false" outlineLevel="0" collapsed="false">
      <c r="A207" s="51"/>
      <c r="B207" s="50"/>
      <c r="C207" s="62"/>
      <c r="D207" s="62"/>
      <c r="E207" s="53" t="str">
        <f aca="false">IF($B207="","",C207+D207)</f>
        <v/>
      </c>
      <c r="F207" s="62"/>
      <c r="G207" s="62"/>
      <c r="H207" s="32"/>
    </row>
    <row r="208" customFormat="false" ht="15" hidden="false" customHeight="false" outlineLevel="0" collapsed="false">
      <c r="A208" s="51"/>
      <c r="B208" s="50"/>
      <c r="C208" s="62"/>
      <c r="D208" s="62"/>
      <c r="E208" s="53" t="str">
        <f aca="false">IF($B208="","",C208+D208)</f>
        <v/>
      </c>
      <c r="F208" s="62"/>
      <c r="G208" s="62"/>
      <c r="H208" s="32"/>
    </row>
    <row r="209" customFormat="false" ht="15" hidden="false" customHeight="false" outlineLevel="0" collapsed="false">
      <c r="A209" s="51"/>
      <c r="B209" s="50"/>
      <c r="C209" s="62"/>
      <c r="D209" s="62"/>
      <c r="E209" s="53" t="str">
        <f aca="false">IF($B209="","",C209+D209)</f>
        <v/>
      </c>
      <c r="F209" s="62"/>
      <c r="G209" s="62"/>
      <c r="H209" s="32"/>
    </row>
    <row r="210" customFormat="false" ht="15" hidden="false" customHeight="false" outlineLevel="0" collapsed="false">
      <c r="A210" s="51"/>
      <c r="B210" s="50"/>
      <c r="C210" s="62"/>
      <c r="D210" s="62"/>
      <c r="E210" s="53" t="str">
        <f aca="false">IF($B210="","",C210+D210)</f>
        <v/>
      </c>
      <c r="F210" s="62"/>
      <c r="G210" s="62"/>
      <c r="H210" s="32"/>
    </row>
    <row r="211" customFormat="false" ht="15" hidden="false" customHeight="false" outlineLevel="0" collapsed="false">
      <c r="A211" s="51"/>
      <c r="B211" s="50"/>
      <c r="C211" s="62"/>
      <c r="D211" s="62"/>
      <c r="E211" s="53" t="str">
        <f aca="false">IF($B211="","",C211+D211)</f>
        <v/>
      </c>
      <c r="F211" s="62"/>
      <c r="G211" s="62"/>
      <c r="H211" s="32"/>
    </row>
    <row r="212" customFormat="false" ht="15" hidden="false" customHeight="false" outlineLevel="0" collapsed="false">
      <c r="A212" s="51"/>
      <c r="B212" s="50"/>
      <c r="C212" s="62"/>
      <c r="D212" s="62"/>
      <c r="E212" s="53" t="str">
        <f aca="false">IF($B212="","",C212+D212)</f>
        <v/>
      </c>
      <c r="F212" s="62"/>
      <c r="G212" s="62"/>
      <c r="H212" s="32"/>
    </row>
    <row r="213" customFormat="false" ht="15" hidden="false" customHeight="false" outlineLevel="0" collapsed="false">
      <c r="A213" s="51"/>
      <c r="B213" s="50"/>
      <c r="C213" s="62"/>
      <c r="D213" s="62"/>
      <c r="E213" s="53" t="str">
        <f aca="false">IF($B213="","",C213+D213)</f>
        <v/>
      </c>
      <c r="F213" s="62"/>
      <c r="G213" s="62"/>
      <c r="H213" s="32"/>
    </row>
    <row r="214" customFormat="false" ht="15" hidden="false" customHeight="false" outlineLevel="0" collapsed="false">
      <c r="A214" s="51"/>
      <c r="B214" s="50"/>
      <c r="C214" s="62"/>
      <c r="D214" s="62"/>
      <c r="E214" s="53" t="str">
        <f aca="false">IF($B214="","",C214+D214)</f>
        <v/>
      </c>
      <c r="F214" s="62"/>
      <c r="G214" s="62"/>
      <c r="H214" s="32"/>
    </row>
    <row r="215" customFormat="false" ht="15" hidden="false" customHeight="false" outlineLevel="0" collapsed="false">
      <c r="A215" s="51"/>
      <c r="B215" s="50"/>
      <c r="C215" s="62"/>
      <c r="D215" s="62"/>
      <c r="E215" s="53" t="str">
        <f aca="false">IF($B215="","",C215+D215)</f>
        <v/>
      </c>
      <c r="F215" s="62"/>
      <c r="G215" s="62"/>
      <c r="H215" s="32"/>
    </row>
    <row r="216" customFormat="false" ht="15" hidden="false" customHeight="false" outlineLevel="0" collapsed="false">
      <c r="A216" s="51"/>
      <c r="B216" s="50"/>
      <c r="C216" s="62"/>
      <c r="D216" s="62"/>
      <c r="E216" s="53" t="str">
        <f aca="false">IF($B216="","",C216+D216)</f>
        <v/>
      </c>
      <c r="F216" s="62"/>
      <c r="G216" s="62"/>
      <c r="H216" s="32"/>
    </row>
    <row r="217" customFormat="false" ht="15" hidden="false" customHeight="false" outlineLevel="0" collapsed="false">
      <c r="A217" s="51"/>
      <c r="B217" s="50"/>
      <c r="C217" s="62"/>
      <c r="D217" s="62"/>
      <c r="E217" s="53" t="str">
        <f aca="false">IF($B217="","",C217+D217)</f>
        <v/>
      </c>
      <c r="F217" s="62"/>
      <c r="G217" s="62"/>
      <c r="H217" s="32"/>
    </row>
    <row r="218" customFormat="false" ht="15" hidden="false" customHeight="false" outlineLevel="0" collapsed="false">
      <c r="A218" s="51"/>
      <c r="B218" s="50"/>
      <c r="C218" s="62"/>
      <c r="D218" s="62"/>
      <c r="E218" s="53" t="str">
        <f aca="false">IF($B218="","",C218+D218)</f>
        <v/>
      </c>
      <c r="F218" s="62"/>
      <c r="G218" s="62"/>
      <c r="H218" s="32"/>
    </row>
    <row r="219" customFormat="false" ht="15" hidden="false" customHeight="false" outlineLevel="0" collapsed="false">
      <c r="A219" s="51"/>
      <c r="B219" s="50"/>
      <c r="C219" s="62"/>
      <c r="D219" s="62"/>
      <c r="E219" s="53" t="str">
        <f aca="false">IF($B219="","",C219+D219)</f>
        <v/>
      </c>
      <c r="F219" s="62"/>
      <c r="G219" s="62"/>
      <c r="H219" s="32"/>
    </row>
    <row r="220" customFormat="false" ht="15" hidden="false" customHeight="false" outlineLevel="0" collapsed="false">
      <c r="A220" s="51"/>
      <c r="B220" s="50"/>
      <c r="C220" s="62"/>
      <c r="D220" s="62"/>
      <c r="E220" s="53" t="str">
        <f aca="false">IF($B220="","",C220+D220)</f>
        <v/>
      </c>
      <c r="F220" s="62"/>
      <c r="G220" s="62"/>
      <c r="H220" s="32"/>
    </row>
    <row r="221" customFormat="false" ht="15" hidden="false" customHeight="false" outlineLevel="0" collapsed="false">
      <c r="A221" s="51"/>
      <c r="B221" s="50"/>
      <c r="C221" s="62"/>
      <c r="D221" s="62"/>
      <c r="E221" s="53" t="str">
        <f aca="false">IF($B221="","",C221+D221)</f>
        <v/>
      </c>
      <c r="F221" s="62"/>
      <c r="G221" s="62"/>
      <c r="H221" s="32"/>
    </row>
    <row r="222" customFormat="false" ht="15" hidden="false" customHeight="false" outlineLevel="0" collapsed="false">
      <c r="A222" s="51"/>
      <c r="B222" s="50"/>
      <c r="C222" s="62"/>
      <c r="D222" s="62"/>
      <c r="E222" s="53" t="str">
        <f aca="false">IF($B222="","",C222+D222)</f>
        <v/>
      </c>
      <c r="F222" s="62"/>
      <c r="G222" s="62"/>
      <c r="H222" s="32"/>
    </row>
    <row r="223" customFormat="false" ht="15" hidden="false" customHeight="false" outlineLevel="0" collapsed="false">
      <c r="A223" s="51"/>
      <c r="B223" s="50"/>
      <c r="C223" s="62"/>
      <c r="D223" s="62"/>
      <c r="E223" s="53" t="str">
        <f aca="false">IF($B223="","",C223+D223)</f>
        <v/>
      </c>
      <c r="F223" s="62"/>
      <c r="G223" s="62"/>
      <c r="H223" s="32"/>
    </row>
    <row r="224" customFormat="false" ht="15" hidden="false" customHeight="false" outlineLevel="0" collapsed="false">
      <c r="A224" s="51"/>
      <c r="B224" s="50"/>
      <c r="C224" s="62"/>
      <c r="D224" s="62"/>
      <c r="E224" s="53" t="str">
        <f aca="false">IF($B224="","",C224+D224)</f>
        <v/>
      </c>
      <c r="F224" s="62"/>
      <c r="G224" s="62"/>
      <c r="H224" s="32"/>
    </row>
    <row r="225" customFormat="false" ht="15" hidden="false" customHeight="false" outlineLevel="0" collapsed="false">
      <c r="A225" s="51"/>
      <c r="B225" s="50"/>
      <c r="C225" s="62"/>
      <c r="D225" s="62"/>
      <c r="E225" s="53" t="str">
        <f aca="false">IF($B225="","",C225+D225)</f>
        <v/>
      </c>
      <c r="F225" s="62"/>
      <c r="G225" s="62"/>
      <c r="H225" s="32"/>
    </row>
    <row r="226" customFormat="false" ht="15" hidden="false" customHeight="false" outlineLevel="0" collapsed="false">
      <c r="A226" s="51"/>
      <c r="B226" s="50"/>
      <c r="C226" s="62"/>
      <c r="D226" s="62"/>
      <c r="E226" s="53" t="str">
        <f aca="false">IF($B226="","",C226+D226)</f>
        <v/>
      </c>
      <c r="F226" s="62"/>
      <c r="G226" s="62"/>
      <c r="H226" s="32"/>
    </row>
    <row r="227" customFormat="false" ht="15" hidden="false" customHeight="false" outlineLevel="0" collapsed="false">
      <c r="A227" s="51"/>
      <c r="B227" s="50"/>
      <c r="C227" s="62"/>
      <c r="D227" s="62"/>
      <c r="E227" s="53" t="str">
        <f aca="false">IF($B227="","",C227+D227)</f>
        <v/>
      </c>
      <c r="F227" s="62"/>
      <c r="G227" s="62"/>
      <c r="H227" s="32"/>
    </row>
    <row r="228" customFormat="false" ht="15" hidden="false" customHeight="false" outlineLevel="0" collapsed="false">
      <c r="A228" s="51"/>
      <c r="B228" s="50"/>
      <c r="C228" s="62"/>
      <c r="D228" s="62"/>
      <c r="E228" s="53" t="str">
        <f aca="false">IF($B228="","",C228+D228)</f>
        <v/>
      </c>
      <c r="F228" s="62"/>
      <c r="G228" s="62"/>
      <c r="H228" s="32"/>
    </row>
    <row r="229" customFormat="false" ht="15" hidden="false" customHeight="false" outlineLevel="0" collapsed="false">
      <c r="A229" s="51"/>
      <c r="B229" s="50"/>
      <c r="C229" s="62"/>
      <c r="D229" s="62"/>
      <c r="E229" s="53" t="str">
        <f aca="false">IF($B229="","",C229+D229)</f>
        <v/>
      </c>
      <c r="F229" s="62"/>
      <c r="G229" s="62"/>
      <c r="H229" s="32"/>
    </row>
    <row r="230" customFormat="false" ht="15" hidden="false" customHeight="false" outlineLevel="0" collapsed="false">
      <c r="A230" s="51"/>
      <c r="B230" s="50"/>
      <c r="C230" s="62"/>
      <c r="D230" s="62"/>
      <c r="E230" s="53" t="str">
        <f aca="false">IF($B230="","",C230+D230)</f>
        <v/>
      </c>
      <c r="F230" s="62"/>
      <c r="G230" s="62"/>
      <c r="H230" s="32"/>
    </row>
    <row r="231" customFormat="false" ht="15" hidden="false" customHeight="false" outlineLevel="0" collapsed="false">
      <c r="A231" s="51"/>
      <c r="B231" s="50"/>
      <c r="C231" s="62"/>
      <c r="D231" s="62"/>
      <c r="E231" s="53" t="str">
        <f aca="false">IF($B231="","",C231+D231)</f>
        <v/>
      </c>
      <c r="F231" s="62"/>
      <c r="G231" s="62"/>
      <c r="H231" s="32"/>
    </row>
    <row r="232" customFormat="false" ht="15" hidden="false" customHeight="false" outlineLevel="0" collapsed="false">
      <c r="A232" s="51"/>
      <c r="B232" s="50"/>
      <c r="C232" s="62"/>
      <c r="D232" s="62"/>
      <c r="E232" s="53" t="str">
        <f aca="false">IF($B232="","",C232+D232)</f>
        <v/>
      </c>
      <c r="F232" s="62"/>
      <c r="G232" s="62"/>
      <c r="H232" s="32"/>
    </row>
    <row r="233" customFormat="false" ht="15" hidden="false" customHeight="false" outlineLevel="0" collapsed="false">
      <c r="A233" s="51"/>
      <c r="B233" s="50"/>
      <c r="C233" s="62"/>
      <c r="D233" s="62"/>
      <c r="E233" s="53" t="str">
        <f aca="false">IF($B233="","",C233+D233)</f>
        <v/>
      </c>
      <c r="F233" s="62"/>
      <c r="G233" s="62"/>
      <c r="H233" s="32"/>
    </row>
    <row r="234" customFormat="false" ht="15" hidden="false" customHeight="false" outlineLevel="0" collapsed="false">
      <c r="A234" s="51"/>
      <c r="B234" s="50"/>
      <c r="C234" s="62"/>
      <c r="D234" s="62"/>
      <c r="E234" s="53" t="str">
        <f aca="false">IF($B234="","",C234+D234)</f>
        <v/>
      </c>
      <c r="F234" s="62"/>
      <c r="G234" s="62"/>
      <c r="H234" s="32"/>
    </row>
    <row r="235" customFormat="false" ht="15" hidden="false" customHeight="false" outlineLevel="0" collapsed="false">
      <c r="A235" s="51"/>
      <c r="B235" s="50"/>
      <c r="C235" s="62"/>
      <c r="D235" s="62"/>
      <c r="E235" s="53" t="str">
        <f aca="false">IF($B235="","",C235+D235)</f>
        <v/>
      </c>
      <c r="F235" s="62"/>
      <c r="G235" s="62"/>
      <c r="H235" s="32"/>
    </row>
    <row r="236" customFormat="false" ht="15" hidden="false" customHeight="false" outlineLevel="0" collapsed="false">
      <c r="A236" s="51"/>
      <c r="B236" s="50"/>
      <c r="C236" s="62"/>
      <c r="D236" s="62"/>
      <c r="E236" s="53" t="str">
        <f aca="false">IF($B236="","",C236+D236)</f>
        <v/>
      </c>
      <c r="F236" s="62"/>
      <c r="G236" s="62"/>
      <c r="H236" s="32"/>
    </row>
    <row r="237" customFormat="false" ht="15" hidden="false" customHeight="false" outlineLevel="0" collapsed="false">
      <c r="A237" s="51"/>
      <c r="B237" s="50"/>
      <c r="C237" s="62"/>
      <c r="D237" s="62"/>
      <c r="E237" s="53" t="str">
        <f aca="false">IF($B237="","",C237+D237)</f>
        <v/>
      </c>
      <c r="F237" s="62"/>
      <c r="G237" s="62"/>
      <c r="H237" s="32"/>
    </row>
    <row r="238" customFormat="false" ht="15" hidden="false" customHeight="false" outlineLevel="0" collapsed="false">
      <c r="A238" s="51"/>
      <c r="B238" s="50"/>
      <c r="C238" s="62"/>
      <c r="D238" s="62"/>
      <c r="E238" s="53" t="str">
        <f aca="false">IF($B238="","",C238+D238)</f>
        <v/>
      </c>
      <c r="F238" s="62"/>
      <c r="G238" s="62"/>
      <c r="H238" s="32"/>
    </row>
    <row r="239" customFormat="false" ht="15" hidden="false" customHeight="false" outlineLevel="0" collapsed="false">
      <c r="A239" s="51"/>
      <c r="B239" s="50"/>
      <c r="C239" s="62"/>
      <c r="D239" s="62"/>
      <c r="E239" s="53" t="str">
        <f aca="false">IF($B239="","",C239+D239)</f>
        <v/>
      </c>
      <c r="F239" s="62"/>
      <c r="G239" s="62"/>
      <c r="H239" s="32"/>
    </row>
    <row r="240" customFormat="false" ht="15" hidden="false" customHeight="false" outlineLevel="0" collapsed="false">
      <c r="A240" s="51"/>
      <c r="B240" s="50"/>
      <c r="C240" s="62"/>
      <c r="D240" s="62"/>
      <c r="E240" s="53" t="str">
        <f aca="false">IF($B240="","",C240+D240)</f>
        <v/>
      </c>
      <c r="F240" s="62"/>
      <c r="G240" s="62"/>
      <c r="H240" s="32"/>
    </row>
    <row r="241" customFormat="false" ht="15" hidden="false" customHeight="false" outlineLevel="0" collapsed="false">
      <c r="A241" s="51"/>
      <c r="B241" s="50"/>
      <c r="C241" s="62"/>
      <c r="D241" s="62"/>
      <c r="E241" s="53" t="str">
        <f aca="false">IF($B241="","",C241+D241)</f>
        <v/>
      </c>
      <c r="F241" s="62"/>
      <c r="G241" s="62"/>
      <c r="H241" s="32"/>
    </row>
    <row r="242" customFormat="false" ht="15" hidden="false" customHeight="false" outlineLevel="0" collapsed="false">
      <c r="A242" s="51"/>
      <c r="B242" s="50"/>
      <c r="C242" s="62"/>
      <c r="D242" s="62"/>
      <c r="E242" s="53" t="str">
        <f aca="false">IF($B242="","",C242+D242)</f>
        <v/>
      </c>
      <c r="F242" s="62"/>
      <c r="G242" s="62"/>
      <c r="H242" s="32"/>
    </row>
    <row r="243" customFormat="false" ht="15" hidden="false" customHeight="false" outlineLevel="0" collapsed="false">
      <c r="A243" s="51"/>
      <c r="B243" s="50"/>
      <c r="C243" s="62"/>
      <c r="D243" s="62"/>
      <c r="E243" s="53" t="str">
        <f aca="false">IF($B243="","",C243+D243)</f>
        <v/>
      </c>
      <c r="F243" s="62"/>
      <c r="G243" s="62"/>
      <c r="H243" s="32"/>
    </row>
    <row r="244" customFormat="false" ht="15" hidden="false" customHeight="false" outlineLevel="0" collapsed="false">
      <c r="A244" s="51"/>
      <c r="B244" s="50"/>
      <c r="C244" s="62"/>
      <c r="D244" s="62"/>
      <c r="E244" s="53" t="str">
        <f aca="false">IF($B244="","",C244+D244)</f>
        <v/>
      </c>
      <c r="F244" s="62"/>
      <c r="G244" s="62"/>
      <c r="H244" s="32"/>
    </row>
    <row r="245" customFormat="false" ht="15" hidden="false" customHeight="false" outlineLevel="0" collapsed="false">
      <c r="A245" s="51"/>
      <c r="B245" s="50"/>
      <c r="C245" s="62"/>
      <c r="D245" s="62"/>
      <c r="E245" s="53" t="str">
        <f aca="false">IF($B245="","",C245+D245)</f>
        <v/>
      </c>
      <c r="F245" s="62"/>
      <c r="G245" s="62"/>
      <c r="H245" s="32"/>
    </row>
    <row r="246" customFormat="false" ht="15" hidden="false" customHeight="false" outlineLevel="0" collapsed="false">
      <c r="A246" s="51"/>
      <c r="B246" s="50"/>
      <c r="C246" s="62"/>
      <c r="D246" s="62"/>
      <c r="E246" s="53" t="str">
        <f aca="false">IF($B246="","",C246+D246)</f>
        <v/>
      </c>
      <c r="F246" s="62"/>
      <c r="G246" s="62"/>
      <c r="H246" s="32"/>
    </row>
    <row r="247" customFormat="false" ht="15" hidden="false" customHeight="false" outlineLevel="0" collapsed="false">
      <c r="A247" s="51"/>
      <c r="B247" s="50"/>
      <c r="C247" s="62"/>
      <c r="D247" s="62"/>
      <c r="E247" s="53" t="str">
        <f aca="false">IF($B247="","",C247+D247)</f>
        <v/>
      </c>
      <c r="F247" s="62"/>
      <c r="G247" s="62"/>
      <c r="H247" s="32"/>
    </row>
    <row r="248" customFormat="false" ht="15" hidden="false" customHeight="false" outlineLevel="0" collapsed="false">
      <c r="A248" s="51"/>
      <c r="B248" s="50"/>
      <c r="C248" s="62"/>
      <c r="D248" s="62"/>
      <c r="E248" s="53" t="str">
        <f aca="false">IF($B248="","",C248+D248)</f>
        <v/>
      </c>
      <c r="F248" s="62"/>
      <c r="G248" s="62"/>
      <c r="H248" s="32"/>
    </row>
    <row r="249" customFormat="false" ht="15" hidden="false" customHeight="false" outlineLevel="0" collapsed="false">
      <c r="A249" s="51"/>
      <c r="B249" s="50"/>
      <c r="C249" s="62"/>
      <c r="D249" s="62"/>
      <c r="E249" s="53" t="str">
        <f aca="false">IF($B249="","",C249+D249)</f>
        <v/>
      </c>
      <c r="F249" s="62"/>
      <c r="G249" s="62"/>
      <c r="H249" s="32"/>
    </row>
    <row r="250" customFormat="false" ht="15" hidden="false" customHeight="false" outlineLevel="0" collapsed="false">
      <c r="A250" s="51"/>
      <c r="B250" s="50"/>
      <c r="C250" s="62"/>
      <c r="D250" s="62"/>
      <c r="E250" s="53" t="str">
        <f aca="false">IF($B250="","",C250+D250)</f>
        <v/>
      </c>
      <c r="F250" s="62"/>
      <c r="G250" s="62"/>
      <c r="H250" s="32"/>
    </row>
    <row r="251" customFormat="false" ht="15" hidden="false" customHeight="false" outlineLevel="0" collapsed="false">
      <c r="A251" s="51"/>
      <c r="B251" s="50"/>
      <c r="C251" s="62"/>
      <c r="D251" s="62"/>
      <c r="E251" s="53" t="str">
        <f aca="false">IF($B251="","",C251+D251)</f>
        <v/>
      </c>
      <c r="F251" s="62"/>
      <c r="G251" s="62"/>
      <c r="H251" s="32"/>
    </row>
    <row r="252" customFormat="false" ht="15" hidden="false" customHeight="false" outlineLevel="0" collapsed="false">
      <c r="A252" s="51"/>
      <c r="B252" s="50"/>
      <c r="C252" s="62"/>
      <c r="D252" s="62"/>
      <c r="E252" s="53" t="str">
        <f aca="false">IF($B252="","",C252+D252)</f>
        <v/>
      </c>
      <c r="F252" s="62"/>
      <c r="G252" s="62"/>
      <c r="H252" s="32"/>
    </row>
    <row r="253" customFormat="false" ht="15" hidden="false" customHeight="false" outlineLevel="0" collapsed="false">
      <c r="A253" s="51"/>
      <c r="B253" s="50"/>
      <c r="C253" s="62"/>
      <c r="D253" s="62"/>
      <c r="E253" s="53" t="str">
        <f aca="false">IF($B253="","",C253+D253)</f>
        <v/>
      </c>
      <c r="F253" s="62"/>
      <c r="G253" s="62"/>
      <c r="H253" s="32"/>
    </row>
    <row r="254" customFormat="false" ht="15" hidden="false" customHeight="false" outlineLevel="0" collapsed="false">
      <c r="A254" s="51"/>
      <c r="B254" s="50"/>
      <c r="C254" s="62"/>
      <c r="D254" s="62"/>
      <c r="E254" s="53" t="str">
        <f aca="false">IF($B254="","",C254+D254)</f>
        <v/>
      </c>
      <c r="F254" s="62"/>
      <c r="G254" s="62"/>
      <c r="H254" s="32"/>
    </row>
    <row r="255" customFormat="false" ht="15" hidden="false" customHeight="false" outlineLevel="0" collapsed="false">
      <c r="A255" s="51"/>
      <c r="B255" s="50"/>
      <c r="C255" s="62"/>
      <c r="D255" s="62"/>
      <c r="E255" s="53" t="str">
        <f aca="false">IF($B255="","",C255+D255)</f>
        <v/>
      </c>
      <c r="F255" s="62"/>
      <c r="G255" s="62"/>
      <c r="H255" s="32"/>
    </row>
    <row r="256" customFormat="false" ht="15" hidden="false" customHeight="false" outlineLevel="0" collapsed="false">
      <c r="A256" s="51"/>
      <c r="B256" s="50"/>
      <c r="C256" s="62"/>
      <c r="D256" s="62"/>
      <c r="E256" s="53" t="str">
        <f aca="false">IF($B256="","",C256+D256)</f>
        <v/>
      </c>
      <c r="F256" s="62"/>
      <c r="G256" s="62"/>
      <c r="H256" s="32"/>
    </row>
    <row r="257" customFormat="false" ht="15" hidden="false" customHeight="false" outlineLevel="0" collapsed="false">
      <c r="A257" s="51"/>
      <c r="B257" s="50"/>
      <c r="C257" s="62"/>
      <c r="D257" s="62"/>
      <c r="E257" s="53" t="str">
        <f aca="false">IF($B257="","",C257+D257)</f>
        <v/>
      </c>
      <c r="F257" s="62"/>
      <c r="G257" s="62"/>
      <c r="H257" s="32"/>
    </row>
    <row r="258" customFormat="false" ht="15" hidden="false" customHeight="false" outlineLevel="0" collapsed="false">
      <c r="A258" s="51"/>
      <c r="B258" s="50"/>
      <c r="C258" s="62"/>
      <c r="D258" s="62"/>
      <c r="E258" s="53" t="str">
        <f aca="false">IF($B258="","",C258+D258)</f>
        <v/>
      </c>
      <c r="F258" s="62"/>
      <c r="G258" s="62"/>
      <c r="H258" s="32"/>
    </row>
    <row r="259" customFormat="false" ht="15" hidden="false" customHeight="false" outlineLevel="0" collapsed="false">
      <c r="A259" s="51"/>
      <c r="B259" s="50"/>
      <c r="C259" s="62"/>
      <c r="D259" s="62"/>
      <c r="E259" s="53" t="str">
        <f aca="false">IF($B259="","",C259+D259)</f>
        <v/>
      </c>
      <c r="F259" s="62"/>
      <c r="G259" s="62"/>
      <c r="H259" s="32"/>
    </row>
    <row r="260" customFormat="false" ht="15" hidden="false" customHeight="false" outlineLevel="0" collapsed="false">
      <c r="A260" s="51"/>
      <c r="B260" s="50"/>
      <c r="C260" s="62"/>
      <c r="D260" s="62"/>
      <c r="E260" s="53" t="str">
        <f aca="false">IF($B260="","",C260+D260)</f>
        <v/>
      </c>
      <c r="F260" s="62"/>
      <c r="G260" s="62"/>
      <c r="H260" s="32"/>
    </row>
    <row r="261" customFormat="false" ht="15" hidden="false" customHeight="false" outlineLevel="0" collapsed="false">
      <c r="A261" s="51"/>
      <c r="B261" s="50"/>
      <c r="C261" s="62"/>
      <c r="D261" s="62"/>
      <c r="E261" s="53" t="str">
        <f aca="false">IF($B261="","",C261+D261)</f>
        <v/>
      </c>
      <c r="F261" s="62"/>
      <c r="G261" s="62"/>
      <c r="H261" s="32"/>
    </row>
    <row r="262" customFormat="false" ht="15" hidden="false" customHeight="false" outlineLevel="0" collapsed="false">
      <c r="A262" s="51"/>
      <c r="B262" s="50"/>
      <c r="C262" s="62"/>
      <c r="D262" s="62"/>
      <c r="E262" s="53" t="str">
        <f aca="false">IF($B262="","",C262+D262)</f>
        <v/>
      </c>
      <c r="F262" s="62"/>
      <c r="G262" s="62"/>
      <c r="H262" s="32"/>
    </row>
    <row r="263" customFormat="false" ht="15" hidden="false" customHeight="false" outlineLevel="0" collapsed="false">
      <c r="A263" s="51"/>
      <c r="B263" s="50"/>
      <c r="C263" s="62"/>
      <c r="D263" s="62"/>
      <c r="E263" s="53" t="str">
        <f aca="false">IF($B263="","",C263+D263)</f>
        <v/>
      </c>
      <c r="F263" s="62"/>
      <c r="G263" s="62"/>
      <c r="H263" s="32"/>
    </row>
    <row r="264" customFormat="false" ht="15" hidden="false" customHeight="false" outlineLevel="0" collapsed="false">
      <c r="A264" s="51"/>
      <c r="B264" s="50"/>
      <c r="C264" s="62"/>
      <c r="D264" s="62"/>
      <c r="E264" s="53" t="str">
        <f aca="false">IF($B264="","",C264+D264)</f>
        <v/>
      </c>
      <c r="F264" s="62"/>
      <c r="G264" s="62"/>
      <c r="H264" s="32"/>
    </row>
    <row r="265" customFormat="false" ht="15" hidden="false" customHeight="false" outlineLevel="0" collapsed="false">
      <c r="A265" s="51"/>
      <c r="B265" s="50"/>
      <c r="C265" s="62"/>
      <c r="D265" s="62"/>
      <c r="E265" s="53" t="str">
        <f aca="false">IF($B265="","",C265+D265)</f>
        <v/>
      </c>
      <c r="F265" s="62"/>
      <c r="G265" s="62"/>
      <c r="H265" s="32"/>
    </row>
    <row r="266" customFormat="false" ht="15" hidden="false" customHeight="false" outlineLevel="0" collapsed="false">
      <c r="A266" s="51"/>
      <c r="B266" s="50"/>
      <c r="C266" s="62"/>
      <c r="D266" s="62"/>
      <c r="E266" s="53" t="str">
        <f aca="false">IF($B266="","",C266+D266)</f>
        <v/>
      </c>
      <c r="F266" s="62"/>
      <c r="G266" s="62"/>
      <c r="H266" s="32"/>
    </row>
    <row r="267" customFormat="false" ht="15" hidden="false" customHeight="false" outlineLevel="0" collapsed="false">
      <c r="A267" s="51"/>
      <c r="B267" s="50"/>
      <c r="C267" s="62"/>
      <c r="D267" s="62"/>
      <c r="E267" s="53" t="str">
        <f aca="false">IF($B267="","",C267+D267)</f>
        <v/>
      </c>
      <c r="F267" s="62"/>
      <c r="G267" s="62"/>
      <c r="H267" s="32"/>
    </row>
    <row r="268" customFormat="false" ht="15" hidden="false" customHeight="false" outlineLevel="0" collapsed="false">
      <c r="A268" s="51"/>
      <c r="B268" s="50"/>
      <c r="C268" s="62"/>
      <c r="D268" s="62"/>
      <c r="E268" s="53" t="str">
        <f aca="false">IF($B268="","",C268+D268)</f>
        <v/>
      </c>
      <c r="F268" s="62"/>
      <c r="G268" s="62"/>
      <c r="H268" s="32"/>
    </row>
    <row r="269" customFormat="false" ht="15" hidden="false" customHeight="false" outlineLevel="0" collapsed="false">
      <c r="A269" s="51"/>
      <c r="B269" s="50"/>
      <c r="C269" s="62"/>
      <c r="D269" s="62"/>
      <c r="E269" s="53" t="str">
        <f aca="false">IF($B269="","",C269+D269)</f>
        <v/>
      </c>
      <c r="F269" s="62"/>
      <c r="G269" s="62"/>
      <c r="H269" s="32"/>
    </row>
    <row r="270" customFormat="false" ht="15" hidden="false" customHeight="false" outlineLevel="0" collapsed="false">
      <c r="A270" s="51"/>
      <c r="B270" s="50"/>
      <c r="C270" s="62"/>
      <c r="D270" s="62"/>
      <c r="E270" s="53" t="str">
        <f aca="false">IF($B270="","",C270+D270)</f>
        <v/>
      </c>
      <c r="F270" s="62"/>
      <c r="G270" s="62"/>
      <c r="H270" s="32"/>
    </row>
    <row r="271" customFormat="false" ht="15" hidden="false" customHeight="false" outlineLevel="0" collapsed="false">
      <c r="A271" s="51"/>
      <c r="B271" s="50"/>
      <c r="C271" s="62"/>
      <c r="D271" s="62"/>
      <c r="E271" s="53" t="str">
        <f aca="false">IF($B271="","",C271+D271)</f>
        <v/>
      </c>
      <c r="F271" s="62"/>
      <c r="G271" s="62"/>
      <c r="H271" s="32"/>
    </row>
    <row r="272" customFormat="false" ht="15" hidden="false" customHeight="false" outlineLevel="0" collapsed="false">
      <c r="A272" s="51"/>
      <c r="B272" s="50"/>
      <c r="C272" s="62"/>
      <c r="D272" s="62"/>
      <c r="E272" s="53" t="str">
        <f aca="false">IF($B272="","",C272+D272)</f>
        <v/>
      </c>
      <c r="F272" s="62"/>
      <c r="G272" s="62"/>
      <c r="H272" s="32"/>
    </row>
    <row r="273" customFormat="false" ht="15" hidden="false" customHeight="false" outlineLevel="0" collapsed="false">
      <c r="A273" s="51"/>
      <c r="B273" s="50"/>
      <c r="C273" s="62"/>
      <c r="D273" s="62"/>
      <c r="E273" s="53" t="str">
        <f aca="false">IF($B273="","",C273+D273)</f>
        <v/>
      </c>
      <c r="F273" s="62"/>
      <c r="G273" s="62"/>
      <c r="H273" s="32"/>
    </row>
    <row r="274" customFormat="false" ht="15" hidden="false" customHeight="false" outlineLevel="0" collapsed="false">
      <c r="A274" s="51"/>
      <c r="B274" s="50"/>
      <c r="C274" s="62"/>
      <c r="D274" s="62"/>
      <c r="E274" s="53" t="str">
        <f aca="false">IF($B274="","",C274+D274)</f>
        <v/>
      </c>
      <c r="F274" s="62"/>
      <c r="G274" s="62"/>
      <c r="H274" s="32"/>
    </row>
    <row r="275" customFormat="false" ht="15" hidden="false" customHeight="false" outlineLevel="0" collapsed="false">
      <c r="A275" s="51"/>
      <c r="B275" s="50"/>
      <c r="C275" s="62"/>
      <c r="D275" s="62"/>
      <c r="E275" s="53" t="str">
        <f aca="false">IF($B275="","",C275+D275)</f>
        <v/>
      </c>
      <c r="F275" s="62"/>
      <c r="G275" s="62"/>
      <c r="H275" s="32"/>
    </row>
    <row r="276" customFormat="false" ht="15" hidden="false" customHeight="false" outlineLevel="0" collapsed="false">
      <c r="A276" s="51"/>
      <c r="B276" s="50"/>
      <c r="C276" s="62"/>
      <c r="D276" s="62"/>
      <c r="E276" s="53" t="str">
        <f aca="false">IF($B276="","",C276+D276)</f>
        <v/>
      </c>
      <c r="F276" s="62"/>
      <c r="G276" s="62"/>
      <c r="H276" s="32"/>
    </row>
    <row r="277" customFormat="false" ht="15" hidden="false" customHeight="false" outlineLevel="0" collapsed="false">
      <c r="A277" s="51"/>
      <c r="B277" s="50"/>
      <c r="C277" s="62"/>
      <c r="D277" s="62"/>
      <c r="E277" s="53" t="str">
        <f aca="false">IF($B277="","",C277+D277)</f>
        <v/>
      </c>
      <c r="F277" s="62"/>
      <c r="G277" s="62"/>
      <c r="H277" s="32"/>
    </row>
    <row r="278" customFormat="false" ht="15" hidden="false" customHeight="false" outlineLevel="0" collapsed="false">
      <c r="A278" s="51"/>
      <c r="B278" s="50"/>
      <c r="C278" s="62"/>
      <c r="D278" s="62"/>
      <c r="E278" s="53" t="str">
        <f aca="false">IF($B278="","",C278+D278)</f>
        <v/>
      </c>
      <c r="F278" s="62"/>
      <c r="G278" s="62"/>
      <c r="H278" s="32"/>
    </row>
    <row r="279" customFormat="false" ht="15" hidden="false" customHeight="false" outlineLevel="0" collapsed="false">
      <c r="A279" s="51"/>
      <c r="B279" s="50"/>
      <c r="C279" s="62"/>
      <c r="D279" s="62"/>
      <c r="E279" s="53" t="str">
        <f aca="false">IF($B279="","",C279+D279)</f>
        <v/>
      </c>
      <c r="F279" s="62"/>
      <c r="G279" s="62"/>
      <c r="H279" s="32"/>
    </row>
    <row r="280" customFormat="false" ht="15" hidden="false" customHeight="false" outlineLevel="0" collapsed="false">
      <c r="A280" s="51"/>
      <c r="B280" s="50"/>
      <c r="C280" s="62"/>
      <c r="D280" s="62"/>
      <c r="E280" s="53" t="str">
        <f aca="false">IF($B280="","",C280+D280)</f>
        <v/>
      </c>
      <c r="F280" s="62"/>
      <c r="G280" s="62"/>
      <c r="H280" s="32"/>
    </row>
    <row r="281" customFormat="false" ht="15" hidden="false" customHeight="false" outlineLevel="0" collapsed="false">
      <c r="A281" s="51"/>
      <c r="B281" s="50"/>
      <c r="C281" s="62"/>
      <c r="D281" s="62"/>
      <c r="E281" s="53" t="str">
        <f aca="false">IF($B281="","",C281+D281)</f>
        <v/>
      </c>
      <c r="F281" s="62"/>
      <c r="G281" s="62"/>
      <c r="H281" s="32"/>
    </row>
    <row r="282" customFormat="false" ht="15" hidden="false" customHeight="false" outlineLevel="0" collapsed="false">
      <c r="A282" s="51"/>
      <c r="B282" s="50"/>
      <c r="C282" s="62"/>
      <c r="D282" s="62"/>
      <c r="E282" s="53" t="str">
        <f aca="false">IF($B282="","",C282+D282)</f>
        <v/>
      </c>
      <c r="F282" s="62"/>
      <c r="G282" s="62"/>
      <c r="H282" s="32"/>
    </row>
    <row r="283" customFormat="false" ht="15" hidden="false" customHeight="false" outlineLevel="0" collapsed="false">
      <c r="A283" s="51"/>
      <c r="B283" s="50"/>
      <c r="C283" s="62"/>
      <c r="D283" s="62"/>
      <c r="E283" s="53" t="str">
        <f aca="false">IF($B283="","",C283+D283)</f>
        <v/>
      </c>
      <c r="F283" s="62"/>
      <c r="G283" s="62"/>
      <c r="H283" s="32"/>
    </row>
    <row r="284" customFormat="false" ht="15" hidden="false" customHeight="false" outlineLevel="0" collapsed="false">
      <c r="A284" s="51"/>
      <c r="B284" s="50"/>
      <c r="C284" s="62"/>
      <c r="D284" s="62"/>
      <c r="E284" s="53" t="str">
        <f aca="false">IF($B284="","",C284+D284)</f>
        <v/>
      </c>
      <c r="F284" s="62"/>
      <c r="G284" s="62"/>
      <c r="H284" s="32"/>
    </row>
    <row r="285" customFormat="false" ht="15" hidden="false" customHeight="false" outlineLevel="0" collapsed="false">
      <c r="A285" s="51"/>
      <c r="B285" s="50"/>
      <c r="C285" s="62"/>
      <c r="D285" s="62"/>
      <c r="E285" s="53" t="str">
        <f aca="false">IF($B285="","",C285+D285)</f>
        <v/>
      </c>
      <c r="F285" s="62"/>
      <c r="G285" s="62"/>
      <c r="H285" s="32"/>
    </row>
    <row r="286" customFormat="false" ht="15" hidden="false" customHeight="false" outlineLevel="0" collapsed="false">
      <c r="A286" s="51"/>
      <c r="B286" s="50"/>
      <c r="C286" s="62"/>
      <c r="D286" s="62"/>
      <c r="E286" s="53" t="str">
        <f aca="false">IF($B286="","",C286+D286)</f>
        <v/>
      </c>
      <c r="F286" s="62"/>
      <c r="G286" s="62"/>
      <c r="H286" s="32"/>
    </row>
    <row r="287" customFormat="false" ht="15" hidden="false" customHeight="false" outlineLevel="0" collapsed="false">
      <c r="A287" s="51"/>
      <c r="B287" s="50"/>
      <c r="C287" s="62"/>
      <c r="D287" s="62"/>
      <c r="E287" s="53" t="str">
        <f aca="false">IF($B287="","",C287+D287)</f>
        <v/>
      </c>
      <c r="F287" s="62"/>
      <c r="G287" s="62"/>
      <c r="H287" s="32"/>
    </row>
    <row r="288" customFormat="false" ht="15" hidden="false" customHeight="false" outlineLevel="0" collapsed="false">
      <c r="A288" s="51"/>
      <c r="B288" s="50"/>
      <c r="C288" s="62"/>
      <c r="D288" s="62"/>
      <c r="E288" s="53" t="str">
        <f aca="false">IF($B288="","",C288+D288)</f>
        <v/>
      </c>
      <c r="F288" s="62"/>
      <c r="G288" s="62"/>
      <c r="H288" s="32"/>
    </row>
    <row r="289" customFormat="false" ht="15" hidden="false" customHeight="false" outlineLevel="0" collapsed="false">
      <c r="A289" s="51"/>
      <c r="B289" s="50"/>
      <c r="C289" s="62"/>
      <c r="D289" s="62"/>
      <c r="E289" s="53" t="str">
        <f aca="false">IF($B289="","",C289+D289)</f>
        <v/>
      </c>
      <c r="F289" s="62"/>
      <c r="G289" s="62"/>
      <c r="H289" s="32"/>
    </row>
    <row r="290" customFormat="false" ht="15" hidden="false" customHeight="false" outlineLevel="0" collapsed="false">
      <c r="A290" s="51"/>
      <c r="B290" s="50"/>
      <c r="C290" s="62"/>
      <c r="D290" s="62"/>
      <c r="E290" s="53" t="str">
        <f aca="false">IF($B290="","",C290+D290)</f>
        <v/>
      </c>
      <c r="F290" s="62"/>
      <c r="G290" s="62"/>
      <c r="H290" s="32"/>
    </row>
    <row r="291" customFormat="false" ht="15" hidden="false" customHeight="false" outlineLevel="0" collapsed="false">
      <c r="A291" s="51"/>
      <c r="B291" s="50"/>
      <c r="C291" s="62"/>
      <c r="D291" s="62"/>
      <c r="E291" s="53" t="str">
        <f aca="false">IF($B291="","",C291+D291)</f>
        <v/>
      </c>
      <c r="F291" s="62"/>
      <c r="G291" s="62"/>
      <c r="H291" s="32"/>
    </row>
    <row r="292" customFormat="false" ht="15" hidden="false" customHeight="false" outlineLevel="0" collapsed="false">
      <c r="A292" s="51"/>
      <c r="B292" s="50"/>
      <c r="C292" s="62"/>
      <c r="D292" s="62"/>
      <c r="E292" s="53" t="str">
        <f aca="false">IF($B292="","",C292+D292)</f>
        <v/>
      </c>
      <c r="F292" s="62"/>
      <c r="G292" s="62"/>
      <c r="H292" s="32"/>
    </row>
    <row r="293" customFormat="false" ht="15" hidden="false" customHeight="false" outlineLevel="0" collapsed="false">
      <c r="A293" s="51"/>
      <c r="B293" s="50"/>
      <c r="C293" s="62"/>
      <c r="D293" s="62"/>
      <c r="E293" s="53" t="str">
        <f aca="false">IF($B293="","",C293+D293)</f>
        <v/>
      </c>
      <c r="F293" s="62"/>
      <c r="G293" s="62"/>
      <c r="H293" s="32"/>
    </row>
    <row r="294" customFormat="false" ht="15" hidden="false" customHeight="false" outlineLevel="0" collapsed="false">
      <c r="A294" s="51"/>
      <c r="B294" s="50"/>
      <c r="C294" s="62"/>
      <c r="D294" s="62"/>
      <c r="E294" s="53" t="str">
        <f aca="false">IF($B294="","",C294+D294)</f>
        <v/>
      </c>
      <c r="F294" s="62"/>
      <c r="G294" s="62"/>
      <c r="H294" s="32"/>
    </row>
    <row r="295" customFormat="false" ht="15" hidden="false" customHeight="false" outlineLevel="0" collapsed="false">
      <c r="A295" s="51"/>
      <c r="B295" s="50"/>
      <c r="C295" s="62"/>
      <c r="D295" s="62"/>
      <c r="E295" s="53" t="str">
        <f aca="false">IF($B295="","",C295+D295)</f>
        <v/>
      </c>
      <c r="F295" s="62"/>
      <c r="G295" s="62"/>
      <c r="H295" s="32"/>
    </row>
    <row r="296" customFormat="false" ht="15" hidden="false" customHeight="false" outlineLevel="0" collapsed="false">
      <c r="A296" s="51"/>
      <c r="B296" s="50"/>
      <c r="C296" s="62"/>
      <c r="D296" s="62"/>
      <c r="E296" s="53" t="str">
        <f aca="false">IF($B296="","",C296+D296)</f>
        <v/>
      </c>
      <c r="F296" s="62"/>
      <c r="G296" s="62"/>
      <c r="H296" s="32"/>
    </row>
    <row r="297" customFormat="false" ht="15" hidden="false" customHeight="false" outlineLevel="0" collapsed="false">
      <c r="A297" s="51"/>
      <c r="B297" s="50"/>
      <c r="C297" s="62"/>
      <c r="D297" s="62"/>
      <c r="E297" s="53" t="str">
        <f aca="false">IF($B297="","",C297+D297)</f>
        <v/>
      </c>
      <c r="F297" s="62"/>
      <c r="G297" s="62"/>
      <c r="H297" s="32"/>
    </row>
    <row r="298" customFormat="false" ht="15" hidden="false" customHeight="false" outlineLevel="0" collapsed="false">
      <c r="A298" s="51"/>
      <c r="B298" s="50"/>
      <c r="C298" s="62"/>
      <c r="D298" s="62"/>
      <c r="E298" s="53" t="str">
        <f aca="false">IF($B298="","",C298+D298)</f>
        <v/>
      </c>
      <c r="F298" s="62"/>
      <c r="G298" s="62"/>
      <c r="H298" s="32"/>
    </row>
    <row r="299" customFormat="false" ht="15" hidden="false" customHeight="false" outlineLevel="0" collapsed="false">
      <c r="A299" s="51"/>
      <c r="B299" s="50"/>
      <c r="C299" s="62"/>
      <c r="D299" s="62"/>
      <c r="E299" s="53" t="str">
        <f aca="false">IF($B299="","",C299+D299)</f>
        <v/>
      </c>
      <c r="F299" s="62"/>
      <c r="G299" s="62"/>
      <c r="H299" s="32"/>
    </row>
    <row r="300" customFormat="false" ht="15" hidden="false" customHeight="false" outlineLevel="0" collapsed="false">
      <c r="A300" s="51"/>
      <c r="B300" s="50"/>
      <c r="C300" s="62"/>
      <c r="D300" s="62"/>
      <c r="E300" s="53" t="str">
        <f aca="false">IF($B300="","",C300+D300)</f>
        <v/>
      </c>
      <c r="F300" s="62"/>
      <c r="G300" s="62"/>
      <c r="H300" s="32"/>
    </row>
    <row r="301" customFormat="false" ht="15" hidden="false" customHeight="false" outlineLevel="0" collapsed="false">
      <c r="A301" s="51"/>
      <c r="B301" s="50"/>
      <c r="C301" s="62"/>
      <c r="D301" s="62"/>
      <c r="E301" s="53" t="str">
        <f aca="false">IF($B301="","",C301+D301)</f>
        <v/>
      </c>
      <c r="F301" s="62"/>
      <c r="G301" s="62"/>
      <c r="H301" s="32"/>
    </row>
    <row r="302" customFormat="false" ht="15" hidden="false" customHeight="false" outlineLevel="0" collapsed="false">
      <c r="A302" s="51"/>
      <c r="B302" s="50"/>
      <c r="C302" s="62"/>
      <c r="D302" s="62"/>
      <c r="E302" s="53" t="str">
        <f aca="false">IF($B302="","",C302+D302)</f>
        <v/>
      </c>
      <c r="F302" s="62"/>
      <c r="G302" s="62"/>
      <c r="H302" s="32"/>
    </row>
    <row r="303" customFormat="false" ht="15" hidden="false" customHeight="false" outlineLevel="0" collapsed="false">
      <c r="A303" s="51"/>
      <c r="B303" s="50"/>
      <c r="C303" s="62"/>
      <c r="D303" s="62"/>
      <c r="E303" s="53" t="str">
        <f aca="false">IF($B303="","",C303+D303)</f>
        <v/>
      </c>
      <c r="F303" s="62"/>
      <c r="G303" s="62"/>
      <c r="H303" s="32"/>
    </row>
    <row r="304" customFormat="false" ht="15" hidden="false" customHeight="false" outlineLevel="0" collapsed="false">
      <c r="A304" s="51"/>
      <c r="B304" s="50"/>
      <c r="C304" s="62"/>
      <c r="D304" s="62"/>
      <c r="E304" s="53" t="str">
        <f aca="false">IF($B304="","",C304+D304)</f>
        <v/>
      </c>
      <c r="F304" s="62"/>
      <c r="G304" s="62"/>
      <c r="H304" s="32"/>
    </row>
    <row r="305" customFormat="false" ht="15" hidden="false" customHeight="false" outlineLevel="0" collapsed="false">
      <c r="A305" s="51"/>
      <c r="B305" s="50"/>
      <c r="C305" s="62"/>
      <c r="D305" s="62"/>
      <c r="E305" s="53" t="str">
        <f aca="false">IF($B305="","",C305+D305)</f>
        <v/>
      </c>
      <c r="F305" s="62"/>
      <c r="G305" s="62"/>
      <c r="H305" s="32"/>
    </row>
    <row r="306" customFormat="false" ht="15" hidden="false" customHeight="false" outlineLevel="0" collapsed="false">
      <c r="A306" s="51"/>
      <c r="B306" s="50"/>
      <c r="C306" s="62"/>
      <c r="D306" s="62"/>
      <c r="E306" s="53" t="str">
        <f aca="false">IF($B306="","",C306+D306)</f>
        <v/>
      </c>
      <c r="F306" s="62"/>
      <c r="G306" s="62"/>
      <c r="H306" s="32"/>
    </row>
    <row r="307" customFormat="false" ht="15" hidden="false" customHeight="false" outlineLevel="0" collapsed="false">
      <c r="A307" s="51"/>
      <c r="B307" s="50"/>
      <c r="C307" s="62"/>
      <c r="D307" s="62"/>
      <c r="E307" s="53" t="str">
        <f aca="false">IF($B307="","",C307+D307)</f>
        <v/>
      </c>
      <c r="F307" s="62"/>
      <c r="G307" s="62"/>
      <c r="H307" s="32"/>
    </row>
    <row r="308" customFormat="false" ht="15" hidden="false" customHeight="false" outlineLevel="0" collapsed="false">
      <c r="A308" s="51"/>
      <c r="B308" s="50"/>
      <c r="C308" s="62"/>
      <c r="D308" s="62"/>
      <c r="E308" s="53" t="str">
        <f aca="false">IF($B308="","",C308+D308)</f>
        <v/>
      </c>
      <c r="F308" s="62"/>
      <c r="G308" s="62"/>
      <c r="H308" s="32"/>
    </row>
    <row r="309" customFormat="false" ht="15" hidden="false" customHeight="false" outlineLevel="0" collapsed="false">
      <c r="A309" s="51"/>
      <c r="B309" s="50"/>
      <c r="C309" s="62"/>
      <c r="D309" s="62"/>
      <c r="E309" s="53" t="str">
        <f aca="false">IF($B309="","",C309+D309)</f>
        <v/>
      </c>
      <c r="F309" s="62"/>
      <c r="G309" s="62"/>
      <c r="H309" s="32"/>
    </row>
    <row r="310" customFormat="false" ht="15" hidden="false" customHeight="false" outlineLevel="0" collapsed="false">
      <c r="A310" s="51"/>
      <c r="B310" s="50"/>
      <c r="C310" s="62"/>
      <c r="D310" s="62"/>
      <c r="E310" s="53" t="str">
        <f aca="false">IF($B310="","",C310+D310)</f>
        <v/>
      </c>
      <c r="F310" s="62"/>
      <c r="G310" s="62"/>
      <c r="H310" s="32"/>
    </row>
    <row r="311" customFormat="false" ht="15" hidden="false" customHeight="false" outlineLevel="0" collapsed="false">
      <c r="A311" s="51"/>
      <c r="B311" s="50"/>
      <c r="C311" s="62"/>
      <c r="D311" s="62"/>
      <c r="E311" s="53" t="str">
        <f aca="false">IF($B311="","",C311+D311)</f>
        <v/>
      </c>
      <c r="F311" s="62"/>
      <c r="G311" s="62"/>
      <c r="H311" s="32"/>
    </row>
    <row r="312" customFormat="false" ht="15" hidden="false" customHeight="false" outlineLevel="0" collapsed="false">
      <c r="A312" s="51"/>
      <c r="B312" s="50"/>
      <c r="C312" s="62"/>
      <c r="D312" s="62"/>
      <c r="E312" s="53" t="str">
        <f aca="false">IF($B312="","",C312+D312)</f>
        <v/>
      </c>
      <c r="F312" s="62"/>
      <c r="G312" s="62"/>
      <c r="H312" s="32"/>
    </row>
    <row r="313" customFormat="false" ht="15" hidden="false" customHeight="false" outlineLevel="0" collapsed="false">
      <c r="A313" s="51"/>
      <c r="B313" s="50"/>
      <c r="C313" s="62"/>
      <c r="D313" s="62"/>
      <c r="E313" s="53" t="str">
        <f aca="false">IF($B313="","",C313+D313)</f>
        <v/>
      </c>
      <c r="F313" s="62"/>
      <c r="G313" s="62"/>
      <c r="H313" s="32"/>
    </row>
    <row r="314" customFormat="false" ht="15" hidden="false" customHeight="false" outlineLevel="0" collapsed="false">
      <c r="A314" s="51"/>
      <c r="B314" s="50"/>
      <c r="C314" s="62"/>
      <c r="D314" s="62"/>
      <c r="E314" s="53" t="str">
        <f aca="false">IF($B314="","",C314+D314)</f>
        <v/>
      </c>
      <c r="F314" s="62"/>
      <c r="G314" s="62"/>
      <c r="H314" s="32"/>
    </row>
    <row r="315" customFormat="false" ht="15" hidden="false" customHeight="false" outlineLevel="0" collapsed="false">
      <c r="A315" s="51"/>
      <c r="B315" s="50"/>
      <c r="C315" s="62"/>
      <c r="D315" s="62"/>
      <c r="E315" s="53" t="str">
        <f aca="false">IF($B315="","",C315+D315)</f>
        <v/>
      </c>
      <c r="F315" s="62"/>
      <c r="G315" s="62"/>
      <c r="H315" s="32"/>
    </row>
    <row r="316" customFormat="false" ht="15" hidden="false" customHeight="false" outlineLevel="0" collapsed="false">
      <c r="A316" s="51"/>
      <c r="B316" s="50"/>
      <c r="C316" s="62"/>
      <c r="D316" s="62"/>
      <c r="E316" s="53" t="str">
        <f aca="false">IF($B316="","",C316+D316)</f>
        <v/>
      </c>
      <c r="F316" s="62"/>
      <c r="G316" s="62"/>
      <c r="H316" s="32"/>
    </row>
    <row r="317" customFormat="false" ht="15" hidden="false" customHeight="false" outlineLevel="0" collapsed="false">
      <c r="A317" s="51"/>
      <c r="B317" s="50"/>
      <c r="C317" s="62"/>
      <c r="D317" s="62"/>
      <c r="E317" s="53" t="str">
        <f aca="false">IF($B317="","",C317+D317)</f>
        <v/>
      </c>
      <c r="F317" s="62"/>
      <c r="G317" s="62"/>
      <c r="H317" s="32"/>
    </row>
    <row r="318" customFormat="false" ht="15" hidden="false" customHeight="false" outlineLevel="0" collapsed="false">
      <c r="A318" s="51"/>
      <c r="B318" s="50"/>
      <c r="C318" s="62"/>
      <c r="D318" s="62"/>
      <c r="E318" s="53" t="str">
        <f aca="false">IF($B318="","",C318+D318)</f>
        <v/>
      </c>
      <c r="F318" s="62"/>
      <c r="G318" s="62"/>
      <c r="H318" s="32"/>
    </row>
    <row r="319" customFormat="false" ht="15" hidden="false" customHeight="false" outlineLevel="0" collapsed="false">
      <c r="A319" s="51"/>
      <c r="B319" s="50"/>
      <c r="C319" s="62"/>
      <c r="D319" s="62"/>
      <c r="E319" s="53" t="str">
        <f aca="false">IF($B319="","",C319+D319)</f>
        <v/>
      </c>
      <c r="F319" s="62"/>
      <c r="G319" s="62"/>
      <c r="H319" s="32"/>
    </row>
    <row r="320" customFormat="false" ht="15" hidden="false" customHeight="false" outlineLevel="0" collapsed="false">
      <c r="A320" s="51"/>
      <c r="B320" s="50"/>
      <c r="C320" s="62"/>
      <c r="D320" s="62"/>
      <c r="E320" s="53" t="str">
        <f aca="false">IF($B320="","",C320+D320)</f>
        <v/>
      </c>
      <c r="F320" s="62"/>
      <c r="G320" s="62"/>
      <c r="H320" s="32"/>
    </row>
    <row r="321" customFormat="false" ht="15" hidden="false" customHeight="false" outlineLevel="0" collapsed="false">
      <c r="A321" s="51"/>
      <c r="B321" s="50"/>
      <c r="C321" s="62"/>
      <c r="D321" s="62"/>
      <c r="E321" s="53" t="str">
        <f aca="false">IF($B321="","",C321+D321)</f>
        <v/>
      </c>
      <c r="F321" s="62"/>
      <c r="G321" s="62"/>
      <c r="H321" s="32"/>
    </row>
    <row r="322" customFormat="false" ht="15" hidden="false" customHeight="false" outlineLevel="0" collapsed="false">
      <c r="A322" s="51"/>
      <c r="B322" s="50"/>
      <c r="C322" s="62"/>
      <c r="D322" s="62"/>
      <c r="E322" s="53" t="str">
        <f aca="false">IF($B322="","",C322+D322)</f>
        <v/>
      </c>
      <c r="F322" s="62"/>
      <c r="G322" s="62"/>
      <c r="H322" s="32"/>
    </row>
    <row r="323" customFormat="false" ht="15" hidden="false" customHeight="false" outlineLevel="0" collapsed="false">
      <c r="A323" s="51"/>
      <c r="B323" s="50"/>
      <c r="C323" s="62"/>
      <c r="D323" s="62"/>
      <c r="E323" s="53" t="str">
        <f aca="false">IF($B323="","",C323+D323)</f>
        <v/>
      </c>
      <c r="F323" s="62"/>
      <c r="G323" s="62"/>
      <c r="H323" s="32"/>
    </row>
    <row r="324" customFormat="false" ht="15" hidden="false" customHeight="false" outlineLevel="0" collapsed="false">
      <c r="A324" s="51"/>
      <c r="B324" s="50"/>
      <c r="C324" s="62"/>
      <c r="D324" s="62"/>
      <c r="E324" s="53" t="str">
        <f aca="false">IF($B324="","",C324+D324)</f>
        <v/>
      </c>
      <c r="F324" s="62"/>
      <c r="G324" s="62"/>
      <c r="H324" s="32"/>
    </row>
    <row r="325" customFormat="false" ht="15" hidden="false" customHeight="false" outlineLevel="0" collapsed="false">
      <c r="A325" s="51"/>
      <c r="B325" s="50"/>
      <c r="C325" s="62"/>
      <c r="D325" s="62"/>
      <c r="E325" s="53" t="str">
        <f aca="false">IF($B325="","",C325+D325)</f>
        <v/>
      </c>
      <c r="F325" s="62"/>
      <c r="G325" s="62"/>
      <c r="H325" s="32"/>
    </row>
    <row r="326" customFormat="false" ht="15" hidden="false" customHeight="false" outlineLevel="0" collapsed="false">
      <c r="A326" s="51"/>
      <c r="B326" s="50"/>
      <c r="C326" s="62"/>
      <c r="D326" s="62"/>
      <c r="E326" s="53" t="str">
        <f aca="false">IF($B326="","",C326+D326)</f>
        <v/>
      </c>
      <c r="F326" s="62"/>
      <c r="G326" s="62"/>
      <c r="H326" s="32"/>
    </row>
    <row r="327" customFormat="false" ht="15" hidden="false" customHeight="false" outlineLevel="0" collapsed="false">
      <c r="A327" s="51"/>
      <c r="B327" s="50"/>
      <c r="C327" s="62"/>
      <c r="D327" s="62"/>
      <c r="E327" s="53" t="str">
        <f aca="false">IF($B327="","",C327+D327)</f>
        <v/>
      </c>
      <c r="F327" s="62"/>
      <c r="G327" s="62"/>
      <c r="H327" s="32"/>
    </row>
    <row r="328" customFormat="false" ht="15" hidden="false" customHeight="false" outlineLevel="0" collapsed="false">
      <c r="A328" s="51"/>
      <c r="B328" s="50"/>
      <c r="C328" s="62"/>
      <c r="D328" s="62"/>
      <c r="E328" s="53" t="str">
        <f aca="false">IF($B328="","",C328+D328)</f>
        <v/>
      </c>
      <c r="F328" s="62"/>
      <c r="G328" s="62"/>
      <c r="H328" s="32"/>
    </row>
    <row r="329" customFormat="false" ht="15" hidden="false" customHeight="false" outlineLevel="0" collapsed="false">
      <c r="A329" s="51"/>
      <c r="B329" s="50"/>
      <c r="C329" s="62"/>
      <c r="D329" s="62"/>
      <c r="E329" s="53" t="str">
        <f aca="false">IF($B329="","",C329+D329)</f>
        <v/>
      </c>
      <c r="F329" s="62"/>
      <c r="G329" s="62"/>
      <c r="H329" s="32"/>
    </row>
    <row r="330" customFormat="false" ht="15" hidden="false" customHeight="false" outlineLevel="0" collapsed="false">
      <c r="A330" s="51"/>
      <c r="B330" s="50"/>
      <c r="C330" s="62"/>
      <c r="D330" s="62"/>
      <c r="E330" s="53" t="str">
        <f aca="false">IF($B330="","",C330+D330)</f>
        <v/>
      </c>
      <c r="F330" s="62"/>
      <c r="G330" s="62"/>
      <c r="H330" s="32"/>
    </row>
    <row r="331" customFormat="false" ht="15" hidden="false" customHeight="false" outlineLevel="0" collapsed="false">
      <c r="A331" s="51"/>
      <c r="B331" s="50"/>
      <c r="C331" s="62"/>
      <c r="D331" s="62"/>
      <c r="E331" s="53" t="str">
        <f aca="false">IF($B331="","",C331+D331)</f>
        <v/>
      </c>
      <c r="F331" s="62"/>
      <c r="G331" s="62"/>
      <c r="H331" s="32"/>
    </row>
    <row r="332" customFormat="false" ht="15" hidden="false" customHeight="false" outlineLevel="0" collapsed="false">
      <c r="A332" s="51"/>
      <c r="B332" s="50"/>
      <c r="C332" s="62"/>
      <c r="D332" s="62"/>
      <c r="E332" s="53" t="str">
        <f aca="false">IF($B332="","",C332+D332)</f>
        <v/>
      </c>
      <c r="F332" s="62"/>
      <c r="G332" s="62"/>
      <c r="H332" s="32"/>
    </row>
    <row r="333" customFormat="false" ht="15" hidden="false" customHeight="false" outlineLevel="0" collapsed="false">
      <c r="A333" s="51"/>
      <c r="B333" s="50"/>
      <c r="C333" s="62"/>
      <c r="D333" s="62"/>
      <c r="E333" s="53" t="str">
        <f aca="false">IF($B333="","",C333+D333)</f>
        <v/>
      </c>
      <c r="F333" s="62"/>
      <c r="G333" s="62"/>
      <c r="H333" s="32"/>
    </row>
    <row r="334" customFormat="false" ht="15" hidden="false" customHeight="false" outlineLevel="0" collapsed="false">
      <c r="A334" s="51"/>
      <c r="B334" s="50"/>
      <c r="C334" s="62"/>
      <c r="D334" s="62"/>
      <c r="E334" s="53" t="str">
        <f aca="false">IF($B334="","",C334+D334)</f>
        <v/>
      </c>
      <c r="F334" s="62"/>
      <c r="G334" s="62"/>
      <c r="H334" s="32"/>
    </row>
    <row r="335" customFormat="false" ht="15" hidden="false" customHeight="false" outlineLevel="0" collapsed="false">
      <c r="A335" s="51"/>
      <c r="B335" s="50"/>
      <c r="C335" s="62"/>
      <c r="D335" s="62"/>
      <c r="E335" s="53" t="str">
        <f aca="false">IF($B335="","",C335+D335)</f>
        <v/>
      </c>
      <c r="F335" s="62"/>
      <c r="G335" s="62"/>
      <c r="H335" s="32"/>
    </row>
    <row r="336" customFormat="false" ht="15" hidden="false" customHeight="false" outlineLevel="0" collapsed="false">
      <c r="A336" s="51"/>
      <c r="B336" s="50"/>
      <c r="C336" s="62"/>
      <c r="D336" s="62"/>
      <c r="E336" s="53" t="str">
        <f aca="false">IF($B336="","",C336+D336)</f>
        <v/>
      </c>
      <c r="F336" s="62"/>
      <c r="G336" s="62"/>
      <c r="H336" s="32"/>
    </row>
    <row r="337" customFormat="false" ht="15" hidden="false" customHeight="false" outlineLevel="0" collapsed="false">
      <c r="A337" s="51"/>
      <c r="B337" s="50"/>
      <c r="C337" s="62"/>
      <c r="D337" s="62"/>
      <c r="E337" s="53" t="str">
        <f aca="false">IF($B337="","",C337+D337)</f>
        <v/>
      </c>
      <c r="F337" s="62"/>
      <c r="G337" s="62"/>
      <c r="H337" s="32"/>
    </row>
    <row r="338" customFormat="false" ht="15" hidden="false" customHeight="false" outlineLevel="0" collapsed="false">
      <c r="A338" s="51"/>
      <c r="B338" s="50"/>
      <c r="C338" s="62"/>
      <c r="D338" s="62"/>
      <c r="E338" s="53" t="str">
        <f aca="false">IF($B338="","",C338+D338)</f>
        <v/>
      </c>
      <c r="F338" s="62"/>
      <c r="G338" s="62"/>
      <c r="H338" s="32"/>
    </row>
    <row r="339" customFormat="false" ht="15" hidden="false" customHeight="false" outlineLevel="0" collapsed="false">
      <c r="A339" s="51"/>
      <c r="B339" s="50"/>
      <c r="C339" s="62"/>
      <c r="D339" s="62"/>
      <c r="E339" s="53" t="str">
        <f aca="false">IF($B339="","",C339+D339)</f>
        <v/>
      </c>
      <c r="F339" s="62"/>
      <c r="G339" s="62"/>
      <c r="H339" s="32"/>
    </row>
    <row r="340" customFormat="false" ht="15" hidden="false" customHeight="false" outlineLevel="0" collapsed="false">
      <c r="A340" s="51"/>
      <c r="B340" s="50"/>
      <c r="C340" s="62"/>
      <c r="D340" s="62"/>
      <c r="E340" s="53" t="str">
        <f aca="false">IF($B340="","",C340+D340)</f>
        <v/>
      </c>
      <c r="F340" s="62"/>
      <c r="G340" s="62"/>
      <c r="H340" s="32"/>
    </row>
    <row r="341" customFormat="false" ht="15" hidden="false" customHeight="false" outlineLevel="0" collapsed="false">
      <c r="A341" s="51"/>
      <c r="B341" s="50"/>
      <c r="C341" s="62"/>
      <c r="D341" s="62"/>
      <c r="E341" s="53" t="str">
        <f aca="false">IF($B341="","",C341+D341)</f>
        <v/>
      </c>
      <c r="F341" s="62"/>
      <c r="G341" s="62"/>
      <c r="H341" s="32"/>
    </row>
    <row r="342" customFormat="false" ht="15" hidden="false" customHeight="false" outlineLevel="0" collapsed="false">
      <c r="A342" s="51"/>
      <c r="B342" s="50"/>
      <c r="C342" s="62"/>
      <c r="D342" s="62"/>
      <c r="E342" s="53" t="str">
        <f aca="false">IF($B342="","",C342+D342)</f>
        <v/>
      </c>
      <c r="F342" s="62"/>
      <c r="G342" s="62"/>
      <c r="H342" s="32"/>
    </row>
    <row r="343" customFormat="false" ht="15" hidden="false" customHeight="false" outlineLevel="0" collapsed="false">
      <c r="A343" s="51"/>
      <c r="B343" s="50"/>
      <c r="C343" s="62"/>
      <c r="D343" s="62"/>
      <c r="E343" s="53" t="str">
        <f aca="false">IF($B343="","",C343+D343)</f>
        <v/>
      </c>
      <c r="F343" s="62"/>
      <c r="G343" s="62"/>
      <c r="H343" s="32"/>
    </row>
    <row r="344" customFormat="false" ht="15" hidden="false" customHeight="false" outlineLevel="0" collapsed="false">
      <c r="A344" s="51"/>
      <c r="B344" s="50"/>
      <c r="C344" s="62"/>
      <c r="D344" s="62"/>
      <c r="E344" s="53" t="str">
        <f aca="false">IF($B344="","",C344+D344)</f>
        <v/>
      </c>
      <c r="F344" s="62"/>
      <c r="G344" s="62"/>
      <c r="H344" s="32"/>
    </row>
    <row r="345" customFormat="false" ht="15" hidden="false" customHeight="false" outlineLevel="0" collapsed="false">
      <c r="A345" s="51"/>
      <c r="B345" s="50"/>
      <c r="C345" s="62"/>
      <c r="D345" s="62"/>
      <c r="E345" s="53" t="str">
        <f aca="false">IF($B345="","",C345+D345)</f>
        <v/>
      </c>
      <c r="F345" s="62"/>
      <c r="G345" s="62"/>
      <c r="H345" s="32"/>
    </row>
    <row r="346" customFormat="false" ht="15" hidden="false" customHeight="false" outlineLevel="0" collapsed="false">
      <c r="A346" s="51"/>
      <c r="B346" s="50"/>
      <c r="C346" s="62"/>
      <c r="D346" s="62"/>
      <c r="E346" s="53" t="str">
        <f aca="false">IF($B346="","",C346+D346)</f>
        <v/>
      </c>
      <c r="F346" s="62"/>
      <c r="G346" s="62"/>
      <c r="H346" s="32"/>
    </row>
    <row r="347" customFormat="false" ht="15" hidden="false" customHeight="false" outlineLevel="0" collapsed="false">
      <c r="A347" s="51"/>
      <c r="B347" s="50"/>
      <c r="C347" s="62"/>
      <c r="D347" s="62"/>
      <c r="E347" s="53" t="str">
        <f aca="false">IF($B347="","",C347+D347)</f>
        <v/>
      </c>
      <c r="F347" s="62"/>
      <c r="G347" s="62"/>
      <c r="H347" s="32"/>
    </row>
    <row r="348" customFormat="false" ht="15" hidden="false" customHeight="false" outlineLevel="0" collapsed="false">
      <c r="A348" s="51"/>
      <c r="B348" s="50"/>
      <c r="C348" s="62"/>
      <c r="D348" s="62"/>
      <c r="E348" s="53" t="str">
        <f aca="false">IF($B348="","",C348+D348)</f>
        <v/>
      </c>
      <c r="F348" s="62"/>
      <c r="G348" s="62"/>
      <c r="H348" s="32"/>
    </row>
    <row r="349" customFormat="false" ht="15" hidden="false" customHeight="false" outlineLevel="0" collapsed="false">
      <c r="A349" s="51"/>
      <c r="B349" s="50"/>
      <c r="C349" s="62"/>
      <c r="D349" s="62"/>
      <c r="E349" s="53" t="str">
        <f aca="false">IF($B349="","",C349+D349)</f>
        <v/>
      </c>
      <c r="F349" s="62"/>
      <c r="G349" s="62"/>
      <c r="H349" s="32"/>
    </row>
    <row r="350" customFormat="false" ht="15" hidden="false" customHeight="false" outlineLevel="0" collapsed="false">
      <c r="A350" s="51"/>
      <c r="B350" s="50"/>
      <c r="C350" s="62"/>
      <c r="D350" s="62"/>
      <c r="E350" s="53" t="str">
        <f aca="false">IF($B350="","",C350+D350)</f>
        <v/>
      </c>
      <c r="F350" s="62"/>
      <c r="G350" s="62"/>
      <c r="H350" s="32"/>
    </row>
    <row r="351" customFormat="false" ht="15" hidden="false" customHeight="false" outlineLevel="0" collapsed="false">
      <c r="A351" s="51"/>
      <c r="B351" s="50"/>
      <c r="C351" s="62"/>
      <c r="D351" s="62"/>
      <c r="E351" s="53" t="str">
        <f aca="false">IF($B351="","",C351+D351)</f>
        <v/>
      </c>
      <c r="F351" s="62"/>
      <c r="G351" s="62"/>
      <c r="H351" s="32"/>
    </row>
    <row r="352" customFormat="false" ht="15" hidden="false" customHeight="false" outlineLevel="0" collapsed="false">
      <c r="A352" s="51"/>
      <c r="B352" s="50"/>
      <c r="C352" s="62"/>
      <c r="D352" s="62"/>
      <c r="E352" s="53" t="str">
        <f aca="false">IF($B352="","",C352+D352)</f>
        <v/>
      </c>
      <c r="F352" s="62"/>
      <c r="G352" s="62"/>
      <c r="H352" s="32"/>
    </row>
    <row r="353" customFormat="false" ht="15" hidden="false" customHeight="false" outlineLevel="0" collapsed="false">
      <c r="A353" s="51"/>
      <c r="B353" s="50"/>
      <c r="C353" s="62"/>
      <c r="D353" s="62"/>
      <c r="E353" s="53" t="str">
        <f aca="false">IF($B353="","",C353+D353)</f>
        <v/>
      </c>
      <c r="F353" s="62"/>
      <c r="G353" s="62"/>
      <c r="H353" s="32"/>
    </row>
    <row r="354" customFormat="false" ht="15" hidden="false" customHeight="false" outlineLevel="0" collapsed="false">
      <c r="A354" s="51"/>
      <c r="B354" s="50"/>
      <c r="C354" s="62"/>
      <c r="D354" s="62"/>
      <c r="E354" s="53" t="str">
        <f aca="false">IF($B354="","",C354+D354)</f>
        <v/>
      </c>
      <c r="F354" s="62"/>
      <c r="G354" s="62"/>
      <c r="H354" s="32"/>
    </row>
    <row r="355" customFormat="false" ht="15" hidden="false" customHeight="false" outlineLevel="0" collapsed="false">
      <c r="A355" s="51"/>
      <c r="B355" s="50"/>
      <c r="C355" s="62"/>
      <c r="D355" s="62"/>
      <c r="E355" s="53" t="str">
        <f aca="false">IF($B355="","",C355+D355)</f>
        <v/>
      </c>
      <c r="F355" s="62"/>
      <c r="G355" s="62"/>
      <c r="H355" s="32"/>
    </row>
    <row r="356" customFormat="false" ht="15" hidden="false" customHeight="false" outlineLevel="0" collapsed="false">
      <c r="A356" s="51"/>
      <c r="B356" s="50"/>
      <c r="C356" s="62"/>
      <c r="D356" s="62"/>
      <c r="E356" s="53" t="str">
        <f aca="false">IF($B356="","",C356+D356)</f>
        <v/>
      </c>
      <c r="F356" s="62"/>
      <c r="G356" s="62"/>
      <c r="H356" s="32"/>
    </row>
    <row r="357" customFormat="false" ht="15" hidden="false" customHeight="false" outlineLevel="0" collapsed="false">
      <c r="A357" s="51"/>
      <c r="B357" s="50"/>
      <c r="C357" s="62"/>
      <c r="D357" s="62"/>
      <c r="E357" s="53" t="str">
        <f aca="false">IF($B357="","",C357+D357)</f>
        <v/>
      </c>
      <c r="F357" s="62"/>
      <c r="G357" s="62"/>
      <c r="H357" s="32"/>
    </row>
    <row r="358" customFormat="false" ht="15" hidden="false" customHeight="false" outlineLevel="0" collapsed="false">
      <c r="A358" s="51"/>
      <c r="B358" s="50"/>
      <c r="C358" s="62"/>
      <c r="D358" s="62"/>
      <c r="E358" s="53" t="str">
        <f aca="false">IF($B358="","",C358+D358)</f>
        <v/>
      </c>
      <c r="F358" s="62"/>
      <c r="G358" s="62"/>
      <c r="H358" s="32"/>
    </row>
    <row r="359" customFormat="false" ht="15" hidden="false" customHeight="false" outlineLevel="0" collapsed="false">
      <c r="A359" s="51"/>
      <c r="B359" s="50"/>
      <c r="C359" s="62"/>
      <c r="D359" s="62"/>
      <c r="E359" s="53" t="str">
        <f aca="false">IF($B359="","",C359+D359)</f>
        <v/>
      </c>
      <c r="F359" s="62"/>
      <c r="G359" s="62"/>
      <c r="H359" s="32"/>
    </row>
    <row r="360" customFormat="false" ht="15" hidden="false" customHeight="false" outlineLevel="0" collapsed="false">
      <c r="A360" s="51"/>
      <c r="B360" s="50"/>
      <c r="C360" s="62"/>
      <c r="D360" s="62"/>
      <c r="E360" s="53" t="str">
        <f aca="false">IF($B360="","",C360+D360)</f>
        <v/>
      </c>
      <c r="F360" s="62"/>
      <c r="G360" s="62"/>
      <c r="H360" s="32"/>
    </row>
    <row r="361" customFormat="false" ht="15" hidden="false" customHeight="false" outlineLevel="0" collapsed="false">
      <c r="A361" s="51"/>
      <c r="B361" s="50"/>
      <c r="C361" s="62"/>
      <c r="D361" s="62"/>
      <c r="E361" s="53" t="str">
        <f aca="false">IF($B361="","",C361+D361)</f>
        <v/>
      </c>
      <c r="F361" s="62"/>
      <c r="G361" s="62"/>
      <c r="H361" s="32"/>
    </row>
    <row r="362" customFormat="false" ht="15" hidden="false" customHeight="false" outlineLevel="0" collapsed="false">
      <c r="A362" s="51"/>
      <c r="B362" s="50"/>
      <c r="C362" s="62"/>
      <c r="D362" s="62"/>
      <c r="E362" s="53" t="str">
        <f aca="false">IF($B362="","",C362+D362)</f>
        <v/>
      </c>
      <c r="F362" s="62"/>
      <c r="G362" s="62"/>
      <c r="H362" s="32"/>
    </row>
    <row r="363" customFormat="false" ht="15" hidden="false" customHeight="false" outlineLevel="0" collapsed="false">
      <c r="A363" s="51"/>
      <c r="B363" s="50"/>
      <c r="C363" s="62"/>
      <c r="D363" s="62"/>
      <c r="E363" s="53" t="str">
        <f aca="false">IF($B363="","",C363+D363)</f>
        <v/>
      </c>
      <c r="F363" s="62"/>
      <c r="G363" s="62"/>
      <c r="H363" s="32"/>
    </row>
    <row r="364" customFormat="false" ht="15" hidden="false" customHeight="false" outlineLevel="0" collapsed="false">
      <c r="A364" s="51"/>
      <c r="B364" s="50"/>
      <c r="C364" s="62"/>
      <c r="D364" s="62"/>
      <c r="E364" s="53" t="str">
        <f aca="false">IF($B364="","",C364+D364)</f>
        <v/>
      </c>
      <c r="F364" s="62"/>
      <c r="G364" s="62"/>
      <c r="H364" s="32"/>
    </row>
    <row r="365" customFormat="false" ht="15" hidden="false" customHeight="false" outlineLevel="0" collapsed="false">
      <c r="A365" s="51"/>
      <c r="B365" s="50"/>
      <c r="C365" s="62"/>
      <c r="D365" s="62"/>
      <c r="E365" s="53" t="str">
        <f aca="false">IF($B365="","",C365+D365)</f>
        <v/>
      </c>
      <c r="F365" s="62"/>
      <c r="G365" s="62"/>
      <c r="H365" s="32"/>
    </row>
    <row r="366" customFormat="false" ht="15" hidden="false" customHeight="false" outlineLevel="0" collapsed="false">
      <c r="A366" s="51"/>
      <c r="B366" s="50"/>
      <c r="C366" s="62"/>
      <c r="D366" s="62"/>
      <c r="E366" s="53" t="str">
        <f aca="false">IF($B366="","",C366+D366)</f>
        <v/>
      </c>
      <c r="F366" s="62"/>
      <c r="G366" s="62"/>
      <c r="H366" s="32"/>
    </row>
    <row r="367" customFormat="false" ht="15" hidden="false" customHeight="false" outlineLevel="0" collapsed="false">
      <c r="A367" s="51"/>
      <c r="B367" s="50"/>
      <c r="C367" s="62"/>
      <c r="D367" s="62"/>
      <c r="E367" s="53" t="str">
        <f aca="false">IF($B367="","",C367+D367)</f>
        <v/>
      </c>
      <c r="F367" s="62"/>
      <c r="G367" s="62"/>
      <c r="H367" s="32"/>
    </row>
    <row r="368" customFormat="false" ht="15" hidden="false" customHeight="false" outlineLevel="0" collapsed="false">
      <c r="A368" s="51"/>
      <c r="B368" s="50"/>
      <c r="C368" s="62"/>
      <c r="D368" s="62"/>
      <c r="E368" s="53" t="str">
        <f aca="false">IF($B368="","",C368+D368)</f>
        <v/>
      </c>
      <c r="F368" s="62"/>
      <c r="G368" s="62"/>
      <c r="H368" s="32"/>
    </row>
    <row r="369" customFormat="false" ht="15" hidden="false" customHeight="false" outlineLevel="0" collapsed="false">
      <c r="A369" s="51"/>
      <c r="B369" s="50"/>
      <c r="C369" s="62"/>
      <c r="D369" s="62"/>
      <c r="E369" s="53" t="str">
        <f aca="false">IF($B369="","",C369+D369)</f>
        <v/>
      </c>
      <c r="F369" s="62"/>
      <c r="G369" s="62"/>
      <c r="H369" s="32"/>
    </row>
    <row r="370" customFormat="false" ht="15" hidden="false" customHeight="false" outlineLevel="0" collapsed="false">
      <c r="A370" s="51"/>
      <c r="B370" s="50"/>
      <c r="C370" s="62"/>
      <c r="D370" s="62"/>
      <c r="E370" s="53" t="str">
        <f aca="false">IF($B370="","",C370+D370)</f>
        <v/>
      </c>
      <c r="F370" s="62"/>
      <c r="G370" s="62"/>
      <c r="H370" s="32"/>
    </row>
    <row r="371" customFormat="false" ht="15" hidden="false" customHeight="false" outlineLevel="0" collapsed="false">
      <c r="A371" s="51"/>
      <c r="B371" s="50"/>
      <c r="C371" s="62"/>
      <c r="D371" s="62"/>
      <c r="E371" s="53" t="str">
        <f aca="false">IF($B371="","",C371+D371)</f>
        <v/>
      </c>
      <c r="F371" s="62"/>
      <c r="G371" s="62"/>
      <c r="H371" s="32"/>
    </row>
    <row r="372" customFormat="false" ht="15" hidden="false" customHeight="false" outlineLevel="0" collapsed="false">
      <c r="A372" s="51"/>
      <c r="B372" s="50"/>
      <c r="C372" s="62"/>
      <c r="D372" s="62"/>
      <c r="E372" s="53" t="str">
        <f aca="false">IF($B372="","",C372+D372)</f>
        <v/>
      </c>
      <c r="F372" s="62"/>
      <c r="G372" s="62"/>
      <c r="H372" s="32"/>
    </row>
    <row r="373" customFormat="false" ht="15" hidden="false" customHeight="false" outlineLevel="0" collapsed="false">
      <c r="A373" s="51"/>
      <c r="B373" s="50"/>
      <c r="C373" s="62"/>
      <c r="D373" s="62"/>
      <c r="E373" s="53" t="str">
        <f aca="false">IF($B373="","",C373+D373)</f>
        <v/>
      </c>
      <c r="F373" s="62"/>
      <c r="G373" s="62"/>
      <c r="H373" s="32"/>
    </row>
    <row r="374" customFormat="false" ht="15" hidden="false" customHeight="false" outlineLevel="0" collapsed="false">
      <c r="A374" s="51"/>
      <c r="B374" s="50"/>
      <c r="C374" s="62"/>
      <c r="D374" s="62"/>
      <c r="E374" s="53" t="str">
        <f aca="false">IF($B374="","",C374+D374)</f>
        <v/>
      </c>
      <c r="F374" s="62"/>
      <c r="G374" s="62"/>
      <c r="H374" s="32"/>
    </row>
    <row r="375" customFormat="false" ht="15" hidden="false" customHeight="false" outlineLevel="0" collapsed="false">
      <c r="A375" s="51"/>
      <c r="B375" s="50"/>
      <c r="C375" s="62"/>
      <c r="D375" s="62"/>
      <c r="E375" s="53" t="str">
        <f aca="false">IF($B375="","",C375+D375)</f>
        <v/>
      </c>
      <c r="F375" s="62"/>
      <c r="G375" s="62"/>
      <c r="H375" s="32"/>
    </row>
    <row r="376" customFormat="false" ht="15" hidden="false" customHeight="false" outlineLevel="0" collapsed="false">
      <c r="A376" s="51"/>
      <c r="B376" s="50"/>
      <c r="C376" s="62"/>
      <c r="D376" s="62"/>
      <c r="E376" s="53" t="str">
        <f aca="false">IF($B376="","",C376+D376)</f>
        <v/>
      </c>
      <c r="F376" s="62"/>
      <c r="G376" s="62"/>
      <c r="H376" s="32"/>
    </row>
    <row r="377" customFormat="false" ht="15" hidden="false" customHeight="false" outlineLevel="0" collapsed="false">
      <c r="A377" s="51"/>
      <c r="B377" s="50"/>
      <c r="C377" s="62"/>
      <c r="D377" s="62"/>
      <c r="E377" s="53" t="str">
        <f aca="false">IF($B377="","",C377+D377)</f>
        <v/>
      </c>
      <c r="F377" s="62"/>
      <c r="G377" s="62"/>
      <c r="H377" s="32"/>
    </row>
    <row r="378" customFormat="false" ht="15" hidden="false" customHeight="false" outlineLevel="0" collapsed="false">
      <c r="A378" s="51"/>
      <c r="B378" s="50"/>
      <c r="C378" s="62"/>
      <c r="D378" s="62"/>
      <c r="E378" s="53" t="str">
        <f aca="false">IF($B378="","",C378+D378)</f>
        <v/>
      </c>
      <c r="F378" s="62"/>
      <c r="G378" s="62"/>
      <c r="H378" s="32"/>
    </row>
    <row r="379" customFormat="false" ht="15" hidden="false" customHeight="false" outlineLevel="0" collapsed="false">
      <c r="A379" s="51"/>
      <c r="B379" s="50"/>
      <c r="C379" s="62"/>
      <c r="D379" s="62"/>
      <c r="E379" s="53" t="str">
        <f aca="false">IF($B379="","",C379+D379)</f>
        <v/>
      </c>
      <c r="F379" s="62"/>
      <c r="G379" s="62"/>
      <c r="H379" s="32"/>
    </row>
    <row r="380" customFormat="false" ht="15" hidden="false" customHeight="false" outlineLevel="0" collapsed="false">
      <c r="A380" s="51"/>
      <c r="B380" s="50"/>
      <c r="C380" s="62"/>
      <c r="D380" s="62"/>
      <c r="E380" s="53" t="str">
        <f aca="false">IF($B380="","",C380+D380)</f>
        <v/>
      </c>
      <c r="F380" s="62"/>
      <c r="G380" s="62"/>
      <c r="H380" s="32"/>
    </row>
    <row r="381" customFormat="false" ht="15" hidden="false" customHeight="false" outlineLevel="0" collapsed="false">
      <c r="A381" s="51"/>
      <c r="B381" s="50"/>
      <c r="C381" s="62"/>
      <c r="D381" s="62"/>
      <c r="E381" s="53" t="str">
        <f aca="false">IF($B381="","",C381+D381)</f>
        <v/>
      </c>
      <c r="F381" s="62"/>
      <c r="G381" s="62"/>
      <c r="H381" s="32"/>
    </row>
    <row r="382" customFormat="false" ht="15" hidden="false" customHeight="false" outlineLevel="0" collapsed="false">
      <c r="A382" s="51"/>
      <c r="B382" s="50"/>
      <c r="C382" s="62"/>
      <c r="D382" s="62"/>
      <c r="E382" s="53" t="str">
        <f aca="false">IF($B382="","",C382+D382)</f>
        <v/>
      </c>
      <c r="F382" s="62"/>
      <c r="G382" s="62"/>
      <c r="H382" s="32"/>
    </row>
    <row r="383" customFormat="false" ht="15" hidden="false" customHeight="false" outlineLevel="0" collapsed="false">
      <c r="A383" s="51"/>
      <c r="B383" s="50"/>
      <c r="C383" s="62"/>
      <c r="D383" s="62"/>
      <c r="E383" s="53" t="str">
        <f aca="false">IF($B383="","",C383+D383)</f>
        <v/>
      </c>
      <c r="F383" s="62"/>
      <c r="G383" s="62"/>
      <c r="H383" s="32"/>
    </row>
    <row r="384" customFormat="false" ht="15" hidden="false" customHeight="false" outlineLevel="0" collapsed="false">
      <c r="A384" s="51"/>
      <c r="B384" s="50"/>
      <c r="C384" s="62"/>
      <c r="D384" s="62"/>
      <c r="E384" s="53" t="str">
        <f aca="false">IF($B384="","",C384+D384)</f>
        <v/>
      </c>
      <c r="F384" s="62"/>
      <c r="G384" s="62"/>
      <c r="H384" s="32"/>
    </row>
    <row r="385" customFormat="false" ht="15" hidden="false" customHeight="false" outlineLevel="0" collapsed="false">
      <c r="A385" s="51"/>
      <c r="B385" s="50"/>
      <c r="C385" s="62"/>
      <c r="D385" s="62"/>
      <c r="E385" s="53" t="str">
        <f aca="false">IF($B385="","",C385+D385)</f>
        <v/>
      </c>
      <c r="F385" s="62"/>
      <c r="G385" s="62"/>
      <c r="H385" s="32"/>
    </row>
    <row r="386" customFormat="false" ht="15" hidden="false" customHeight="false" outlineLevel="0" collapsed="false">
      <c r="A386" s="51"/>
      <c r="B386" s="50"/>
      <c r="C386" s="62"/>
      <c r="D386" s="62"/>
      <c r="E386" s="53" t="str">
        <f aca="false">IF($B386="","",C386+D386)</f>
        <v/>
      </c>
      <c r="F386" s="62"/>
      <c r="G386" s="62"/>
      <c r="H386" s="32"/>
    </row>
    <row r="387" customFormat="false" ht="15" hidden="false" customHeight="false" outlineLevel="0" collapsed="false">
      <c r="A387" s="51"/>
      <c r="B387" s="50"/>
      <c r="C387" s="62"/>
      <c r="D387" s="62"/>
      <c r="E387" s="53" t="str">
        <f aca="false">IF($B387="","",C387+D387)</f>
        <v/>
      </c>
      <c r="F387" s="62"/>
      <c r="G387" s="62"/>
      <c r="H387" s="32"/>
    </row>
    <row r="388" customFormat="false" ht="15" hidden="false" customHeight="false" outlineLevel="0" collapsed="false">
      <c r="A388" s="51"/>
      <c r="B388" s="50"/>
      <c r="C388" s="62"/>
      <c r="D388" s="62"/>
      <c r="E388" s="53" t="str">
        <f aca="false">IF($B388="","",C388+D388)</f>
        <v/>
      </c>
      <c r="F388" s="62"/>
      <c r="G388" s="62"/>
      <c r="H388" s="32"/>
    </row>
    <row r="389" customFormat="false" ht="15" hidden="false" customHeight="false" outlineLevel="0" collapsed="false">
      <c r="A389" s="51"/>
      <c r="B389" s="50"/>
      <c r="C389" s="62"/>
      <c r="D389" s="62"/>
      <c r="E389" s="53" t="str">
        <f aca="false">IF($B389="","",C389+D389)</f>
        <v/>
      </c>
      <c r="F389" s="62"/>
      <c r="G389" s="62"/>
      <c r="H389" s="32"/>
    </row>
    <row r="390" customFormat="false" ht="15" hidden="false" customHeight="false" outlineLevel="0" collapsed="false">
      <c r="A390" s="51"/>
      <c r="B390" s="50"/>
      <c r="C390" s="62"/>
      <c r="D390" s="62"/>
      <c r="E390" s="53" t="str">
        <f aca="false">IF($B390="","",C390+D390)</f>
        <v/>
      </c>
      <c r="F390" s="62"/>
      <c r="G390" s="62"/>
      <c r="H390" s="32"/>
    </row>
    <row r="391" customFormat="false" ht="15" hidden="false" customHeight="false" outlineLevel="0" collapsed="false">
      <c r="A391" s="51"/>
      <c r="B391" s="50"/>
      <c r="C391" s="62"/>
      <c r="D391" s="62"/>
      <c r="E391" s="53" t="str">
        <f aca="false">IF($B391="","",C391+D391)</f>
        <v/>
      </c>
      <c r="F391" s="62"/>
      <c r="G391" s="62"/>
      <c r="H391" s="32"/>
    </row>
    <row r="392" customFormat="false" ht="15" hidden="false" customHeight="false" outlineLevel="0" collapsed="false">
      <c r="A392" s="51"/>
      <c r="B392" s="50"/>
      <c r="C392" s="62"/>
      <c r="D392" s="62"/>
      <c r="E392" s="53" t="str">
        <f aca="false">IF($B392="","",C392+D392)</f>
        <v/>
      </c>
      <c r="F392" s="62"/>
      <c r="G392" s="62"/>
      <c r="H392" s="32"/>
    </row>
    <row r="393" customFormat="false" ht="15" hidden="false" customHeight="false" outlineLevel="0" collapsed="false">
      <c r="A393" s="51"/>
      <c r="B393" s="50"/>
      <c r="C393" s="62"/>
      <c r="D393" s="62"/>
      <c r="E393" s="53" t="str">
        <f aca="false">IF($B393="","",C393+D393)</f>
        <v/>
      </c>
      <c r="F393" s="62"/>
      <c r="G393" s="62"/>
      <c r="H393" s="32"/>
    </row>
    <row r="394" customFormat="false" ht="15" hidden="false" customHeight="false" outlineLevel="0" collapsed="false">
      <c r="A394" s="51"/>
      <c r="B394" s="50"/>
      <c r="C394" s="62"/>
      <c r="D394" s="62"/>
      <c r="E394" s="53" t="str">
        <f aca="false">IF($B394="","",C394+D394)</f>
        <v/>
      </c>
      <c r="F394" s="62"/>
      <c r="G394" s="62"/>
      <c r="H394" s="32"/>
    </row>
    <row r="395" customFormat="false" ht="15" hidden="false" customHeight="false" outlineLevel="0" collapsed="false">
      <c r="A395" s="51"/>
      <c r="B395" s="50"/>
      <c r="C395" s="62"/>
      <c r="D395" s="62"/>
      <c r="E395" s="53" t="str">
        <f aca="false">IF($B395="","",C395+D395)</f>
        <v/>
      </c>
      <c r="F395" s="62"/>
      <c r="G395" s="62"/>
      <c r="H395" s="32"/>
    </row>
    <row r="396" customFormat="false" ht="15" hidden="false" customHeight="false" outlineLevel="0" collapsed="false">
      <c r="A396" s="51"/>
      <c r="B396" s="50"/>
      <c r="C396" s="62"/>
      <c r="D396" s="62"/>
      <c r="E396" s="53" t="str">
        <f aca="false">IF($B396="","",C396+D396)</f>
        <v/>
      </c>
      <c r="F396" s="62"/>
      <c r="G396" s="62"/>
      <c r="H396" s="32"/>
    </row>
    <row r="397" customFormat="false" ht="15" hidden="false" customHeight="false" outlineLevel="0" collapsed="false">
      <c r="A397" s="51"/>
      <c r="B397" s="50"/>
      <c r="C397" s="62"/>
      <c r="D397" s="62"/>
      <c r="E397" s="53" t="str">
        <f aca="false">IF($B397="","",C397+D397)</f>
        <v/>
      </c>
      <c r="F397" s="62"/>
      <c r="G397" s="62"/>
      <c r="H397" s="32"/>
    </row>
    <row r="398" customFormat="false" ht="15" hidden="false" customHeight="false" outlineLevel="0" collapsed="false">
      <c r="A398" s="51"/>
      <c r="B398" s="50"/>
      <c r="C398" s="62"/>
      <c r="D398" s="62"/>
      <c r="E398" s="53" t="str">
        <f aca="false">IF($B398="","",C398+D398)</f>
        <v/>
      </c>
      <c r="F398" s="62"/>
      <c r="G398" s="62"/>
      <c r="H398" s="32"/>
    </row>
    <row r="399" customFormat="false" ht="15" hidden="false" customHeight="false" outlineLevel="0" collapsed="false">
      <c r="A399" s="51"/>
      <c r="B399" s="50"/>
      <c r="C399" s="62"/>
      <c r="D399" s="62"/>
      <c r="E399" s="53" t="str">
        <f aca="false">IF($B399="","",C399+D399)</f>
        <v/>
      </c>
      <c r="F399" s="62"/>
      <c r="G399" s="62"/>
      <c r="H399" s="32"/>
    </row>
    <row r="400" customFormat="false" ht="15" hidden="false" customHeight="false" outlineLevel="0" collapsed="false">
      <c r="A400" s="51"/>
      <c r="B400" s="50"/>
      <c r="C400" s="62"/>
      <c r="D400" s="62"/>
      <c r="E400" s="53" t="str">
        <f aca="false">IF($B400="","",C400+D400)</f>
        <v/>
      </c>
      <c r="F400" s="62"/>
      <c r="G400" s="62"/>
      <c r="H400" s="32"/>
    </row>
    <row r="401" customFormat="false" ht="15" hidden="false" customHeight="false" outlineLevel="0" collapsed="false">
      <c r="A401" s="51"/>
      <c r="B401" s="50"/>
      <c r="C401" s="62"/>
      <c r="D401" s="62"/>
      <c r="E401" s="53" t="str">
        <f aca="false">IF($B401="","",C401+D401)</f>
        <v/>
      </c>
      <c r="F401" s="62"/>
      <c r="G401" s="62"/>
      <c r="H401" s="32"/>
    </row>
    <row r="402" customFormat="false" ht="15" hidden="false" customHeight="false" outlineLevel="0" collapsed="false">
      <c r="A402" s="51"/>
      <c r="B402" s="50"/>
      <c r="C402" s="62"/>
      <c r="D402" s="62"/>
      <c r="E402" s="53" t="str">
        <f aca="false">IF($B402="","",C402+D402)</f>
        <v/>
      </c>
      <c r="F402" s="62"/>
      <c r="G402" s="62"/>
      <c r="H402" s="32"/>
    </row>
    <row r="403" customFormat="false" ht="15" hidden="false" customHeight="false" outlineLevel="0" collapsed="false">
      <c r="A403" s="51"/>
      <c r="B403" s="50"/>
      <c r="C403" s="62"/>
      <c r="D403" s="62"/>
      <c r="E403" s="53" t="str">
        <f aca="false">IF($B403="","",C403+D403)</f>
        <v/>
      </c>
      <c r="F403" s="62"/>
      <c r="G403" s="62"/>
      <c r="H403" s="32"/>
    </row>
    <row r="404" customFormat="false" ht="15" hidden="false" customHeight="false" outlineLevel="0" collapsed="false">
      <c r="A404" s="51"/>
      <c r="B404" s="50"/>
      <c r="C404" s="62"/>
      <c r="D404" s="62"/>
      <c r="E404" s="53" t="str">
        <f aca="false">IF($B404="","",C404+D404)</f>
        <v/>
      </c>
      <c r="F404" s="62"/>
      <c r="G404" s="62"/>
      <c r="H404" s="32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B5:B404" type="list">
      <formula1>'Animal Register'!$A$5:$A$74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2"/>
    <col collapsed="false" customWidth="true" hidden="false" outlineLevel="0" max="10" min="10" style="0" width="20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30" t="s">
        <v>293</v>
      </c>
      <c r="B1" s="30"/>
      <c r="C1" s="30"/>
      <c r="D1" s="30"/>
      <c r="E1" s="30"/>
      <c r="F1" s="30"/>
      <c r="G1" s="30"/>
      <c r="H1" s="30"/>
    </row>
    <row r="3" customFormat="false" ht="26.85" hidden="false" customHeight="false" outlineLevel="0" collapsed="false">
      <c r="A3" s="31" t="s">
        <v>294</v>
      </c>
      <c r="B3" s="31" t="s">
        <v>295</v>
      </c>
      <c r="C3" s="31" t="s">
        <v>296</v>
      </c>
      <c r="D3" s="31" t="s">
        <v>297</v>
      </c>
      <c r="E3" s="31" t="s">
        <v>298</v>
      </c>
      <c r="F3" s="31" t="s">
        <v>299</v>
      </c>
      <c r="G3" s="31" t="s">
        <v>212</v>
      </c>
      <c r="H3" s="31" t="s">
        <v>232</v>
      </c>
      <c r="J3" s="28" t="s">
        <v>300</v>
      </c>
      <c r="K3" s="63" t="n">
        <f aca="false">SUMIF(G4:G103,"Active",D4:D103)</f>
        <v>0</v>
      </c>
    </row>
    <row r="4" customFormat="false" ht="15" hidden="false" customHeight="false" outlineLevel="0" collapsed="false">
      <c r="A4" s="50"/>
      <c r="B4" s="38"/>
      <c r="C4" s="38"/>
      <c r="D4" s="64"/>
      <c r="E4" s="65"/>
      <c r="F4" s="38"/>
      <c r="G4" s="38"/>
      <c r="H4" s="32"/>
      <c r="J4" s="28" t="s">
        <v>301</v>
      </c>
      <c r="K4" s="66" t="n">
        <f aca="false">SUMPRODUCT((G4:G103="Active")*D4:D103*E4:E103)</f>
        <v>0</v>
      </c>
    </row>
    <row r="5" customFormat="false" ht="15" hidden="false" customHeight="false" outlineLevel="0" collapsed="false">
      <c r="A5" s="50"/>
      <c r="B5" s="38"/>
      <c r="C5" s="38"/>
      <c r="D5" s="64"/>
      <c r="E5" s="65"/>
      <c r="F5" s="38"/>
      <c r="G5" s="38"/>
      <c r="H5" s="32"/>
    </row>
    <row r="6" customFormat="false" ht="15" hidden="false" customHeight="false" outlineLevel="0" collapsed="false">
      <c r="A6" s="50"/>
      <c r="B6" s="38"/>
      <c r="C6" s="38"/>
      <c r="D6" s="64"/>
      <c r="E6" s="65"/>
      <c r="F6" s="38"/>
      <c r="G6" s="38"/>
      <c r="H6" s="32"/>
    </row>
    <row r="7" customFormat="false" ht="15" hidden="false" customHeight="false" outlineLevel="0" collapsed="false">
      <c r="A7" s="50"/>
      <c r="B7" s="38"/>
      <c r="C7" s="38"/>
      <c r="D7" s="64"/>
      <c r="E7" s="65"/>
      <c r="F7" s="38"/>
      <c r="G7" s="38"/>
      <c r="H7" s="32"/>
    </row>
    <row r="8" customFormat="false" ht="15" hidden="false" customHeight="false" outlineLevel="0" collapsed="false">
      <c r="A8" s="50"/>
      <c r="B8" s="38"/>
      <c r="C8" s="38"/>
      <c r="D8" s="64"/>
      <c r="E8" s="65"/>
      <c r="F8" s="38"/>
      <c r="G8" s="38"/>
      <c r="H8" s="32"/>
    </row>
    <row r="9" customFormat="false" ht="15" hidden="false" customHeight="false" outlineLevel="0" collapsed="false">
      <c r="A9" s="50"/>
      <c r="B9" s="38"/>
      <c r="C9" s="38"/>
      <c r="D9" s="64"/>
      <c r="E9" s="65"/>
      <c r="F9" s="38"/>
      <c r="G9" s="38"/>
      <c r="H9" s="32"/>
    </row>
    <row r="10" customFormat="false" ht="15" hidden="false" customHeight="false" outlineLevel="0" collapsed="false">
      <c r="A10" s="50"/>
      <c r="B10" s="38"/>
      <c r="C10" s="38"/>
      <c r="D10" s="64"/>
      <c r="E10" s="65"/>
      <c r="F10" s="38"/>
      <c r="G10" s="38"/>
      <c r="H10" s="32"/>
    </row>
    <row r="11" customFormat="false" ht="15" hidden="false" customHeight="false" outlineLevel="0" collapsed="false">
      <c r="A11" s="50"/>
      <c r="B11" s="38"/>
      <c r="C11" s="38"/>
      <c r="D11" s="64"/>
      <c r="E11" s="65"/>
      <c r="F11" s="38"/>
      <c r="G11" s="38"/>
      <c r="H11" s="32"/>
    </row>
    <row r="12" customFormat="false" ht="15" hidden="false" customHeight="false" outlineLevel="0" collapsed="false">
      <c r="A12" s="50"/>
      <c r="B12" s="38"/>
      <c r="C12" s="38"/>
      <c r="D12" s="64"/>
      <c r="E12" s="65"/>
      <c r="F12" s="38"/>
      <c r="G12" s="38"/>
      <c r="H12" s="32"/>
    </row>
    <row r="13" customFormat="false" ht="15" hidden="false" customHeight="false" outlineLevel="0" collapsed="false">
      <c r="A13" s="50"/>
      <c r="B13" s="38"/>
      <c r="C13" s="38"/>
      <c r="D13" s="64"/>
      <c r="E13" s="65"/>
      <c r="F13" s="38"/>
      <c r="G13" s="38"/>
      <c r="H13" s="32"/>
    </row>
    <row r="14" customFormat="false" ht="15" hidden="false" customHeight="false" outlineLevel="0" collapsed="false">
      <c r="A14" s="50"/>
      <c r="B14" s="38"/>
      <c r="C14" s="38"/>
      <c r="D14" s="64"/>
      <c r="E14" s="65"/>
      <c r="F14" s="38"/>
      <c r="G14" s="38"/>
      <c r="H14" s="32"/>
    </row>
    <row r="15" customFormat="false" ht="15" hidden="false" customHeight="false" outlineLevel="0" collapsed="false">
      <c r="A15" s="50"/>
      <c r="B15" s="38"/>
      <c r="C15" s="38"/>
      <c r="D15" s="64"/>
      <c r="E15" s="65"/>
      <c r="F15" s="38"/>
      <c r="G15" s="38"/>
      <c r="H15" s="32"/>
    </row>
    <row r="16" customFormat="false" ht="15" hidden="false" customHeight="false" outlineLevel="0" collapsed="false">
      <c r="A16" s="50"/>
      <c r="B16" s="38"/>
      <c r="C16" s="38"/>
      <c r="D16" s="64"/>
      <c r="E16" s="65"/>
      <c r="F16" s="38"/>
      <c r="G16" s="38"/>
      <c r="H16" s="32"/>
    </row>
    <row r="17" customFormat="false" ht="15" hidden="false" customHeight="false" outlineLevel="0" collapsed="false">
      <c r="A17" s="50"/>
      <c r="B17" s="38"/>
      <c r="C17" s="38"/>
      <c r="D17" s="64"/>
      <c r="E17" s="65"/>
      <c r="F17" s="38"/>
      <c r="G17" s="38"/>
      <c r="H17" s="32"/>
    </row>
    <row r="18" customFormat="false" ht="15" hidden="false" customHeight="false" outlineLevel="0" collapsed="false">
      <c r="A18" s="50"/>
      <c r="B18" s="38"/>
      <c r="C18" s="38"/>
      <c r="D18" s="64"/>
      <c r="E18" s="65"/>
      <c r="F18" s="38"/>
      <c r="G18" s="38"/>
      <c r="H18" s="32"/>
    </row>
    <row r="19" customFormat="false" ht="15" hidden="false" customHeight="false" outlineLevel="0" collapsed="false">
      <c r="A19" s="50"/>
      <c r="B19" s="38"/>
      <c r="C19" s="38"/>
      <c r="D19" s="64"/>
      <c r="E19" s="65"/>
      <c r="F19" s="38"/>
      <c r="G19" s="38"/>
      <c r="H19" s="32"/>
    </row>
    <row r="20" customFormat="false" ht="15" hidden="false" customHeight="false" outlineLevel="0" collapsed="false">
      <c r="A20" s="50"/>
      <c r="B20" s="38"/>
      <c r="C20" s="38"/>
      <c r="D20" s="64"/>
      <c r="E20" s="65"/>
      <c r="F20" s="38"/>
      <c r="G20" s="38"/>
      <c r="H20" s="32"/>
    </row>
    <row r="21" customFormat="false" ht="15" hidden="false" customHeight="false" outlineLevel="0" collapsed="false">
      <c r="A21" s="50"/>
      <c r="B21" s="38"/>
      <c r="C21" s="38"/>
      <c r="D21" s="64"/>
      <c r="E21" s="65"/>
      <c r="F21" s="38"/>
      <c r="G21" s="38"/>
      <c r="H21" s="32"/>
    </row>
    <row r="22" customFormat="false" ht="15" hidden="false" customHeight="false" outlineLevel="0" collapsed="false">
      <c r="A22" s="50"/>
      <c r="B22" s="38"/>
      <c r="C22" s="38"/>
      <c r="D22" s="64"/>
      <c r="E22" s="65"/>
      <c r="F22" s="38"/>
      <c r="G22" s="38"/>
      <c r="H22" s="32"/>
    </row>
    <row r="23" customFormat="false" ht="15" hidden="false" customHeight="false" outlineLevel="0" collapsed="false">
      <c r="A23" s="50"/>
      <c r="B23" s="38"/>
      <c r="C23" s="38"/>
      <c r="D23" s="64"/>
      <c r="E23" s="65"/>
      <c r="F23" s="38"/>
      <c r="G23" s="38"/>
      <c r="H23" s="32"/>
    </row>
    <row r="24" customFormat="false" ht="15" hidden="false" customHeight="false" outlineLevel="0" collapsed="false">
      <c r="A24" s="50"/>
      <c r="B24" s="38"/>
      <c r="C24" s="38"/>
      <c r="D24" s="64"/>
      <c r="E24" s="65"/>
      <c r="F24" s="38"/>
      <c r="G24" s="38"/>
      <c r="H24" s="32"/>
    </row>
    <row r="25" customFormat="false" ht="15" hidden="false" customHeight="false" outlineLevel="0" collapsed="false">
      <c r="A25" s="50"/>
      <c r="B25" s="38"/>
      <c r="C25" s="38"/>
      <c r="D25" s="64"/>
      <c r="E25" s="65"/>
      <c r="F25" s="38"/>
      <c r="G25" s="38"/>
      <c r="H25" s="32"/>
    </row>
    <row r="26" customFormat="false" ht="15" hidden="false" customHeight="false" outlineLevel="0" collapsed="false">
      <c r="A26" s="50"/>
      <c r="B26" s="38"/>
      <c r="C26" s="38"/>
      <c r="D26" s="64"/>
      <c r="E26" s="65"/>
      <c r="F26" s="38"/>
      <c r="G26" s="38"/>
      <c r="H26" s="32"/>
    </row>
    <row r="27" customFormat="false" ht="15" hidden="false" customHeight="false" outlineLevel="0" collapsed="false">
      <c r="A27" s="50"/>
      <c r="B27" s="38"/>
      <c r="C27" s="38"/>
      <c r="D27" s="64"/>
      <c r="E27" s="65"/>
      <c r="F27" s="38"/>
      <c r="G27" s="38"/>
      <c r="H27" s="32"/>
    </row>
    <row r="28" customFormat="false" ht="15" hidden="false" customHeight="false" outlineLevel="0" collapsed="false">
      <c r="A28" s="50"/>
      <c r="B28" s="38"/>
      <c r="C28" s="38"/>
      <c r="D28" s="64"/>
      <c r="E28" s="65"/>
      <c r="F28" s="38"/>
      <c r="G28" s="38"/>
      <c r="H28" s="32"/>
    </row>
    <row r="29" customFormat="false" ht="15" hidden="false" customHeight="false" outlineLevel="0" collapsed="false">
      <c r="A29" s="50"/>
      <c r="B29" s="38"/>
      <c r="C29" s="38"/>
      <c r="D29" s="64"/>
      <c r="E29" s="65"/>
      <c r="F29" s="38"/>
      <c r="G29" s="38"/>
      <c r="H29" s="32"/>
    </row>
    <row r="30" customFormat="false" ht="15" hidden="false" customHeight="false" outlineLevel="0" collapsed="false">
      <c r="A30" s="50"/>
      <c r="B30" s="38"/>
      <c r="C30" s="38"/>
      <c r="D30" s="64"/>
      <c r="E30" s="65"/>
      <c r="F30" s="38"/>
      <c r="G30" s="38"/>
      <c r="H30" s="32"/>
    </row>
    <row r="31" customFormat="false" ht="15" hidden="false" customHeight="false" outlineLevel="0" collapsed="false">
      <c r="A31" s="50"/>
      <c r="B31" s="38"/>
      <c r="C31" s="38"/>
      <c r="D31" s="64"/>
      <c r="E31" s="65"/>
      <c r="F31" s="38"/>
      <c r="G31" s="38"/>
      <c r="H31" s="32"/>
    </row>
    <row r="32" customFormat="false" ht="15" hidden="false" customHeight="false" outlineLevel="0" collapsed="false">
      <c r="A32" s="50"/>
      <c r="B32" s="38"/>
      <c r="C32" s="38"/>
      <c r="D32" s="64"/>
      <c r="E32" s="65"/>
      <c r="F32" s="38"/>
      <c r="G32" s="38"/>
      <c r="H32" s="32"/>
    </row>
    <row r="33" customFormat="false" ht="15" hidden="false" customHeight="false" outlineLevel="0" collapsed="false">
      <c r="A33" s="50"/>
      <c r="B33" s="38"/>
      <c r="C33" s="38"/>
      <c r="D33" s="64"/>
      <c r="E33" s="65"/>
      <c r="F33" s="38"/>
      <c r="G33" s="38"/>
      <c r="H33" s="32"/>
    </row>
    <row r="34" customFormat="false" ht="15" hidden="false" customHeight="false" outlineLevel="0" collapsed="false">
      <c r="A34" s="50"/>
      <c r="B34" s="38"/>
      <c r="C34" s="38"/>
      <c r="D34" s="64"/>
      <c r="E34" s="65"/>
      <c r="F34" s="38"/>
      <c r="G34" s="38"/>
      <c r="H34" s="32"/>
    </row>
    <row r="35" customFormat="false" ht="15" hidden="false" customHeight="false" outlineLevel="0" collapsed="false">
      <c r="A35" s="50"/>
      <c r="B35" s="38"/>
      <c r="C35" s="38"/>
      <c r="D35" s="64"/>
      <c r="E35" s="65"/>
      <c r="F35" s="38"/>
      <c r="G35" s="38"/>
      <c r="H35" s="32"/>
    </row>
    <row r="36" customFormat="false" ht="15" hidden="false" customHeight="false" outlineLevel="0" collapsed="false">
      <c r="A36" s="50"/>
      <c r="B36" s="38"/>
      <c r="C36" s="38"/>
      <c r="D36" s="64"/>
      <c r="E36" s="65"/>
      <c r="F36" s="38"/>
      <c r="G36" s="38"/>
      <c r="H36" s="32"/>
    </row>
    <row r="37" customFormat="false" ht="15" hidden="false" customHeight="false" outlineLevel="0" collapsed="false">
      <c r="A37" s="50"/>
      <c r="B37" s="38"/>
      <c r="C37" s="38"/>
      <c r="D37" s="64"/>
      <c r="E37" s="65"/>
      <c r="F37" s="38"/>
      <c r="G37" s="38"/>
      <c r="H37" s="32"/>
    </row>
    <row r="38" customFormat="false" ht="15" hidden="false" customHeight="false" outlineLevel="0" collapsed="false">
      <c r="A38" s="50"/>
      <c r="B38" s="38"/>
      <c r="C38" s="38"/>
      <c r="D38" s="64"/>
      <c r="E38" s="65"/>
      <c r="F38" s="38"/>
      <c r="G38" s="38"/>
      <c r="H38" s="32"/>
    </row>
    <row r="39" customFormat="false" ht="15" hidden="false" customHeight="false" outlineLevel="0" collapsed="false">
      <c r="A39" s="50"/>
      <c r="B39" s="38"/>
      <c r="C39" s="38"/>
      <c r="D39" s="64"/>
      <c r="E39" s="65"/>
      <c r="F39" s="38"/>
      <c r="G39" s="38"/>
      <c r="H39" s="32"/>
    </row>
    <row r="40" customFormat="false" ht="15" hidden="false" customHeight="false" outlineLevel="0" collapsed="false">
      <c r="A40" s="50"/>
      <c r="B40" s="38"/>
      <c r="C40" s="38"/>
      <c r="D40" s="64"/>
      <c r="E40" s="65"/>
      <c r="F40" s="38"/>
      <c r="G40" s="38"/>
      <c r="H40" s="32"/>
    </row>
    <row r="41" customFormat="false" ht="15" hidden="false" customHeight="false" outlineLevel="0" collapsed="false">
      <c r="A41" s="50"/>
      <c r="B41" s="38"/>
      <c r="C41" s="38"/>
      <c r="D41" s="64"/>
      <c r="E41" s="65"/>
      <c r="F41" s="38"/>
      <c r="G41" s="38"/>
      <c r="H41" s="32"/>
    </row>
    <row r="42" customFormat="false" ht="15" hidden="false" customHeight="false" outlineLevel="0" collapsed="false">
      <c r="A42" s="50"/>
      <c r="B42" s="38"/>
      <c r="C42" s="38"/>
      <c r="D42" s="64"/>
      <c r="E42" s="65"/>
      <c r="F42" s="38"/>
      <c r="G42" s="38"/>
      <c r="H42" s="32"/>
    </row>
    <row r="43" customFormat="false" ht="15" hidden="false" customHeight="false" outlineLevel="0" collapsed="false">
      <c r="A43" s="50"/>
      <c r="B43" s="38"/>
      <c r="C43" s="38"/>
      <c r="D43" s="64"/>
      <c r="E43" s="65"/>
      <c r="F43" s="38"/>
      <c r="G43" s="38"/>
      <c r="H43" s="32"/>
    </row>
    <row r="44" customFormat="false" ht="15" hidden="false" customHeight="false" outlineLevel="0" collapsed="false">
      <c r="A44" s="50"/>
      <c r="B44" s="38"/>
      <c r="C44" s="38"/>
      <c r="D44" s="64"/>
      <c r="E44" s="65"/>
      <c r="F44" s="38"/>
      <c r="G44" s="38"/>
      <c r="H44" s="32"/>
    </row>
    <row r="45" customFormat="false" ht="15" hidden="false" customHeight="false" outlineLevel="0" collapsed="false">
      <c r="A45" s="50"/>
      <c r="B45" s="38"/>
      <c r="C45" s="38"/>
      <c r="D45" s="64"/>
      <c r="E45" s="65"/>
      <c r="F45" s="38"/>
      <c r="G45" s="38"/>
      <c r="H45" s="32"/>
    </row>
    <row r="46" customFormat="false" ht="15" hidden="false" customHeight="false" outlineLevel="0" collapsed="false">
      <c r="A46" s="50"/>
      <c r="B46" s="38"/>
      <c r="C46" s="38"/>
      <c r="D46" s="64"/>
      <c r="E46" s="65"/>
      <c r="F46" s="38"/>
      <c r="G46" s="38"/>
      <c r="H46" s="32"/>
    </row>
    <row r="47" customFormat="false" ht="15" hidden="false" customHeight="false" outlineLevel="0" collapsed="false">
      <c r="A47" s="50"/>
      <c r="B47" s="38"/>
      <c r="C47" s="38"/>
      <c r="D47" s="64"/>
      <c r="E47" s="65"/>
      <c r="F47" s="38"/>
      <c r="G47" s="38"/>
      <c r="H47" s="32"/>
    </row>
    <row r="48" customFormat="false" ht="15" hidden="false" customHeight="false" outlineLevel="0" collapsed="false">
      <c r="A48" s="50"/>
      <c r="B48" s="38"/>
      <c r="C48" s="38"/>
      <c r="D48" s="64"/>
      <c r="E48" s="65"/>
      <c r="F48" s="38"/>
      <c r="G48" s="38"/>
      <c r="H48" s="32"/>
    </row>
    <row r="49" customFormat="false" ht="15" hidden="false" customHeight="false" outlineLevel="0" collapsed="false">
      <c r="A49" s="50"/>
      <c r="B49" s="38"/>
      <c r="C49" s="38"/>
      <c r="D49" s="64"/>
      <c r="E49" s="65"/>
      <c r="F49" s="38"/>
      <c r="G49" s="38"/>
      <c r="H49" s="32"/>
    </row>
    <row r="50" customFormat="false" ht="15" hidden="false" customHeight="false" outlineLevel="0" collapsed="false">
      <c r="A50" s="50"/>
      <c r="B50" s="38"/>
      <c r="C50" s="38"/>
      <c r="D50" s="64"/>
      <c r="E50" s="65"/>
      <c r="F50" s="38"/>
      <c r="G50" s="38"/>
      <c r="H50" s="32"/>
    </row>
    <row r="51" customFormat="false" ht="15" hidden="false" customHeight="false" outlineLevel="0" collapsed="false">
      <c r="A51" s="50"/>
      <c r="B51" s="38"/>
      <c r="C51" s="38"/>
      <c r="D51" s="64"/>
      <c r="E51" s="65"/>
      <c r="F51" s="38"/>
      <c r="G51" s="38"/>
      <c r="H51" s="32"/>
    </row>
    <row r="52" customFormat="false" ht="15" hidden="false" customHeight="false" outlineLevel="0" collapsed="false">
      <c r="A52" s="50"/>
      <c r="B52" s="38"/>
      <c r="C52" s="38"/>
      <c r="D52" s="64"/>
      <c r="E52" s="65"/>
      <c r="F52" s="38"/>
      <c r="G52" s="38"/>
      <c r="H52" s="32"/>
    </row>
    <row r="53" customFormat="false" ht="15" hidden="false" customHeight="false" outlineLevel="0" collapsed="false">
      <c r="A53" s="50"/>
      <c r="B53" s="38"/>
      <c r="C53" s="38"/>
      <c r="D53" s="64"/>
      <c r="E53" s="65"/>
      <c r="F53" s="38"/>
      <c r="G53" s="38"/>
      <c r="H53" s="32"/>
    </row>
    <row r="54" customFormat="false" ht="15" hidden="false" customHeight="false" outlineLevel="0" collapsed="false">
      <c r="A54" s="50"/>
      <c r="B54" s="38"/>
      <c r="C54" s="38"/>
      <c r="D54" s="64"/>
      <c r="E54" s="65"/>
      <c r="F54" s="38"/>
      <c r="G54" s="38"/>
      <c r="H54" s="32"/>
    </row>
    <row r="55" customFormat="false" ht="15" hidden="false" customHeight="false" outlineLevel="0" collapsed="false">
      <c r="A55" s="50"/>
      <c r="B55" s="38"/>
      <c r="C55" s="38"/>
      <c r="D55" s="64"/>
      <c r="E55" s="65"/>
      <c r="F55" s="38"/>
      <c r="G55" s="38"/>
      <c r="H55" s="32"/>
    </row>
    <row r="56" customFormat="false" ht="15" hidden="false" customHeight="false" outlineLevel="0" collapsed="false">
      <c r="A56" s="50"/>
      <c r="B56" s="38"/>
      <c r="C56" s="38"/>
      <c r="D56" s="64"/>
      <c r="E56" s="65"/>
      <c r="F56" s="38"/>
      <c r="G56" s="38"/>
      <c r="H56" s="32"/>
    </row>
    <row r="57" customFormat="false" ht="15" hidden="false" customHeight="false" outlineLevel="0" collapsed="false">
      <c r="A57" s="50"/>
      <c r="B57" s="38"/>
      <c r="C57" s="38"/>
      <c r="D57" s="64"/>
      <c r="E57" s="65"/>
      <c r="F57" s="38"/>
      <c r="G57" s="38"/>
      <c r="H57" s="32"/>
    </row>
    <row r="58" customFormat="false" ht="15" hidden="false" customHeight="false" outlineLevel="0" collapsed="false">
      <c r="A58" s="50"/>
      <c r="B58" s="38"/>
      <c r="C58" s="38"/>
      <c r="D58" s="64"/>
      <c r="E58" s="65"/>
      <c r="F58" s="38"/>
      <c r="G58" s="38"/>
      <c r="H58" s="32"/>
    </row>
    <row r="59" customFormat="false" ht="15" hidden="false" customHeight="false" outlineLevel="0" collapsed="false">
      <c r="A59" s="50"/>
      <c r="B59" s="38"/>
      <c r="C59" s="38"/>
      <c r="D59" s="64"/>
      <c r="E59" s="65"/>
      <c r="F59" s="38"/>
      <c r="G59" s="38"/>
      <c r="H59" s="32"/>
    </row>
    <row r="60" customFormat="false" ht="15" hidden="false" customHeight="false" outlineLevel="0" collapsed="false">
      <c r="A60" s="50"/>
      <c r="B60" s="38"/>
      <c r="C60" s="38"/>
      <c r="D60" s="64"/>
      <c r="E60" s="65"/>
      <c r="F60" s="38"/>
      <c r="G60" s="38"/>
      <c r="H60" s="32"/>
    </row>
    <row r="61" customFormat="false" ht="15" hidden="false" customHeight="false" outlineLevel="0" collapsed="false">
      <c r="A61" s="50"/>
      <c r="B61" s="38"/>
      <c r="C61" s="38"/>
      <c r="D61" s="64"/>
      <c r="E61" s="65"/>
      <c r="F61" s="38"/>
      <c r="G61" s="38"/>
      <c r="H61" s="32"/>
    </row>
    <row r="62" customFormat="false" ht="15" hidden="false" customHeight="false" outlineLevel="0" collapsed="false">
      <c r="A62" s="50"/>
      <c r="B62" s="38"/>
      <c r="C62" s="38"/>
      <c r="D62" s="64"/>
      <c r="E62" s="65"/>
      <c r="F62" s="38"/>
      <c r="G62" s="38"/>
      <c r="H62" s="32"/>
    </row>
    <row r="63" customFormat="false" ht="15" hidden="false" customHeight="false" outlineLevel="0" collapsed="false">
      <c r="A63" s="50"/>
      <c r="B63" s="38"/>
      <c r="C63" s="38"/>
      <c r="D63" s="64"/>
      <c r="E63" s="65"/>
      <c r="F63" s="38"/>
      <c r="G63" s="38"/>
      <c r="H63" s="32"/>
    </row>
    <row r="64" customFormat="false" ht="15" hidden="false" customHeight="false" outlineLevel="0" collapsed="false">
      <c r="A64" s="50"/>
      <c r="B64" s="38"/>
      <c r="C64" s="38"/>
      <c r="D64" s="64"/>
      <c r="E64" s="65"/>
      <c r="F64" s="38"/>
      <c r="G64" s="38"/>
      <c r="H64" s="32"/>
    </row>
    <row r="65" customFormat="false" ht="15" hidden="false" customHeight="false" outlineLevel="0" collapsed="false">
      <c r="A65" s="50"/>
      <c r="B65" s="38"/>
      <c r="C65" s="38"/>
      <c r="D65" s="64"/>
      <c r="E65" s="65"/>
      <c r="F65" s="38"/>
      <c r="G65" s="38"/>
      <c r="H65" s="32"/>
    </row>
    <row r="66" customFormat="false" ht="15" hidden="false" customHeight="false" outlineLevel="0" collapsed="false">
      <c r="A66" s="50"/>
      <c r="B66" s="38"/>
      <c r="C66" s="38"/>
      <c r="D66" s="64"/>
      <c r="E66" s="65"/>
      <c r="F66" s="38"/>
      <c r="G66" s="38"/>
      <c r="H66" s="32"/>
    </row>
    <row r="67" customFormat="false" ht="15" hidden="false" customHeight="false" outlineLevel="0" collapsed="false">
      <c r="A67" s="50"/>
      <c r="B67" s="38"/>
      <c r="C67" s="38"/>
      <c r="D67" s="64"/>
      <c r="E67" s="65"/>
      <c r="F67" s="38"/>
      <c r="G67" s="38"/>
      <c r="H67" s="32"/>
    </row>
    <row r="68" customFormat="false" ht="15" hidden="false" customHeight="false" outlineLevel="0" collapsed="false">
      <c r="A68" s="50"/>
      <c r="B68" s="38"/>
      <c r="C68" s="38"/>
      <c r="D68" s="64"/>
      <c r="E68" s="65"/>
      <c r="F68" s="38"/>
      <c r="G68" s="38"/>
      <c r="H68" s="32"/>
    </row>
    <row r="69" customFormat="false" ht="15" hidden="false" customHeight="false" outlineLevel="0" collapsed="false">
      <c r="A69" s="50"/>
      <c r="B69" s="38"/>
      <c r="C69" s="38"/>
      <c r="D69" s="64"/>
      <c r="E69" s="65"/>
      <c r="F69" s="38"/>
      <c r="G69" s="38"/>
      <c r="H69" s="32"/>
    </row>
    <row r="70" customFormat="false" ht="15" hidden="false" customHeight="false" outlineLevel="0" collapsed="false">
      <c r="A70" s="50"/>
      <c r="B70" s="38"/>
      <c r="C70" s="38"/>
      <c r="D70" s="64"/>
      <c r="E70" s="65"/>
      <c r="F70" s="38"/>
      <c r="G70" s="38"/>
      <c r="H70" s="32"/>
    </row>
    <row r="71" customFormat="false" ht="15" hidden="false" customHeight="false" outlineLevel="0" collapsed="false">
      <c r="A71" s="50"/>
      <c r="B71" s="38"/>
      <c r="C71" s="38"/>
      <c r="D71" s="64"/>
      <c r="E71" s="65"/>
      <c r="F71" s="38"/>
      <c r="G71" s="38"/>
      <c r="H71" s="32"/>
    </row>
    <row r="72" customFormat="false" ht="15" hidden="false" customHeight="false" outlineLevel="0" collapsed="false">
      <c r="A72" s="50"/>
      <c r="B72" s="38"/>
      <c r="C72" s="38"/>
      <c r="D72" s="64"/>
      <c r="E72" s="65"/>
      <c r="F72" s="38"/>
      <c r="G72" s="38"/>
      <c r="H72" s="32"/>
    </row>
    <row r="73" customFormat="false" ht="15" hidden="false" customHeight="false" outlineLevel="0" collapsed="false">
      <c r="A73" s="50"/>
      <c r="B73" s="38"/>
      <c r="C73" s="38"/>
      <c r="D73" s="64"/>
      <c r="E73" s="65"/>
      <c r="F73" s="38"/>
      <c r="G73" s="38"/>
      <c r="H73" s="32"/>
    </row>
    <row r="74" customFormat="false" ht="15" hidden="false" customHeight="false" outlineLevel="0" collapsed="false">
      <c r="A74" s="50"/>
      <c r="B74" s="38"/>
      <c r="C74" s="38"/>
      <c r="D74" s="64"/>
      <c r="E74" s="65"/>
      <c r="F74" s="38"/>
      <c r="G74" s="38"/>
      <c r="H74" s="32"/>
    </row>
    <row r="75" customFormat="false" ht="15" hidden="false" customHeight="false" outlineLevel="0" collapsed="false">
      <c r="A75" s="50"/>
      <c r="B75" s="38"/>
      <c r="C75" s="38"/>
      <c r="D75" s="64"/>
      <c r="E75" s="65"/>
      <c r="F75" s="38"/>
      <c r="G75" s="38"/>
      <c r="H75" s="32"/>
    </row>
    <row r="76" customFormat="false" ht="15" hidden="false" customHeight="false" outlineLevel="0" collapsed="false">
      <c r="A76" s="50"/>
      <c r="B76" s="38"/>
      <c r="C76" s="38"/>
      <c r="D76" s="64"/>
      <c r="E76" s="65"/>
      <c r="F76" s="38"/>
      <c r="G76" s="38"/>
      <c r="H76" s="32"/>
    </row>
    <row r="77" customFormat="false" ht="15" hidden="false" customHeight="false" outlineLevel="0" collapsed="false">
      <c r="A77" s="50"/>
      <c r="B77" s="38"/>
      <c r="C77" s="38"/>
      <c r="D77" s="64"/>
      <c r="E77" s="65"/>
      <c r="F77" s="38"/>
      <c r="G77" s="38"/>
      <c r="H77" s="32"/>
    </row>
    <row r="78" customFormat="false" ht="15" hidden="false" customHeight="false" outlineLevel="0" collapsed="false">
      <c r="A78" s="50"/>
      <c r="B78" s="38"/>
      <c r="C78" s="38"/>
      <c r="D78" s="64"/>
      <c r="E78" s="65"/>
      <c r="F78" s="38"/>
      <c r="G78" s="38"/>
      <c r="H78" s="32"/>
    </row>
    <row r="79" customFormat="false" ht="15" hidden="false" customHeight="false" outlineLevel="0" collapsed="false">
      <c r="A79" s="50"/>
      <c r="B79" s="38"/>
      <c r="C79" s="38"/>
      <c r="D79" s="64"/>
      <c r="E79" s="65"/>
      <c r="F79" s="38"/>
      <c r="G79" s="38"/>
      <c r="H79" s="32"/>
    </row>
    <row r="80" customFormat="false" ht="15" hidden="false" customHeight="false" outlineLevel="0" collapsed="false">
      <c r="A80" s="50"/>
      <c r="B80" s="38"/>
      <c r="C80" s="38"/>
      <c r="D80" s="64"/>
      <c r="E80" s="65"/>
      <c r="F80" s="38"/>
      <c r="G80" s="38"/>
      <c r="H80" s="32"/>
    </row>
    <row r="81" customFormat="false" ht="15" hidden="false" customHeight="false" outlineLevel="0" collapsed="false">
      <c r="A81" s="50"/>
      <c r="B81" s="38"/>
      <c r="C81" s="38"/>
      <c r="D81" s="64"/>
      <c r="E81" s="65"/>
      <c r="F81" s="38"/>
      <c r="G81" s="38"/>
      <c r="H81" s="32"/>
    </row>
    <row r="82" customFormat="false" ht="15" hidden="false" customHeight="false" outlineLevel="0" collapsed="false">
      <c r="A82" s="50"/>
      <c r="B82" s="38"/>
      <c r="C82" s="38"/>
      <c r="D82" s="64"/>
      <c r="E82" s="65"/>
      <c r="F82" s="38"/>
      <c r="G82" s="38"/>
      <c r="H82" s="32"/>
    </row>
    <row r="83" customFormat="false" ht="15" hidden="false" customHeight="false" outlineLevel="0" collapsed="false">
      <c r="A83" s="50"/>
      <c r="B83" s="38"/>
      <c r="C83" s="38"/>
      <c r="D83" s="64"/>
      <c r="E83" s="65"/>
      <c r="F83" s="38"/>
      <c r="G83" s="38"/>
      <c r="H83" s="32"/>
    </row>
    <row r="84" customFormat="false" ht="15" hidden="false" customHeight="false" outlineLevel="0" collapsed="false">
      <c r="A84" s="50"/>
      <c r="B84" s="38"/>
      <c r="C84" s="38"/>
      <c r="D84" s="64"/>
      <c r="E84" s="65"/>
      <c r="F84" s="38"/>
      <c r="G84" s="38"/>
      <c r="H84" s="32"/>
    </row>
    <row r="85" customFormat="false" ht="15" hidden="false" customHeight="false" outlineLevel="0" collapsed="false">
      <c r="A85" s="50"/>
      <c r="B85" s="38"/>
      <c r="C85" s="38"/>
      <c r="D85" s="64"/>
      <c r="E85" s="65"/>
      <c r="F85" s="38"/>
      <c r="G85" s="38"/>
      <c r="H85" s="32"/>
    </row>
    <row r="86" customFormat="false" ht="15" hidden="false" customHeight="false" outlineLevel="0" collapsed="false">
      <c r="A86" s="50"/>
      <c r="B86" s="38"/>
      <c r="C86" s="38"/>
      <c r="D86" s="64"/>
      <c r="E86" s="65"/>
      <c r="F86" s="38"/>
      <c r="G86" s="38"/>
      <c r="H86" s="32"/>
    </row>
    <row r="87" customFormat="false" ht="15" hidden="false" customHeight="false" outlineLevel="0" collapsed="false">
      <c r="A87" s="50"/>
      <c r="B87" s="38"/>
      <c r="C87" s="38"/>
      <c r="D87" s="64"/>
      <c r="E87" s="65"/>
      <c r="F87" s="38"/>
      <c r="G87" s="38"/>
      <c r="H87" s="32"/>
    </row>
    <row r="88" customFormat="false" ht="15" hidden="false" customHeight="false" outlineLevel="0" collapsed="false">
      <c r="A88" s="50"/>
      <c r="B88" s="38"/>
      <c r="C88" s="38"/>
      <c r="D88" s="64"/>
      <c r="E88" s="65"/>
      <c r="F88" s="38"/>
      <c r="G88" s="38"/>
      <c r="H88" s="32"/>
    </row>
    <row r="89" customFormat="false" ht="15" hidden="false" customHeight="false" outlineLevel="0" collapsed="false">
      <c r="A89" s="50"/>
      <c r="B89" s="38"/>
      <c r="C89" s="38"/>
      <c r="D89" s="64"/>
      <c r="E89" s="65"/>
      <c r="F89" s="38"/>
      <c r="G89" s="38"/>
      <c r="H89" s="32"/>
    </row>
    <row r="90" customFormat="false" ht="15" hidden="false" customHeight="false" outlineLevel="0" collapsed="false">
      <c r="A90" s="50"/>
      <c r="B90" s="38"/>
      <c r="C90" s="38"/>
      <c r="D90" s="64"/>
      <c r="E90" s="65"/>
      <c r="F90" s="38"/>
      <c r="G90" s="38"/>
      <c r="H90" s="32"/>
    </row>
    <row r="91" customFormat="false" ht="15" hidden="false" customHeight="false" outlineLevel="0" collapsed="false">
      <c r="A91" s="50"/>
      <c r="B91" s="38"/>
      <c r="C91" s="38"/>
      <c r="D91" s="64"/>
      <c r="E91" s="65"/>
      <c r="F91" s="38"/>
      <c r="G91" s="38"/>
      <c r="H91" s="32"/>
    </row>
    <row r="92" customFormat="false" ht="15" hidden="false" customHeight="false" outlineLevel="0" collapsed="false">
      <c r="A92" s="50"/>
      <c r="B92" s="38"/>
      <c r="C92" s="38"/>
      <c r="D92" s="64"/>
      <c r="E92" s="65"/>
      <c r="F92" s="38"/>
      <c r="G92" s="38"/>
      <c r="H92" s="32"/>
    </row>
    <row r="93" customFormat="false" ht="15" hidden="false" customHeight="false" outlineLevel="0" collapsed="false">
      <c r="A93" s="50"/>
      <c r="B93" s="38"/>
      <c r="C93" s="38"/>
      <c r="D93" s="64"/>
      <c r="E93" s="65"/>
      <c r="F93" s="38"/>
      <c r="G93" s="38"/>
      <c r="H93" s="32"/>
    </row>
    <row r="94" customFormat="false" ht="15" hidden="false" customHeight="false" outlineLevel="0" collapsed="false">
      <c r="A94" s="50"/>
      <c r="B94" s="38"/>
      <c r="C94" s="38"/>
      <c r="D94" s="64"/>
      <c r="E94" s="65"/>
      <c r="F94" s="38"/>
      <c r="G94" s="38"/>
      <c r="H94" s="32"/>
    </row>
    <row r="95" customFormat="false" ht="15" hidden="false" customHeight="false" outlineLevel="0" collapsed="false">
      <c r="A95" s="50"/>
      <c r="B95" s="38"/>
      <c r="C95" s="38"/>
      <c r="D95" s="64"/>
      <c r="E95" s="65"/>
      <c r="F95" s="38"/>
      <c r="G95" s="38"/>
      <c r="H95" s="32"/>
    </row>
    <row r="96" customFormat="false" ht="15" hidden="false" customHeight="false" outlineLevel="0" collapsed="false">
      <c r="A96" s="50"/>
      <c r="B96" s="38"/>
      <c r="C96" s="38"/>
      <c r="D96" s="64"/>
      <c r="E96" s="65"/>
      <c r="F96" s="38"/>
      <c r="G96" s="38"/>
      <c r="H96" s="32"/>
    </row>
    <row r="97" customFormat="false" ht="15" hidden="false" customHeight="false" outlineLevel="0" collapsed="false">
      <c r="A97" s="50"/>
      <c r="B97" s="38"/>
      <c r="C97" s="38"/>
      <c r="D97" s="64"/>
      <c r="E97" s="65"/>
      <c r="F97" s="38"/>
      <c r="G97" s="38"/>
      <c r="H97" s="32"/>
    </row>
    <row r="98" customFormat="false" ht="15" hidden="false" customHeight="false" outlineLevel="0" collapsed="false">
      <c r="A98" s="50"/>
      <c r="B98" s="38"/>
      <c r="C98" s="38"/>
      <c r="D98" s="64"/>
      <c r="E98" s="65"/>
      <c r="F98" s="38"/>
      <c r="G98" s="38"/>
      <c r="H98" s="32"/>
    </row>
    <row r="99" customFormat="false" ht="15" hidden="false" customHeight="false" outlineLevel="0" collapsed="false">
      <c r="A99" s="50"/>
      <c r="B99" s="38"/>
      <c r="C99" s="38"/>
      <c r="D99" s="64"/>
      <c r="E99" s="65"/>
      <c r="F99" s="38"/>
      <c r="G99" s="38"/>
      <c r="H99" s="32"/>
    </row>
    <row r="100" customFormat="false" ht="15" hidden="false" customHeight="false" outlineLevel="0" collapsed="false">
      <c r="A100" s="50"/>
      <c r="B100" s="38"/>
      <c r="C100" s="38"/>
      <c r="D100" s="64"/>
      <c r="E100" s="65"/>
      <c r="F100" s="38"/>
      <c r="G100" s="38"/>
      <c r="H100" s="32"/>
    </row>
    <row r="101" customFormat="false" ht="15" hidden="false" customHeight="false" outlineLevel="0" collapsed="false">
      <c r="A101" s="50"/>
      <c r="B101" s="38"/>
      <c r="C101" s="38"/>
      <c r="D101" s="64"/>
      <c r="E101" s="65"/>
      <c r="F101" s="38"/>
      <c r="G101" s="38"/>
      <c r="H101" s="32"/>
    </row>
    <row r="102" customFormat="false" ht="15" hidden="false" customHeight="false" outlineLevel="0" collapsed="false">
      <c r="A102" s="50"/>
      <c r="B102" s="38"/>
      <c r="C102" s="38"/>
      <c r="D102" s="64"/>
      <c r="E102" s="65"/>
      <c r="F102" s="38"/>
      <c r="G102" s="38"/>
      <c r="H102" s="32"/>
    </row>
    <row r="103" customFormat="false" ht="15" hidden="false" customHeight="false" outlineLevel="0" collapsed="false">
      <c r="A103" s="50"/>
      <c r="B103" s="38"/>
      <c r="C103" s="38"/>
      <c r="D103" s="64"/>
      <c r="E103" s="65"/>
      <c r="F103" s="38"/>
      <c r="G103" s="38"/>
      <c r="H103" s="32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G4:G103" type="list">
      <formula1>"Active,Paused,Stopped"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30" t="s">
        <v>302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48" t="s">
        <v>303</v>
      </c>
      <c r="B2" s="48"/>
      <c r="C2" s="48"/>
      <c r="D2" s="48"/>
      <c r="E2" s="48"/>
      <c r="F2" s="48"/>
      <c r="G2" s="48"/>
      <c r="H2" s="48"/>
      <c r="I2" s="48"/>
    </row>
    <row r="4" customFormat="false" ht="26.85" hidden="false" customHeight="false" outlineLevel="0" collapsed="false">
      <c r="A4" s="31" t="s">
        <v>216</v>
      </c>
      <c r="B4" s="31" t="s">
        <v>218</v>
      </c>
      <c r="C4" s="31" t="s">
        <v>219</v>
      </c>
      <c r="D4" s="31" t="s">
        <v>233</v>
      </c>
      <c r="E4" s="31" t="s">
        <v>212</v>
      </c>
      <c r="F4" s="31" t="s">
        <v>304</v>
      </c>
      <c r="G4" s="31" t="s">
        <v>305</v>
      </c>
      <c r="H4" s="31" t="s">
        <v>306</v>
      </c>
      <c r="I4" s="31" t="s">
        <v>307</v>
      </c>
    </row>
    <row r="5" customFormat="false" ht="15" hidden="false" customHeight="false" outlineLevel="0" collapsed="false">
      <c r="A5" s="47" t="str">
        <f aca="false">IFERROR(INDEX('Animal Register'!$A:$A,MATCH(1,'Animal Register'!$W:$W,0)),"")</f>
        <v/>
      </c>
      <c r="B5" s="47" t="str">
        <f aca="false">IF($A5="","",INDEX('Animal Register'!$C:$C,MATCH($A5,'Animal Register'!$A:$A,0)))</f>
        <v/>
      </c>
      <c r="C5" s="47" t="str">
        <f aca="false">IF($A5="","",INDEX('Animal Register'!$D:$D,MATCH($A5,'Animal Register'!$A:$A,0)))</f>
        <v/>
      </c>
      <c r="D5" s="53" t="str">
        <f aca="false">IF($A5="","",INDEX('Animal Register'!$S:$S,MATCH($A5,'Animal Register'!$A:$A,0)))</f>
        <v/>
      </c>
      <c r="E5" s="47" t="str">
        <f aca="false">IF($A5="","",INDEX('Animal Register'!$Q:$Q,MATCH($A5,'Animal Register'!$A:$A,0)))</f>
        <v/>
      </c>
      <c r="F5" s="52" t="str">
        <f aca="false">IF($A5="","",IF(SUMPRODUCT(MAX(('Breeding Log'!$A$5:$A$154=$A5)*ROW('Breeding Log'!$A$5:$A$154)))=0,"-",INDEX('Breeding Log'!$B:$B,SUMPRODUCT(MAX(('Breeding Log'!$A$5:$A$154=$A5)*ROW('Breeding Log'!$A$5:$A$154))))))</f>
        <v/>
      </c>
      <c r="G5" s="52" t="str">
        <f aca="false">IF($A5="","",IF(SUMPRODUCT(MAX(('Breeding Log'!$A$5:$A$154=$A5)*ROW('Breeding Log'!$A$5:$A$154)))=0,"-",INDEX('Breeding Log'!$E:$E,SUMPRODUCT(MAX(('Breeding Log'!$A$5:$A$154=$A5)*ROW('Breeding Log'!$A$5:$A$154))))))</f>
        <v/>
      </c>
      <c r="H5" s="47" t="str">
        <f aca="false">IF($A5="","",IF(SUMPRODUCT(MAX(('Breeding Log'!$A$5:$A$154=$A5)*ROW('Breeding Log'!$A$5:$A$154)))=0,"-",INDEX('Breeding Log'!$G:$G,SUMPRODUCT(MAX(('Breeding Log'!$A$5:$A$154=$A5)*ROW('Breeding Log'!$A$5:$A$154))))))</f>
        <v/>
      </c>
      <c r="I5" s="47" t="str">
        <f aca="false">IF($A5="","",COUNTIF('Calving Log'!$A:$A,$A5))</f>
        <v/>
      </c>
    </row>
    <row r="6" customFormat="false" ht="15" hidden="false" customHeight="false" outlineLevel="0" collapsed="false">
      <c r="A6" s="47" t="str">
        <f aca="false">IFERROR(INDEX('Animal Register'!$A:$A,MATCH(2,'Animal Register'!$W:$W,0)),"")</f>
        <v/>
      </c>
      <c r="B6" s="47" t="str">
        <f aca="false">IF($A6="","",INDEX('Animal Register'!$C:$C,MATCH($A6,'Animal Register'!$A:$A,0)))</f>
        <v/>
      </c>
      <c r="C6" s="47" t="str">
        <f aca="false">IF($A6="","",INDEX('Animal Register'!$D:$D,MATCH($A6,'Animal Register'!$A:$A,0)))</f>
        <v/>
      </c>
      <c r="D6" s="53" t="str">
        <f aca="false">IF($A6="","",INDEX('Animal Register'!$S:$S,MATCH($A6,'Animal Register'!$A:$A,0)))</f>
        <v/>
      </c>
      <c r="E6" s="47" t="str">
        <f aca="false">IF($A6="","",INDEX('Animal Register'!$Q:$Q,MATCH($A6,'Animal Register'!$A:$A,0)))</f>
        <v/>
      </c>
      <c r="F6" s="52" t="str">
        <f aca="false">IF($A6="","",IF(SUMPRODUCT(MAX(('Breeding Log'!$A$5:$A$154=$A6)*ROW('Breeding Log'!$A$5:$A$154)))=0,"-",INDEX('Breeding Log'!$B:$B,SUMPRODUCT(MAX(('Breeding Log'!$A$5:$A$154=$A6)*ROW('Breeding Log'!$A$5:$A$154))))))</f>
        <v/>
      </c>
      <c r="G6" s="52" t="str">
        <f aca="false">IF($A6="","",IF(SUMPRODUCT(MAX(('Breeding Log'!$A$5:$A$154=$A6)*ROW('Breeding Log'!$A$5:$A$154)))=0,"-",INDEX('Breeding Log'!$E:$E,SUMPRODUCT(MAX(('Breeding Log'!$A$5:$A$154=$A6)*ROW('Breeding Log'!$A$5:$A$154))))))</f>
        <v/>
      </c>
      <c r="H6" s="47" t="str">
        <f aca="false">IF($A6="","",IF(SUMPRODUCT(MAX(('Breeding Log'!$A$5:$A$154=$A6)*ROW('Breeding Log'!$A$5:$A$154)))=0,"-",INDEX('Breeding Log'!$G:$G,SUMPRODUCT(MAX(('Breeding Log'!$A$5:$A$154=$A6)*ROW('Breeding Log'!$A$5:$A$154))))))</f>
        <v/>
      </c>
      <c r="I6" s="47" t="str">
        <f aca="false">IF($A6="","",COUNTIF('Calving Log'!$A:$A,$A6))</f>
        <v/>
      </c>
    </row>
    <row r="7" customFormat="false" ht="15" hidden="false" customHeight="false" outlineLevel="0" collapsed="false">
      <c r="A7" s="47" t="str">
        <f aca="false">IFERROR(INDEX('Animal Register'!$A:$A,MATCH(3,'Animal Register'!$W:$W,0)),"")</f>
        <v/>
      </c>
      <c r="B7" s="47" t="str">
        <f aca="false">IF($A7="","",INDEX('Animal Register'!$C:$C,MATCH($A7,'Animal Register'!$A:$A,0)))</f>
        <v/>
      </c>
      <c r="C7" s="47" t="str">
        <f aca="false">IF($A7="","",INDEX('Animal Register'!$D:$D,MATCH($A7,'Animal Register'!$A:$A,0)))</f>
        <v/>
      </c>
      <c r="D7" s="53" t="str">
        <f aca="false">IF($A7="","",INDEX('Animal Register'!$S:$S,MATCH($A7,'Animal Register'!$A:$A,0)))</f>
        <v/>
      </c>
      <c r="E7" s="47" t="str">
        <f aca="false">IF($A7="","",INDEX('Animal Register'!$Q:$Q,MATCH($A7,'Animal Register'!$A:$A,0)))</f>
        <v/>
      </c>
      <c r="F7" s="52" t="str">
        <f aca="false">IF($A7="","",IF(SUMPRODUCT(MAX(('Breeding Log'!$A$5:$A$154=$A7)*ROW('Breeding Log'!$A$5:$A$154)))=0,"-",INDEX('Breeding Log'!$B:$B,SUMPRODUCT(MAX(('Breeding Log'!$A$5:$A$154=$A7)*ROW('Breeding Log'!$A$5:$A$154))))))</f>
        <v/>
      </c>
      <c r="G7" s="52" t="str">
        <f aca="false">IF($A7="","",IF(SUMPRODUCT(MAX(('Breeding Log'!$A$5:$A$154=$A7)*ROW('Breeding Log'!$A$5:$A$154)))=0,"-",INDEX('Breeding Log'!$E:$E,SUMPRODUCT(MAX(('Breeding Log'!$A$5:$A$154=$A7)*ROW('Breeding Log'!$A$5:$A$154))))))</f>
        <v/>
      </c>
      <c r="H7" s="47" t="str">
        <f aca="false">IF($A7="","",IF(SUMPRODUCT(MAX(('Breeding Log'!$A$5:$A$154=$A7)*ROW('Breeding Log'!$A$5:$A$154)))=0,"-",INDEX('Breeding Log'!$G:$G,SUMPRODUCT(MAX(('Breeding Log'!$A$5:$A$154=$A7)*ROW('Breeding Log'!$A$5:$A$154))))))</f>
        <v/>
      </c>
      <c r="I7" s="47" t="str">
        <f aca="false">IF($A7="","",COUNTIF('Calving Log'!$A:$A,$A7))</f>
        <v/>
      </c>
    </row>
    <row r="8" customFormat="false" ht="15" hidden="false" customHeight="false" outlineLevel="0" collapsed="false">
      <c r="A8" s="47" t="str">
        <f aca="false">IFERROR(INDEX('Animal Register'!$A:$A,MATCH(4,'Animal Register'!$W:$W,0)),"")</f>
        <v/>
      </c>
      <c r="B8" s="47" t="str">
        <f aca="false">IF($A8="","",INDEX('Animal Register'!$C:$C,MATCH($A8,'Animal Register'!$A:$A,0)))</f>
        <v/>
      </c>
      <c r="C8" s="47" t="str">
        <f aca="false">IF($A8="","",INDEX('Animal Register'!$D:$D,MATCH($A8,'Animal Register'!$A:$A,0)))</f>
        <v/>
      </c>
      <c r="D8" s="53" t="str">
        <f aca="false">IF($A8="","",INDEX('Animal Register'!$S:$S,MATCH($A8,'Animal Register'!$A:$A,0)))</f>
        <v/>
      </c>
      <c r="E8" s="47" t="str">
        <f aca="false">IF($A8="","",INDEX('Animal Register'!$Q:$Q,MATCH($A8,'Animal Register'!$A:$A,0)))</f>
        <v/>
      </c>
      <c r="F8" s="52" t="str">
        <f aca="false">IF($A8="","",IF(SUMPRODUCT(MAX(('Breeding Log'!$A$5:$A$154=$A8)*ROW('Breeding Log'!$A$5:$A$154)))=0,"-",INDEX('Breeding Log'!$B:$B,SUMPRODUCT(MAX(('Breeding Log'!$A$5:$A$154=$A8)*ROW('Breeding Log'!$A$5:$A$154))))))</f>
        <v/>
      </c>
      <c r="G8" s="52" t="str">
        <f aca="false">IF($A8="","",IF(SUMPRODUCT(MAX(('Breeding Log'!$A$5:$A$154=$A8)*ROW('Breeding Log'!$A$5:$A$154)))=0,"-",INDEX('Breeding Log'!$E:$E,SUMPRODUCT(MAX(('Breeding Log'!$A$5:$A$154=$A8)*ROW('Breeding Log'!$A$5:$A$154))))))</f>
        <v/>
      </c>
      <c r="H8" s="47" t="str">
        <f aca="false">IF($A8="","",IF(SUMPRODUCT(MAX(('Breeding Log'!$A$5:$A$154=$A8)*ROW('Breeding Log'!$A$5:$A$154)))=0,"-",INDEX('Breeding Log'!$G:$G,SUMPRODUCT(MAX(('Breeding Log'!$A$5:$A$154=$A8)*ROW('Breeding Log'!$A$5:$A$154))))))</f>
        <v/>
      </c>
      <c r="I8" s="47" t="str">
        <f aca="false">IF($A8="","",COUNTIF('Calving Log'!$A:$A,$A8))</f>
        <v/>
      </c>
    </row>
    <row r="9" customFormat="false" ht="15" hidden="false" customHeight="false" outlineLevel="0" collapsed="false">
      <c r="A9" s="47" t="str">
        <f aca="false">IFERROR(INDEX('Animal Register'!$A:$A,MATCH(5,'Animal Register'!$W:$W,0)),"")</f>
        <v/>
      </c>
      <c r="B9" s="47" t="str">
        <f aca="false">IF($A9="","",INDEX('Animal Register'!$C:$C,MATCH($A9,'Animal Register'!$A:$A,0)))</f>
        <v/>
      </c>
      <c r="C9" s="47" t="str">
        <f aca="false">IF($A9="","",INDEX('Animal Register'!$D:$D,MATCH($A9,'Animal Register'!$A:$A,0)))</f>
        <v/>
      </c>
      <c r="D9" s="53" t="str">
        <f aca="false">IF($A9="","",INDEX('Animal Register'!$S:$S,MATCH($A9,'Animal Register'!$A:$A,0)))</f>
        <v/>
      </c>
      <c r="E9" s="47" t="str">
        <f aca="false">IF($A9="","",INDEX('Animal Register'!$Q:$Q,MATCH($A9,'Animal Register'!$A:$A,0)))</f>
        <v/>
      </c>
      <c r="F9" s="52" t="str">
        <f aca="false">IF($A9="","",IF(SUMPRODUCT(MAX(('Breeding Log'!$A$5:$A$154=$A9)*ROW('Breeding Log'!$A$5:$A$154)))=0,"-",INDEX('Breeding Log'!$B:$B,SUMPRODUCT(MAX(('Breeding Log'!$A$5:$A$154=$A9)*ROW('Breeding Log'!$A$5:$A$154))))))</f>
        <v/>
      </c>
      <c r="G9" s="52" t="str">
        <f aca="false">IF($A9="","",IF(SUMPRODUCT(MAX(('Breeding Log'!$A$5:$A$154=$A9)*ROW('Breeding Log'!$A$5:$A$154)))=0,"-",INDEX('Breeding Log'!$E:$E,SUMPRODUCT(MAX(('Breeding Log'!$A$5:$A$154=$A9)*ROW('Breeding Log'!$A$5:$A$154))))))</f>
        <v/>
      </c>
      <c r="H9" s="47" t="str">
        <f aca="false">IF($A9="","",IF(SUMPRODUCT(MAX(('Breeding Log'!$A$5:$A$154=$A9)*ROW('Breeding Log'!$A$5:$A$154)))=0,"-",INDEX('Breeding Log'!$G:$G,SUMPRODUCT(MAX(('Breeding Log'!$A$5:$A$154=$A9)*ROW('Breeding Log'!$A$5:$A$154))))))</f>
        <v/>
      </c>
      <c r="I9" s="47" t="str">
        <f aca="false">IF($A9="","",COUNTIF('Calving Log'!$A:$A,$A9))</f>
        <v/>
      </c>
    </row>
    <row r="10" customFormat="false" ht="15" hidden="false" customHeight="false" outlineLevel="0" collapsed="false">
      <c r="A10" s="47" t="str">
        <f aca="false">IFERROR(INDEX('Animal Register'!$A:$A,MATCH(6,'Animal Register'!$W:$W,0)),"")</f>
        <v/>
      </c>
      <c r="B10" s="47" t="str">
        <f aca="false">IF($A10="","",INDEX('Animal Register'!$C:$C,MATCH($A10,'Animal Register'!$A:$A,0)))</f>
        <v/>
      </c>
      <c r="C10" s="47" t="str">
        <f aca="false">IF($A10="","",INDEX('Animal Register'!$D:$D,MATCH($A10,'Animal Register'!$A:$A,0)))</f>
        <v/>
      </c>
      <c r="D10" s="53" t="str">
        <f aca="false">IF($A10="","",INDEX('Animal Register'!$S:$S,MATCH($A10,'Animal Register'!$A:$A,0)))</f>
        <v/>
      </c>
      <c r="E10" s="47" t="str">
        <f aca="false">IF($A10="","",INDEX('Animal Register'!$Q:$Q,MATCH($A10,'Animal Register'!$A:$A,0)))</f>
        <v/>
      </c>
      <c r="F10" s="52" t="str">
        <f aca="false">IF($A10="","",IF(SUMPRODUCT(MAX(('Breeding Log'!$A$5:$A$154=$A10)*ROW('Breeding Log'!$A$5:$A$154)))=0,"-",INDEX('Breeding Log'!$B:$B,SUMPRODUCT(MAX(('Breeding Log'!$A$5:$A$154=$A10)*ROW('Breeding Log'!$A$5:$A$154))))))</f>
        <v/>
      </c>
      <c r="G10" s="52" t="str">
        <f aca="false">IF($A10="","",IF(SUMPRODUCT(MAX(('Breeding Log'!$A$5:$A$154=$A10)*ROW('Breeding Log'!$A$5:$A$154)))=0,"-",INDEX('Breeding Log'!$E:$E,SUMPRODUCT(MAX(('Breeding Log'!$A$5:$A$154=$A10)*ROW('Breeding Log'!$A$5:$A$154))))))</f>
        <v/>
      </c>
      <c r="H10" s="47" t="str">
        <f aca="false">IF($A10="","",IF(SUMPRODUCT(MAX(('Breeding Log'!$A$5:$A$154=$A10)*ROW('Breeding Log'!$A$5:$A$154)))=0,"-",INDEX('Breeding Log'!$G:$G,SUMPRODUCT(MAX(('Breeding Log'!$A$5:$A$154=$A10)*ROW('Breeding Log'!$A$5:$A$154))))))</f>
        <v/>
      </c>
      <c r="I10" s="47" t="str">
        <f aca="false">IF($A10="","",COUNTIF('Calving Log'!$A:$A,$A10))</f>
        <v/>
      </c>
    </row>
    <row r="11" customFormat="false" ht="15" hidden="false" customHeight="false" outlineLevel="0" collapsed="false">
      <c r="A11" s="47" t="str">
        <f aca="false">IFERROR(INDEX('Animal Register'!$A:$A,MATCH(7,'Animal Register'!$W:$W,0)),"")</f>
        <v/>
      </c>
      <c r="B11" s="47" t="str">
        <f aca="false">IF($A11="","",INDEX('Animal Register'!$C:$C,MATCH($A11,'Animal Register'!$A:$A,0)))</f>
        <v/>
      </c>
      <c r="C11" s="47" t="str">
        <f aca="false">IF($A11="","",INDEX('Animal Register'!$D:$D,MATCH($A11,'Animal Register'!$A:$A,0)))</f>
        <v/>
      </c>
      <c r="D11" s="53" t="str">
        <f aca="false">IF($A11="","",INDEX('Animal Register'!$S:$S,MATCH($A11,'Animal Register'!$A:$A,0)))</f>
        <v/>
      </c>
      <c r="E11" s="47" t="str">
        <f aca="false">IF($A11="","",INDEX('Animal Register'!$Q:$Q,MATCH($A11,'Animal Register'!$A:$A,0)))</f>
        <v/>
      </c>
      <c r="F11" s="52" t="str">
        <f aca="false">IF($A11="","",IF(SUMPRODUCT(MAX(('Breeding Log'!$A$5:$A$154=$A11)*ROW('Breeding Log'!$A$5:$A$154)))=0,"-",INDEX('Breeding Log'!$B:$B,SUMPRODUCT(MAX(('Breeding Log'!$A$5:$A$154=$A11)*ROW('Breeding Log'!$A$5:$A$154))))))</f>
        <v/>
      </c>
      <c r="G11" s="52" t="str">
        <f aca="false">IF($A11="","",IF(SUMPRODUCT(MAX(('Breeding Log'!$A$5:$A$154=$A11)*ROW('Breeding Log'!$A$5:$A$154)))=0,"-",INDEX('Breeding Log'!$E:$E,SUMPRODUCT(MAX(('Breeding Log'!$A$5:$A$154=$A11)*ROW('Breeding Log'!$A$5:$A$154))))))</f>
        <v/>
      </c>
      <c r="H11" s="47" t="str">
        <f aca="false">IF($A11="","",IF(SUMPRODUCT(MAX(('Breeding Log'!$A$5:$A$154=$A11)*ROW('Breeding Log'!$A$5:$A$154)))=0,"-",INDEX('Breeding Log'!$G:$G,SUMPRODUCT(MAX(('Breeding Log'!$A$5:$A$154=$A11)*ROW('Breeding Log'!$A$5:$A$154))))))</f>
        <v/>
      </c>
      <c r="I11" s="47" t="str">
        <f aca="false">IF($A11="","",COUNTIF('Calving Log'!$A:$A,$A11))</f>
        <v/>
      </c>
    </row>
    <row r="12" customFormat="false" ht="15" hidden="false" customHeight="false" outlineLevel="0" collapsed="false">
      <c r="A12" s="47" t="str">
        <f aca="false">IFERROR(INDEX('Animal Register'!$A:$A,MATCH(8,'Animal Register'!$W:$W,0)),"")</f>
        <v/>
      </c>
      <c r="B12" s="47" t="str">
        <f aca="false">IF($A12="","",INDEX('Animal Register'!$C:$C,MATCH($A12,'Animal Register'!$A:$A,0)))</f>
        <v/>
      </c>
      <c r="C12" s="47" t="str">
        <f aca="false">IF($A12="","",INDEX('Animal Register'!$D:$D,MATCH($A12,'Animal Register'!$A:$A,0)))</f>
        <v/>
      </c>
      <c r="D12" s="53" t="str">
        <f aca="false">IF($A12="","",INDEX('Animal Register'!$S:$S,MATCH($A12,'Animal Register'!$A:$A,0)))</f>
        <v/>
      </c>
      <c r="E12" s="47" t="str">
        <f aca="false">IF($A12="","",INDEX('Animal Register'!$Q:$Q,MATCH($A12,'Animal Register'!$A:$A,0)))</f>
        <v/>
      </c>
      <c r="F12" s="52" t="str">
        <f aca="false">IF($A12="","",IF(SUMPRODUCT(MAX(('Breeding Log'!$A$5:$A$154=$A12)*ROW('Breeding Log'!$A$5:$A$154)))=0,"-",INDEX('Breeding Log'!$B:$B,SUMPRODUCT(MAX(('Breeding Log'!$A$5:$A$154=$A12)*ROW('Breeding Log'!$A$5:$A$154))))))</f>
        <v/>
      </c>
      <c r="G12" s="52" t="str">
        <f aca="false">IF($A12="","",IF(SUMPRODUCT(MAX(('Breeding Log'!$A$5:$A$154=$A12)*ROW('Breeding Log'!$A$5:$A$154)))=0,"-",INDEX('Breeding Log'!$E:$E,SUMPRODUCT(MAX(('Breeding Log'!$A$5:$A$154=$A12)*ROW('Breeding Log'!$A$5:$A$154))))))</f>
        <v/>
      </c>
      <c r="H12" s="47" t="str">
        <f aca="false">IF($A12="","",IF(SUMPRODUCT(MAX(('Breeding Log'!$A$5:$A$154=$A12)*ROW('Breeding Log'!$A$5:$A$154)))=0,"-",INDEX('Breeding Log'!$G:$G,SUMPRODUCT(MAX(('Breeding Log'!$A$5:$A$154=$A12)*ROW('Breeding Log'!$A$5:$A$154))))))</f>
        <v/>
      </c>
      <c r="I12" s="47" t="str">
        <f aca="false">IF($A12="","",COUNTIF('Calving Log'!$A:$A,$A12))</f>
        <v/>
      </c>
    </row>
    <row r="13" customFormat="false" ht="15" hidden="false" customHeight="false" outlineLevel="0" collapsed="false">
      <c r="A13" s="47" t="str">
        <f aca="false">IFERROR(INDEX('Animal Register'!$A:$A,MATCH(9,'Animal Register'!$W:$W,0)),"")</f>
        <v/>
      </c>
      <c r="B13" s="47" t="str">
        <f aca="false">IF($A13="","",INDEX('Animal Register'!$C:$C,MATCH($A13,'Animal Register'!$A:$A,0)))</f>
        <v/>
      </c>
      <c r="C13" s="47" t="str">
        <f aca="false">IF($A13="","",INDEX('Animal Register'!$D:$D,MATCH($A13,'Animal Register'!$A:$A,0)))</f>
        <v/>
      </c>
      <c r="D13" s="53" t="str">
        <f aca="false">IF($A13="","",INDEX('Animal Register'!$S:$S,MATCH($A13,'Animal Register'!$A:$A,0)))</f>
        <v/>
      </c>
      <c r="E13" s="47" t="str">
        <f aca="false">IF($A13="","",INDEX('Animal Register'!$Q:$Q,MATCH($A13,'Animal Register'!$A:$A,0)))</f>
        <v/>
      </c>
      <c r="F13" s="52" t="str">
        <f aca="false">IF($A13="","",IF(SUMPRODUCT(MAX(('Breeding Log'!$A$5:$A$154=$A13)*ROW('Breeding Log'!$A$5:$A$154)))=0,"-",INDEX('Breeding Log'!$B:$B,SUMPRODUCT(MAX(('Breeding Log'!$A$5:$A$154=$A13)*ROW('Breeding Log'!$A$5:$A$154))))))</f>
        <v/>
      </c>
      <c r="G13" s="52" t="str">
        <f aca="false">IF($A13="","",IF(SUMPRODUCT(MAX(('Breeding Log'!$A$5:$A$154=$A13)*ROW('Breeding Log'!$A$5:$A$154)))=0,"-",INDEX('Breeding Log'!$E:$E,SUMPRODUCT(MAX(('Breeding Log'!$A$5:$A$154=$A13)*ROW('Breeding Log'!$A$5:$A$154))))))</f>
        <v/>
      </c>
      <c r="H13" s="47" t="str">
        <f aca="false">IF($A13="","",IF(SUMPRODUCT(MAX(('Breeding Log'!$A$5:$A$154=$A13)*ROW('Breeding Log'!$A$5:$A$154)))=0,"-",INDEX('Breeding Log'!$G:$G,SUMPRODUCT(MAX(('Breeding Log'!$A$5:$A$154=$A13)*ROW('Breeding Log'!$A$5:$A$154))))))</f>
        <v/>
      </c>
      <c r="I13" s="47" t="str">
        <f aca="false">IF($A13="","",COUNTIF('Calving Log'!$A:$A,$A13))</f>
        <v/>
      </c>
    </row>
    <row r="14" customFormat="false" ht="15" hidden="false" customHeight="false" outlineLevel="0" collapsed="false">
      <c r="A14" s="47" t="str">
        <f aca="false">IFERROR(INDEX('Animal Register'!$A:$A,MATCH(10,'Animal Register'!$W:$W,0)),"")</f>
        <v/>
      </c>
      <c r="B14" s="47" t="str">
        <f aca="false">IF($A14="","",INDEX('Animal Register'!$C:$C,MATCH($A14,'Animal Register'!$A:$A,0)))</f>
        <v/>
      </c>
      <c r="C14" s="47" t="str">
        <f aca="false">IF($A14="","",INDEX('Animal Register'!$D:$D,MATCH($A14,'Animal Register'!$A:$A,0)))</f>
        <v/>
      </c>
      <c r="D14" s="53" t="str">
        <f aca="false">IF($A14="","",INDEX('Animal Register'!$S:$S,MATCH($A14,'Animal Register'!$A:$A,0)))</f>
        <v/>
      </c>
      <c r="E14" s="47" t="str">
        <f aca="false">IF($A14="","",INDEX('Animal Register'!$Q:$Q,MATCH($A14,'Animal Register'!$A:$A,0)))</f>
        <v/>
      </c>
      <c r="F14" s="52" t="str">
        <f aca="false">IF($A14="","",IF(SUMPRODUCT(MAX(('Breeding Log'!$A$5:$A$154=$A14)*ROW('Breeding Log'!$A$5:$A$154)))=0,"-",INDEX('Breeding Log'!$B:$B,SUMPRODUCT(MAX(('Breeding Log'!$A$5:$A$154=$A14)*ROW('Breeding Log'!$A$5:$A$154))))))</f>
        <v/>
      </c>
      <c r="G14" s="52" t="str">
        <f aca="false">IF($A14="","",IF(SUMPRODUCT(MAX(('Breeding Log'!$A$5:$A$154=$A14)*ROW('Breeding Log'!$A$5:$A$154)))=0,"-",INDEX('Breeding Log'!$E:$E,SUMPRODUCT(MAX(('Breeding Log'!$A$5:$A$154=$A14)*ROW('Breeding Log'!$A$5:$A$154))))))</f>
        <v/>
      </c>
      <c r="H14" s="47" t="str">
        <f aca="false">IF($A14="","",IF(SUMPRODUCT(MAX(('Breeding Log'!$A$5:$A$154=$A14)*ROW('Breeding Log'!$A$5:$A$154)))=0,"-",INDEX('Breeding Log'!$G:$G,SUMPRODUCT(MAX(('Breeding Log'!$A$5:$A$154=$A14)*ROW('Breeding Log'!$A$5:$A$154))))))</f>
        <v/>
      </c>
      <c r="I14" s="47" t="str">
        <f aca="false">IF($A14="","",COUNTIF('Calving Log'!$A:$A,$A14))</f>
        <v/>
      </c>
    </row>
    <row r="15" customFormat="false" ht="15" hidden="false" customHeight="false" outlineLevel="0" collapsed="false">
      <c r="A15" s="47" t="str">
        <f aca="false">IFERROR(INDEX('Animal Register'!$A:$A,MATCH(11,'Animal Register'!$W:$W,0)),"")</f>
        <v/>
      </c>
      <c r="B15" s="47" t="str">
        <f aca="false">IF($A15="","",INDEX('Animal Register'!$C:$C,MATCH($A15,'Animal Register'!$A:$A,0)))</f>
        <v/>
      </c>
      <c r="C15" s="47" t="str">
        <f aca="false">IF($A15="","",INDEX('Animal Register'!$D:$D,MATCH($A15,'Animal Register'!$A:$A,0)))</f>
        <v/>
      </c>
      <c r="D15" s="53" t="str">
        <f aca="false">IF($A15="","",INDEX('Animal Register'!$S:$S,MATCH($A15,'Animal Register'!$A:$A,0)))</f>
        <v/>
      </c>
      <c r="E15" s="47" t="str">
        <f aca="false">IF($A15="","",INDEX('Animal Register'!$Q:$Q,MATCH($A15,'Animal Register'!$A:$A,0)))</f>
        <v/>
      </c>
      <c r="F15" s="52" t="str">
        <f aca="false">IF($A15="","",IF(SUMPRODUCT(MAX(('Breeding Log'!$A$5:$A$154=$A15)*ROW('Breeding Log'!$A$5:$A$154)))=0,"-",INDEX('Breeding Log'!$B:$B,SUMPRODUCT(MAX(('Breeding Log'!$A$5:$A$154=$A15)*ROW('Breeding Log'!$A$5:$A$154))))))</f>
        <v/>
      </c>
      <c r="G15" s="52" t="str">
        <f aca="false">IF($A15="","",IF(SUMPRODUCT(MAX(('Breeding Log'!$A$5:$A$154=$A15)*ROW('Breeding Log'!$A$5:$A$154)))=0,"-",INDEX('Breeding Log'!$E:$E,SUMPRODUCT(MAX(('Breeding Log'!$A$5:$A$154=$A15)*ROW('Breeding Log'!$A$5:$A$154))))))</f>
        <v/>
      </c>
      <c r="H15" s="47" t="str">
        <f aca="false">IF($A15="","",IF(SUMPRODUCT(MAX(('Breeding Log'!$A$5:$A$154=$A15)*ROW('Breeding Log'!$A$5:$A$154)))=0,"-",INDEX('Breeding Log'!$G:$G,SUMPRODUCT(MAX(('Breeding Log'!$A$5:$A$154=$A15)*ROW('Breeding Log'!$A$5:$A$154))))))</f>
        <v/>
      </c>
      <c r="I15" s="47" t="str">
        <f aca="false">IF($A15="","",COUNTIF('Calving Log'!$A:$A,$A15))</f>
        <v/>
      </c>
    </row>
    <row r="16" customFormat="false" ht="15" hidden="false" customHeight="false" outlineLevel="0" collapsed="false">
      <c r="A16" s="47" t="str">
        <f aca="false">IFERROR(INDEX('Animal Register'!$A:$A,MATCH(12,'Animal Register'!$W:$W,0)),"")</f>
        <v/>
      </c>
      <c r="B16" s="47" t="str">
        <f aca="false">IF($A16="","",INDEX('Animal Register'!$C:$C,MATCH($A16,'Animal Register'!$A:$A,0)))</f>
        <v/>
      </c>
      <c r="C16" s="47" t="str">
        <f aca="false">IF($A16="","",INDEX('Animal Register'!$D:$D,MATCH($A16,'Animal Register'!$A:$A,0)))</f>
        <v/>
      </c>
      <c r="D16" s="53" t="str">
        <f aca="false">IF($A16="","",INDEX('Animal Register'!$S:$S,MATCH($A16,'Animal Register'!$A:$A,0)))</f>
        <v/>
      </c>
      <c r="E16" s="47" t="str">
        <f aca="false">IF($A16="","",INDEX('Animal Register'!$Q:$Q,MATCH($A16,'Animal Register'!$A:$A,0)))</f>
        <v/>
      </c>
      <c r="F16" s="52" t="str">
        <f aca="false">IF($A16="","",IF(SUMPRODUCT(MAX(('Breeding Log'!$A$5:$A$154=$A16)*ROW('Breeding Log'!$A$5:$A$154)))=0,"-",INDEX('Breeding Log'!$B:$B,SUMPRODUCT(MAX(('Breeding Log'!$A$5:$A$154=$A16)*ROW('Breeding Log'!$A$5:$A$154))))))</f>
        <v/>
      </c>
      <c r="G16" s="52" t="str">
        <f aca="false">IF($A16="","",IF(SUMPRODUCT(MAX(('Breeding Log'!$A$5:$A$154=$A16)*ROW('Breeding Log'!$A$5:$A$154)))=0,"-",INDEX('Breeding Log'!$E:$E,SUMPRODUCT(MAX(('Breeding Log'!$A$5:$A$154=$A16)*ROW('Breeding Log'!$A$5:$A$154))))))</f>
        <v/>
      </c>
      <c r="H16" s="47" t="str">
        <f aca="false">IF($A16="","",IF(SUMPRODUCT(MAX(('Breeding Log'!$A$5:$A$154=$A16)*ROW('Breeding Log'!$A$5:$A$154)))=0,"-",INDEX('Breeding Log'!$G:$G,SUMPRODUCT(MAX(('Breeding Log'!$A$5:$A$154=$A16)*ROW('Breeding Log'!$A$5:$A$154))))))</f>
        <v/>
      </c>
      <c r="I16" s="47" t="str">
        <f aca="false">IF($A16="","",COUNTIF('Calving Log'!$A:$A,$A16))</f>
        <v/>
      </c>
    </row>
    <row r="17" customFormat="false" ht="15" hidden="false" customHeight="false" outlineLevel="0" collapsed="false">
      <c r="A17" s="47" t="str">
        <f aca="false">IFERROR(INDEX('Animal Register'!$A:$A,MATCH(13,'Animal Register'!$W:$W,0)),"")</f>
        <v/>
      </c>
      <c r="B17" s="47" t="str">
        <f aca="false">IF($A17="","",INDEX('Animal Register'!$C:$C,MATCH($A17,'Animal Register'!$A:$A,0)))</f>
        <v/>
      </c>
      <c r="C17" s="47" t="str">
        <f aca="false">IF($A17="","",INDEX('Animal Register'!$D:$D,MATCH($A17,'Animal Register'!$A:$A,0)))</f>
        <v/>
      </c>
      <c r="D17" s="53" t="str">
        <f aca="false">IF($A17="","",INDEX('Animal Register'!$S:$S,MATCH($A17,'Animal Register'!$A:$A,0)))</f>
        <v/>
      </c>
      <c r="E17" s="47" t="str">
        <f aca="false">IF($A17="","",INDEX('Animal Register'!$Q:$Q,MATCH($A17,'Animal Register'!$A:$A,0)))</f>
        <v/>
      </c>
      <c r="F17" s="52" t="str">
        <f aca="false">IF($A17="","",IF(SUMPRODUCT(MAX(('Breeding Log'!$A$5:$A$154=$A17)*ROW('Breeding Log'!$A$5:$A$154)))=0,"-",INDEX('Breeding Log'!$B:$B,SUMPRODUCT(MAX(('Breeding Log'!$A$5:$A$154=$A17)*ROW('Breeding Log'!$A$5:$A$154))))))</f>
        <v/>
      </c>
      <c r="G17" s="52" t="str">
        <f aca="false">IF($A17="","",IF(SUMPRODUCT(MAX(('Breeding Log'!$A$5:$A$154=$A17)*ROW('Breeding Log'!$A$5:$A$154)))=0,"-",INDEX('Breeding Log'!$E:$E,SUMPRODUCT(MAX(('Breeding Log'!$A$5:$A$154=$A17)*ROW('Breeding Log'!$A$5:$A$154))))))</f>
        <v/>
      </c>
      <c r="H17" s="47" t="str">
        <f aca="false">IF($A17="","",IF(SUMPRODUCT(MAX(('Breeding Log'!$A$5:$A$154=$A17)*ROW('Breeding Log'!$A$5:$A$154)))=0,"-",INDEX('Breeding Log'!$G:$G,SUMPRODUCT(MAX(('Breeding Log'!$A$5:$A$154=$A17)*ROW('Breeding Log'!$A$5:$A$154))))))</f>
        <v/>
      </c>
      <c r="I17" s="47" t="str">
        <f aca="false">IF($A17="","",COUNTIF('Calving Log'!$A:$A,$A17))</f>
        <v/>
      </c>
    </row>
    <row r="18" customFormat="false" ht="15" hidden="false" customHeight="false" outlineLevel="0" collapsed="false">
      <c r="A18" s="47" t="str">
        <f aca="false">IFERROR(INDEX('Animal Register'!$A:$A,MATCH(14,'Animal Register'!$W:$W,0)),"")</f>
        <v/>
      </c>
      <c r="B18" s="47" t="str">
        <f aca="false">IF($A18="","",INDEX('Animal Register'!$C:$C,MATCH($A18,'Animal Register'!$A:$A,0)))</f>
        <v/>
      </c>
      <c r="C18" s="47" t="str">
        <f aca="false">IF($A18="","",INDEX('Animal Register'!$D:$D,MATCH($A18,'Animal Register'!$A:$A,0)))</f>
        <v/>
      </c>
      <c r="D18" s="53" t="str">
        <f aca="false">IF($A18="","",INDEX('Animal Register'!$S:$S,MATCH($A18,'Animal Register'!$A:$A,0)))</f>
        <v/>
      </c>
      <c r="E18" s="47" t="str">
        <f aca="false">IF($A18="","",INDEX('Animal Register'!$Q:$Q,MATCH($A18,'Animal Register'!$A:$A,0)))</f>
        <v/>
      </c>
      <c r="F18" s="52" t="str">
        <f aca="false">IF($A18="","",IF(SUMPRODUCT(MAX(('Breeding Log'!$A$5:$A$154=$A18)*ROW('Breeding Log'!$A$5:$A$154)))=0,"-",INDEX('Breeding Log'!$B:$B,SUMPRODUCT(MAX(('Breeding Log'!$A$5:$A$154=$A18)*ROW('Breeding Log'!$A$5:$A$154))))))</f>
        <v/>
      </c>
      <c r="G18" s="52" t="str">
        <f aca="false">IF($A18="","",IF(SUMPRODUCT(MAX(('Breeding Log'!$A$5:$A$154=$A18)*ROW('Breeding Log'!$A$5:$A$154)))=0,"-",INDEX('Breeding Log'!$E:$E,SUMPRODUCT(MAX(('Breeding Log'!$A$5:$A$154=$A18)*ROW('Breeding Log'!$A$5:$A$154))))))</f>
        <v/>
      </c>
      <c r="H18" s="47" t="str">
        <f aca="false">IF($A18="","",IF(SUMPRODUCT(MAX(('Breeding Log'!$A$5:$A$154=$A18)*ROW('Breeding Log'!$A$5:$A$154)))=0,"-",INDEX('Breeding Log'!$G:$G,SUMPRODUCT(MAX(('Breeding Log'!$A$5:$A$154=$A18)*ROW('Breeding Log'!$A$5:$A$154))))))</f>
        <v/>
      </c>
      <c r="I18" s="47" t="str">
        <f aca="false">IF($A18="","",COUNTIF('Calving Log'!$A:$A,$A18))</f>
        <v/>
      </c>
    </row>
    <row r="19" customFormat="false" ht="15" hidden="false" customHeight="false" outlineLevel="0" collapsed="false">
      <c r="A19" s="47" t="str">
        <f aca="false">IFERROR(INDEX('Animal Register'!$A:$A,MATCH(15,'Animal Register'!$W:$W,0)),"")</f>
        <v/>
      </c>
      <c r="B19" s="47" t="str">
        <f aca="false">IF($A19="","",INDEX('Animal Register'!$C:$C,MATCH($A19,'Animal Register'!$A:$A,0)))</f>
        <v/>
      </c>
      <c r="C19" s="47" t="str">
        <f aca="false">IF($A19="","",INDEX('Animal Register'!$D:$D,MATCH($A19,'Animal Register'!$A:$A,0)))</f>
        <v/>
      </c>
      <c r="D19" s="53" t="str">
        <f aca="false">IF($A19="","",INDEX('Animal Register'!$S:$S,MATCH($A19,'Animal Register'!$A:$A,0)))</f>
        <v/>
      </c>
      <c r="E19" s="47" t="str">
        <f aca="false">IF($A19="","",INDEX('Animal Register'!$Q:$Q,MATCH($A19,'Animal Register'!$A:$A,0)))</f>
        <v/>
      </c>
      <c r="F19" s="52" t="str">
        <f aca="false">IF($A19="","",IF(SUMPRODUCT(MAX(('Breeding Log'!$A$5:$A$154=$A19)*ROW('Breeding Log'!$A$5:$A$154)))=0,"-",INDEX('Breeding Log'!$B:$B,SUMPRODUCT(MAX(('Breeding Log'!$A$5:$A$154=$A19)*ROW('Breeding Log'!$A$5:$A$154))))))</f>
        <v/>
      </c>
      <c r="G19" s="52" t="str">
        <f aca="false">IF($A19="","",IF(SUMPRODUCT(MAX(('Breeding Log'!$A$5:$A$154=$A19)*ROW('Breeding Log'!$A$5:$A$154)))=0,"-",INDEX('Breeding Log'!$E:$E,SUMPRODUCT(MAX(('Breeding Log'!$A$5:$A$154=$A19)*ROW('Breeding Log'!$A$5:$A$154))))))</f>
        <v/>
      </c>
      <c r="H19" s="47" t="str">
        <f aca="false">IF($A19="","",IF(SUMPRODUCT(MAX(('Breeding Log'!$A$5:$A$154=$A19)*ROW('Breeding Log'!$A$5:$A$154)))=0,"-",INDEX('Breeding Log'!$G:$G,SUMPRODUCT(MAX(('Breeding Log'!$A$5:$A$154=$A19)*ROW('Breeding Log'!$A$5:$A$154))))))</f>
        <v/>
      </c>
      <c r="I19" s="47" t="str">
        <f aca="false">IF($A19="","",COUNTIF('Calving Log'!$A:$A,$A19))</f>
        <v/>
      </c>
    </row>
    <row r="20" customFormat="false" ht="15" hidden="false" customHeight="false" outlineLevel="0" collapsed="false">
      <c r="A20" s="47" t="str">
        <f aca="false">IFERROR(INDEX('Animal Register'!$A:$A,MATCH(16,'Animal Register'!$W:$W,0)),"")</f>
        <v/>
      </c>
      <c r="B20" s="47" t="str">
        <f aca="false">IF($A20="","",INDEX('Animal Register'!$C:$C,MATCH($A20,'Animal Register'!$A:$A,0)))</f>
        <v/>
      </c>
      <c r="C20" s="47" t="str">
        <f aca="false">IF($A20="","",INDEX('Animal Register'!$D:$D,MATCH($A20,'Animal Register'!$A:$A,0)))</f>
        <v/>
      </c>
      <c r="D20" s="53" t="str">
        <f aca="false">IF($A20="","",INDEX('Animal Register'!$S:$S,MATCH($A20,'Animal Register'!$A:$A,0)))</f>
        <v/>
      </c>
      <c r="E20" s="47" t="str">
        <f aca="false">IF($A20="","",INDEX('Animal Register'!$Q:$Q,MATCH($A20,'Animal Register'!$A:$A,0)))</f>
        <v/>
      </c>
      <c r="F20" s="52" t="str">
        <f aca="false">IF($A20="","",IF(SUMPRODUCT(MAX(('Breeding Log'!$A$5:$A$154=$A20)*ROW('Breeding Log'!$A$5:$A$154)))=0,"-",INDEX('Breeding Log'!$B:$B,SUMPRODUCT(MAX(('Breeding Log'!$A$5:$A$154=$A20)*ROW('Breeding Log'!$A$5:$A$154))))))</f>
        <v/>
      </c>
      <c r="G20" s="52" t="str">
        <f aca="false">IF($A20="","",IF(SUMPRODUCT(MAX(('Breeding Log'!$A$5:$A$154=$A20)*ROW('Breeding Log'!$A$5:$A$154)))=0,"-",INDEX('Breeding Log'!$E:$E,SUMPRODUCT(MAX(('Breeding Log'!$A$5:$A$154=$A20)*ROW('Breeding Log'!$A$5:$A$154))))))</f>
        <v/>
      </c>
      <c r="H20" s="47" t="str">
        <f aca="false">IF($A20="","",IF(SUMPRODUCT(MAX(('Breeding Log'!$A$5:$A$154=$A20)*ROW('Breeding Log'!$A$5:$A$154)))=0,"-",INDEX('Breeding Log'!$G:$G,SUMPRODUCT(MAX(('Breeding Log'!$A$5:$A$154=$A20)*ROW('Breeding Log'!$A$5:$A$154))))))</f>
        <v/>
      </c>
      <c r="I20" s="47" t="str">
        <f aca="false">IF($A20="","",COUNTIF('Calving Log'!$A:$A,$A20))</f>
        <v/>
      </c>
    </row>
    <row r="21" customFormat="false" ht="15" hidden="false" customHeight="false" outlineLevel="0" collapsed="false">
      <c r="A21" s="47" t="str">
        <f aca="false">IFERROR(INDEX('Animal Register'!$A:$A,MATCH(17,'Animal Register'!$W:$W,0)),"")</f>
        <v/>
      </c>
      <c r="B21" s="47" t="str">
        <f aca="false">IF($A21="","",INDEX('Animal Register'!$C:$C,MATCH($A21,'Animal Register'!$A:$A,0)))</f>
        <v/>
      </c>
      <c r="C21" s="47" t="str">
        <f aca="false">IF($A21="","",INDEX('Animal Register'!$D:$D,MATCH($A21,'Animal Register'!$A:$A,0)))</f>
        <v/>
      </c>
      <c r="D21" s="53" t="str">
        <f aca="false">IF($A21="","",INDEX('Animal Register'!$S:$S,MATCH($A21,'Animal Register'!$A:$A,0)))</f>
        <v/>
      </c>
      <c r="E21" s="47" t="str">
        <f aca="false">IF($A21="","",INDEX('Animal Register'!$Q:$Q,MATCH($A21,'Animal Register'!$A:$A,0)))</f>
        <v/>
      </c>
      <c r="F21" s="52" t="str">
        <f aca="false">IF($A21="","",IF(SUMPRODUCT(MAX(('Breeding Log'!$A$5:$A$154=$A21)*ROW('Breeding Log'!$A$5:$A$154)))=0,"-",INDEX('Breeding Log'!$B:$B,SUMPRODUCT(MAX(('Breeding Log'!$A$5:$A$154=$A21)*ROW('Breeding Log'!$A$5:$A$154))))))</f>
        <v/>
      </c>
      <c r="G21" s="52" t="str">
        <f aca="false">IF($A21="","",IF(SUMPRODUCT(MAX(('Breeding Log'!$A$5:$A$154=$A21)*ROW('Breeding Log'!$A$5:$A$154)))=0,"-",INDEX('Breeding Log'!$E:$E,SUMPRODUCT(MAX(('Breeding Log'!$A$5:$A$154=$A21)*ROW('Breeding Log'!$A$5:$A$154))))))</f>
        <v/>
      </c>
      <c r="H21" s="47" t="str">
        <f aca="false">IF($A21="","",IF(SUMPRODUCT(MAX(('Breeding Log'!$A$5:$A$154=$A21)*ROW('Breeding Log'!$A$5:$A$154)))=0,"-",INDEX('Breeding Log'!$G:$G,SUMPRODUCT(MAX(('Breeding Log'!$A$5:$A$154=$A21)*ROW('Breeding Log'!$A$5:$A$154))))))</f>
        <v/>
      </c>
      <c r="I21" s="47" t="str">
        <f aca="false">IF($A21="","",COUNTIF('Calving Log'!$A:$A,$A21))</f>
        <v/>
      </c>
    </row>
    <row r="22" customFormat="false" ht="15" hidden="false" customHeight="false" outlineLevel="0" collapsed="false">
      <c r="A22" s="47" t="str">
        <f aca="false">IFERROR(INDEX('Animal Register'!$A:$A,MATCH(18,'Animal Register'!$W:$W,0)),"")</f>
        <v/>
      </c>
      <c r="B22" s="47" t="str">
        <f aca="false">IF($A22="","",INDEX('Animal Register'!$C:$C,MATCH($A22,'Animal Register'!$A:$A,0)))</f>
        <v/>
      </c>
      <c r="C22" s="47" t="str">
        <f aca="false">IF($A22="","",INDEX('Animal Register'!$D:$D,MATCH($A22,'Animal Register'!$A:$A,0)))</f>
        <v/>
      </c>
      <c r="D22" s="53" t="str">
        <f aca="false">IF($A22="","",INDEX('Animal Register'!$S:$S,MATCH($A22,'Animal Register'!$A:$A,0)))</f>
        <v/>
      </c>
      <c r="E22" s="47" t="str">
        <f aca="false">IF($A22="","",INDEX('Animal Register'!$Q:$Q,MATCH($A22,'Animal Register'!$A:$A,0)))</f>
        <v/>
      </c>
      <c r="F22" s="52" t="str">
        <f aca="false">IF($A22="","",IF(SUMPRODUCT(MAX(('Breeding Log'!$A$5:$A$154=$A22)*ROW('Breeding Log'!$A$5:$A$154)))=0,"-",INDEX('Breeding Log'!$B:$B,SUMPRODUCT(MAX(('Breeding Log'!$A$5:$A$154=$A22)*ROW('Breeding Log'!$A$5:$A$154))))))</f>
        <v/>
      </c>
      <c r="G22" s="52" t="str">
        <f aca="false">IF($A22="","",IF(SUMPRODUCT(MAX(('Breeding Log'!$A$5:$A$154=$A22)*ROW('Breeding Log'!$A$5:$A$154)))=0,"-",INDEX('Breeding Log'!$E:$E,SUMPRODUCT(MAX(('Breeding Log'!$A$5:$A$154=$A22)*ROW('Breeding Log'!$A$5:$A$154))))))</f>
        <v/>
      </c>
      <c r="H22" s="47" t="str">
        <f aca="false">IF($A22="","",IF(SUMPRODUCT(MAX(('Breeding Log'!$A$5:$A$154=$A22)*ROW('Breeding Log'!$A$5:$A$154)))=0,"-",INDEX('Breeding Log'!$G:$G,SUMPRODUCT(MAX(('Breeding Log'!$A$5:$A$154=$A22)*ROW('Breeding Log'!$A$5:$A$154))))))</f>
        <v/>
      </c>
      <c r="I22" s="47" t="str">
        <f aca="false">IF($A22="","",COUNTIF('Calving Log'!$A:$A,$A22))</f>
        <v/>
      </c>
    </row>
    <row r="23" customFormat="false" ht="15" hidden="false" customHeight="false" outlineLevel="0" collapsed="false">
      <c r="A23" s="47" t="str">
        <f aca="false">IFERROR(INDEX('Animal Register'!$A:$A,MATCH(19,'Animal Register'!$W:$W,0)),"")</f>
        <v/>
      </c>
      <c r="B23" s="47" t="str">
        <f aca="false">IF($A23="","",INDEX('Animal Register'!$C:$C,MATCH($A23,'Animal Register'!$A:$A,0)))</f>
        <v/>
      </c>
      <c r="C23" s="47" t="str">
        <f aca="false">IF($A23="","",INDEX('Animal Register'!$D:$D,MATCH($A23,'Animal Register'!$A:$A,0)))</f>
        <v/>
      </c>
      <c r="D23" s="53" t="str">
        <f aca="false">IF($A23="","",INDEX('Animal Register'!$S:$S,MATCH($A23,'Animal Register'!$A:$A,0)))</f>
        <v/>
      </c>
      <c r="E23" s="47" t="str">
        <f aca="false">IF($A23="","",INDEX('Animal Register'!$Q:$Q,MATCH($A23,'Animal Register'!$A:$A,0)))</f>
        <v/>
      </c>
      <c r="F23" s="52" t="str">
        <f aca="false">IF($A23="","",IF(SUMPRODUCT(MAX(('Breeding Log'!$A$5:$A$154=$A23)*ROW('Breeding Log'!$A$5:$A$154)))=0,"-",INDEX('Breeding Log'!$B:$B,SUMPRODUCT(MAX(('Breeding Log'!$A$5:$A$154=$A23)*ROW('Breeding Log'!$A$5:$A$154))))))</f>
        <v/>
      </c>
      <c r="G23" s="52" t="str">
        <f aca="false">IF($A23="","",IF(SUMPRODUCT(MAX(('Breeding Log'!$A$5:$A$154=$A23)*ROW('Breeding Log'!$A$5:$A$154)))=0,"-",INDEX('Breeding Log'!$E:$E,SUMPRODUCT(MAX(('Breeding Log'!$A$5:$A$154=$A23)*ROW('Breeding Log'!$A$5:$A$154))))))</f>
        <v/>
      </c>
      <c r="H23" s="47" t="str">
        <f aca="false">IF($A23="","",IF(SUMPRODUCT(MAX(('Breeding Log'!$A$5:$A$154=$A23)*ROW('Breeding Log'!$A$5:$A$154)))=0,"-",INDEX('Breeding Log'!$G:$G,SUMPRODUCT(MAX(('Breeding Log'!$A$5:$A$154=$A23)*ROW('Breeding Log'!$A$5:$A$154))))))</f>
        <v/>
      </c>
      <c r="I23" s="47" t="str">
        <f aca="false">IF($A23="","",COUNTIF('Calving Log'!$A:$A,$A23))</f>
        <v/>
      </c>
    </row>
    <row r="24" customFormat="false" ht="15" hidden="false" customHeight="false" outlineLevel="0" collapsed="false">
      <c r="A24" s="47" t="str">
        <f aca="false">IFERROR(INDEX('Animal Register'!$A:$A,MATCH(20,'Animal Register'!$W:$W,0)),"")</f>
        <v/>
      </c>
      <c r="B24" s="47" t="str">
        <f aca="false">IF($A24="","",INDEX('Animal Register'!$C:$C,MATCH($A24,'Animal Register'!$A:$A,0)))</f>
        <v/>
      </c>
      <c r="C24" s="47" t="str">
        <f aca="false">IF($A24="","",INDEX('Animal Register'!$D:$D,MATCH($A24,'Animal Register'!$A:$A,0)))</f>
        <v/>
      </c>
      <c r="D24" s="53" t="str">
        <f aca="false">IF($A24="","",INDEX('Animal Register'!$S:$S,MATCH($A24,'Animal Register'!$A:$A,0)))</f>
        <v/>
      </c>
      <c r="E24" s="47" t="str">
        <f aca="false">IF($A24="","",INDEX('Animal Register'!$Q:$Q,MATCH($A24,'Animal Register'!$A:$A,0)))</f>
        <v/>
      </c>
      <c r="F24" s="52" t="str">
        <f aca="false">IF($A24="","",IF(SUMPRODUCT(MAX(('Breeding Log'!$A$5:$A$154=$A24)*ROW('Breeding Log'!$A$5:$A$154)))=0,"-",INDEX('Breeding Log'!$B:$B,SUMPRODUCT(MAX(('Breeding Log'!$A$5:$A$154=$A24)*ROW('Breeding Log'!$A$5:$A$154))))))</f>
        <v/>
      </c>
      <c r="G24" s="52" t="str">
        <f aca="false">IF($A24="","",IF(SUMPRODUCT(MAX(('Breeding Log'!$A$5:$A$154=$A24)*ROW('Breeding Log'!$A$5:$A$154)))=0,"-",INDEX('Breeding Log'!$E:$E,SUMPRODUCT(MAX(('Breeding Log'!$A$5:$A$154=$A24)*ROW('Breeding Log'!$A$5:$A$154))))))</f>
        <v/>
      </c>
      <c r="H24" s="47" t="str">
        <f aca="false">IF($A24="","",IF(SUMPRODUCT(MAX(('Breeding Log'!$A$5:$A$154=$A24)*ROW('Breeding Log'!$A$5:$A$154)))=0,"-",INDEX('Breeding Log'!$G:$G,SUMPRODUCT(MAX(('Breeding Log'!$A$5:$A$154=$A24)*ROW('Breeding Log'!$A$5:$A$154))))))</f>
        <v/>
      </c>
      <c r="I24" s="47" t="str">
        <f aca="false">IF($A24="","",COUNTIF('Calving Log'!$A:$A,$A24))</f>
        <v/>
      </c>
    </row>
    <row r="25" customFormat="false" ht="15" hidden="false" customHeight="false" outlineLevel="0" collapsed="false">
      <c r="A25" s="47" t="str">
        <f aca="false">IFERROR(INDEX('Animal Register'!$A:$A,MATCH(21,'Animal Register'!$W:$W,0)),"")</f>
        <v/>
      </c>
      <c r="B25" s="47" t="str">
        <f aca="false">IF($A25="","",INDEX('Animal Register'!$C:$C,MATCH($A25,'Animal Register'!$A:$A,0)))</f>
        <v/>
      </c>
      <c r="C25" s="47" t="str">
        <f aca="false">IF($A25="","",INDEX('Animal Register'!$D:$D,MATCH($A25,'Animal Register'!$A:$A,0)))</f>
        <v/>
      </c>
      <c r="D25" s="53" t="str">
        <f aca="false">IF($A25="","",INDEX('Animal Register'!$S:$S,MATCH($A25,'Animal Register'!$A:$A,0)))</f>
        <v/>
      </c>
      <c r="E25" s="47" t="str">
        <f aca="false">IF($A25="","",INDEX('Animal Register'!$Q:$Q,MATCH($A25,'Animal Register'!$A:$A,0)))</f>
        <v/>
      </c>
      <c r="F25" s="52" t="str">
        <f aca="false">IF($A25="","",IF(SUMPRODUCT(MAX(('Breeding Log'!$A$5:$A$154=$A25)*ROW('Breeding Log'!$A$5:$A$154)))=0,"-",INDEX('Breeding Log'!$B:$B,SUMPRODUCT(MAX(('Breeding Log'!$A$5:$A$154=$A25)*ROW('Breeding Log'!$A$5:$A$154))))))</f>
        <v/>
      </c>
      <c r="G25" s="52" t="str">
        <f aca="false">IF($A25="","",IF(SUMPRODUCT(MAX(('Breeding Log'!$A$5:$A$154=$A25)*ROW('Breeding Log'!$A$5:$A$154)))=0,"-",INDEX('Breeding Log'!$E:$E,SUMPRODUCT(MAX(('Breeding Log'!$A$5:$A$154=$A25)*ROW('Breeding Log'!$A$5:$A$154))))))</f>
        <v/>
      </c>
      <c r="H25" s="47" t="str">
        <f aca="false">IF($A25="","",IF(SUMPRODUCT(MAX(('Breeding Log'!$A$5:$A$154=$A25)*ROW('Breeding Log'!$A$5:$A$154)))=0,"-",INDEX('Breeding Log'!$G:$G,SUMPRODUCT(MAX(('Breeding Log'!$A$5:$A$154=$A25)*ROW('Breeding Log'!$A$5:$A$154))))))</f>
        <v/>
      </c>
      <c r="I25" s="47" t="str">
        <f aca="false">IF($A25="","",COUNTIF('Calving Log'!$A:$A,$A25))</f>
        <v/>
      </c>
    </row>
    <row r="26" customFormat="false" ht="15" hidden="false" customHeight="false" outlineLevel="0" collapsed="false">
      <c r="A26" s="47" t="str">
        <f aca="false">IFERROR(INDEX('Animal Register'!$A:$A,MATCH(22,'Animal Register'!$W:$W,0)),"")</f>
        <v/>
      </c>
      <c r="B26" s="47" t="str">
        <f aca="false">IF($A26="","",INDEX('Animal Register'!$C:$C,MATCH($A26,'Animal Register'!$A:$A,0)))</f>
        <v/>
      </c>
      <c r="C26" s="47" t="str">
        <f aca="false">IF($A26="","",INDEX('Animal Register'!$D:$D,MATCH($A26,'Animal Register'!$A:$A,0)))</f>
        <v/>
      </c>
      <c r="D26" s="53" t="str">
        <f aca="false">IF($A26="","",INDEX('Animal Register'!$S:$S,MATCH($A26,'Animal Register'!$A:$A,0)))</f>
        <v/>
      </c>
      <c r="E26" s="47" t="str">
        <f aca="false">IF($A26="","",INDEX('Animal Register'!$Q:$Q,MATCH($A26,'Animal Register'!$A:$A,0)))</f>
        <v/>
      </c>
      <c r="F26" s="52" t="str">
        <f aca="false">IF($A26="","",IF(SUMPRODUCT(MAX(('Breeding Log'!$A$5:$A$154=$A26)*ROW('Breeding Log'!$A$5:$A$154)))=0,"-",INDEX('Breeding Log'!$B:$B,SUMPRODUCT(MAX(('Breeding Log'!$A$5:$A$154=$A26)*ROW('Breeding Log'!$A$5:$A$154))))))</f>
        <v/>
      </c>
      <c r="G26" s="52" t="str">
        <f aca="false">IF($A26="","",IF(SUMPRODUCT(MAX(('Breeding Log'!$A$5:$A$154=$A26)*ROW('Breeding Log'!$A$5:$A$154)))=0,"-",INDEX('Breeding Log'!$E:$E,SUMPRODUCT(MAX(('Breeding Log'!$A$5:$A$154=$A26)*ROW('Breeding Log'!$A$5:$A$154))))))</f>
        <v/>
      </c>
      <c r="H26" s="47" t="str">
        <f aca="false">IF($A26="","",IF(SUMPRODUCT(MAX(('Breeding Log'!$A$5:$A$154=$A26)*ROW('Breeding Log'!$A$5:$A$154)))=0,"-",INDEX('Breeding Log'!$G:$G,SUMPRODUCT(MAX(('Breeding Log'!$A$5:$A$154=$A26)*ROW('Breeding Log'!$A$5:$A$154))))))</f>
        <v/>
      </c>
      <c r="I26" s="47" t="str">
        <f aca="false">IF($A26="","",COUNTIF('Calving Log'!$A:$A,$A26))</f>
        <v/>
      </c>
    </row>
    <row r="27" customFormat="false" ht="15" hidden="false" customHeight="false" outlineLevel="0" collapsed="false">
      <c r="A27" s="47" t="str">
        <f aca="false">IFERROR(INDEX('Animal Register'!$A:$A,MATCH(23,'Animal Register'!$W:$W,0)),"")</f>
        <v/>
      </c>
      <c r="B27" s="47" t="str">
        <f aca="false">IF($A27="","",INDEX('Animal Register'!$C:$C,MATCH($A27,'Animal Register'!$A:$A,0)))</f>
        <v/>
      </c>
      <c r="C27" s="47" t="str">
        <f aca="false">IF($A27="","",INDEX('Animal Register'!$D:$D,MATCH($A27,'Animal Register'!$A:$A,0)))</f>
        <v/>
      </c>
      <c r="D27" s="53" t="str">
        <f aca="false">IF($A27="","",INDEX('Animal Register'!$S:$S,MATCH($A27,'Animal Register'!$A:$A,0)))</f>
        <v/>
      </c>
      <c r="E27" s="47" t="str">
        <f aca="false">IF($A27="","",INDEX('Animal Register'!$Q:$Q,MATCH($A27,'Animal Register'!$A:$A,0)))</f>
        <v/>
      </c>
      <c r="F27" s="52" t="str">
        <f aca="false">IF($A27="","",IF(SUMPRODUCT(MAX(('Breeding Log'!$A$5:$A$154=$A27)*ROW('Breeding Log'!$A$5:$A$154)))=0,"-",INDEX('Breeding Log'!$B:$B,SUMPRODUCT(MAX(('Breeding Log'!$A$5:$A$154=$A27)*ROW('Breeding Log'!$A$5:$A$154))))))</f>
        <v/>
      </c>
      <c r="G27" s="52" t="str">
        <f aca="false">IF($A27="","",IF(SUMPRODUCT(MAX(('Breeding Log'!$A$5:$A$154=$A27)*ROW('Breeding Log'!$A$5:$A$154)))=0,"-",INDEX('Breeding Log'!$E:$E,SUMPRODUCT(MAX(('Breeding Log'!$A$5:$A$154=$A27)*ROW('Breeding Log'!$A$5:$A$154))))))</f>
        <v/>
      </c>
      <c r="H27" s="47" t="str">
        <f aca="false">IF($A27="","",IF(SUMPRODUCT(MAX(('Breeding Log'!$A$5:$A$154=$A27)*ROW('Breeding Log'!$A$5:$A$154)))=0,"-",INDEX('Breeding Log'!$G:$G,SUMPRODUCT(MAX(('Breeding Log'!$A$5:$A$154=$A27)*ROW('Breeding Log'!$A$5:$A$154))))))</f>
        <v/>
      </c>
      <c r="I27" s="47" t="str">
        <f aca="false">IF($A27="","",COUNTIF('Calving Log'!$A:$A,$A27))</f>
        <v/>
      </c>
    </row>
    <row r="28" customFormat="false" ht="15" hidden="false" customHeight="false" outlineLevel="0" collapsed="false">
      <c r="A28" s="47" t="str">
        <f aca="false">IFERROR(INDEX('Animal Register'!$A:$A,MATCH(24,'Animal Register'!$W:$W,0)),"")</f>
        <v/>
      </c>
      <c r="B28" s="47" t="str">
        <f aca="false">IF($A28="","",INDEX('Animal Register'!$C:$C,MATCH($A28,'Animal Register'!$A:$A,0)))</f>
        <v/>
      </c>
      <c r="C28" s="47" t="str">
        <f aca="false">IF($A28="","",INDEX('Animal Register'!$D:$D,MATCH($A28,'Animal Register'!$A:$A,0)))</f>
        <v/>
      </c>
      <c r="D28" s="53" t="str">
        <f aca="false">IF($A28="","",INDEX('Animal Register'!$S:$S,MATCH($A28,'Animal Register'!$A:$A,0)))</f>
        <v/>
      </c>
      <c r="E28" s="47" t="str">
        <f aca="false">IF($A28="","",INDEX('Animal Register'!$Q:$Q,MATCH($A28,'Animal Register'!$A:$A,0)))</f>
        <v/>
      </c>
      <c r="F28" s="52" t="str">
        <f aca="false">IF($A28="","",IF(SUMPRODUCT(MAX(('Breeding Log'!$A$5:$A$154=$A28)*ROW('Breeding Log'!$A$5:$A$154)))=0,"-",INDEX('Breeding Log'!$B:$B,SUMPRODUCT(MAX(('Breeding Log'!$A$5:$A$154=$A28)*ROW('Breeding Log'!$A$5:$A$154))))))</f>
        <v/>
      </c>
      <c r="G28" s="52" t="str">
        <f aca="false">IF($A28="","",IF(SUMPRODUCT(MAX(('Breeding Log'!$A$5:$A$154=$A28)*ROW('Breeding Log'!$A$5:$A$154)))=0,"-",INDEX('Breeding Log'!$E:$E,SUMPRODUCT(MAX(('Breeding Log'!$A$5:$A$154=$A28)*ROW('Breeding Log'!$A$5:$A$154))))))</f>
        <v/>
      </c>
      <c r="H28" s="47" t="str">
        <f aca="false">IF($A28="","",IF(SUMPRODUCT(MAX(('Breeding Log'!$A$5:$A$154=$A28)*ROW('Breeding Log'!$A$5:$A$154)))=0,"-",INDEX('Breeding Log'!$G:$G,SUMPRODUCT(MAX(('Breeding Log'!$A$5:$A$154=$A28)*ROW('Breeding Log'!$A$5:$A$154))))))</f>
        <v/>
      </c>
      <c r="I28" s="47" t="str">
        <f aca="false">IF($A28="","",COUNTIF('Calving Log'!$A:$A,$A28))</f>
        <v/>
      </c>
    </row>
    <row r="29" customFormat="false" ht="15" hidden="false" customHeight="false" outlineLevel="0" collapsed="false">
      <c r="A29" s="47" t="str">
        <f aca="false">IFERROR(INDEX('Animal Register'!$A:$A,MATCH(25,'Animal Register'!$W:$W,0)),"")</f>
        <v/>
      </c>
      <c r="B29" s="47" t="str">
        <f aca="false">IF($A29="","",INDEX('Animal Register'!$C:$C,MATCH($A29,'Animal Register'!$A:$A,0)))</f>
        <v/>
      </c>
      <c r="C29" s="47" t="str">
        <f aca="false">IF($A29="","",INDEX('Animal Register'!$D:$D,MATCH($A29,'Animal Register'!$A:$A,0)))</f>
        <v/>
      </c>
      <c r="D29" s="53" t="str">
        <f aca="false">IF($A29="","",INDEX('Animal Register'!$S:$S,MATCH($A29,'Animal Register'!$A:$A,0)))</f>
        <v/>
      </c>
      <c r="E29" s="47" t="str">
        <f aca="false">IF($A29="","",INDEX('Animal Register'!$Q:$Q,MATCH($A29,'Animal Register'!$A:$A,0)))</f>
        <v/>
      </c>
      <c r="F29" s="52" t="str">
        <f aca="false">IF($A29="","",IF(SUMPRODUCT(MAX(('Breeding Log'!$A$5:$A$154=$A29)*ROW('Breeding Log'!$A$5:$A$154)))=0,"-",INDEX('Breeding Log'!$B:$B,SUMPRODUCT(MAX(('Breeding Log'!$A$5:$A$154=$A29)*ROW('Breeding Log'!$A$5:$A$154))))))</f>
        <v/>
      </c>
      <c r="G29" s="52" t="str">
        <f aca="false">IF($A29="","",IF(SUMPRODUCT(MAX(('Breeding Log'!$A$5:$A$154=$A29)*ROW('Breeding Log'!$A$5:$A$154)))=0,"-",INDEX('Breeding Log'!$E:$E,SUMPRODUCT(MAX(('Breeding Log'!$A$5:$A$154=$A29)*ROW('Breeding Log'!$A$5:$A$154))))))</f>
        <v/>
      </c>
      <c r="H29" s="47" t="str">
        <f aca="false">IF($A29="","",IF(SUMPRODUCT(MAX(('Breeding Log'!$A$5:$A$154=$A29)*ROW('Breeding Log'!$A$5:$A$154)))=0,"-",INDEX('Breeding Log'!$G:$G,SUMPRODUCT(MAX(('Breeding Log'!$A$5:$A$154=$A29)*ROW('Breeding Log'!$A$5:$A$154))))))</f>
        <v/>
      </c>
      <c r="I29" s="47" t="str">
        <f aca="false">IF($A29="","",COUNTIF('Calving Log'!$A:$A,$A29))</f>
        <v/>
      </c>
    </row>
    <row r="30" customFormat="false" ht="15" hidden="false" customHeight="false" outlineLevel="0" collapsed="false">
      <c r="A30" s="47" t="str">
        <f aca="false">IFERROR(INDEX('Animal Register'!$A:$A,MATCH(26,'Animal Register'!$W:$W,0)),"")</f>
        <v/>
      </c>
      <c r="B30" s="47" t="str">
        <f aca="false">IF($A30="","",INDEX('Animal Register'!$C:$C,MATCH($A30,'Animal Register'!$A:$A,0)))</f>
        <v/>
      </c>
      <c r="C30" s="47" t="str">
        <f aca="false">IF($A30="","",INDEX('Animal Register'!$D:$D,MATCH($A30,'Animal Register'!$A:$A,0)))</f>
        <v/>
      </c>
      <c r="D30" s="53" t="str">
        <f aca="false">IF($A30="","",INDEX('Animal Register'!$S:$S,MATCH($A30,'Animal Register'!$A:$A,0)))</f>
        <v/>
      </c>
      <c r="E30" s="47" t="str">
        <f aca="false">IF($A30="","",INDEX('Animal Register'!$Q:$Q,MATCH($A30,'Animal Register'!$A:$A,0)))</f>
        <v/>
      </c>
      <c r="F30" s="52" t="str">
        <f aca="false">IF($A30="","",IF(SUMPRODUCT(MAX(('Breeding Log'!$A$5:$A$154=$A30)*ROW('Breeding Log'!$A$5:$A$154)))=0,"-",INDEX('Breeding Log'!$B:$B,SUMPRODUCT(MAX(('Breeding Log'!$A$5:$A$154=$A30)*ROW('Breeding Log'!$A$5:$A$154))))))</f>
        <v/>
      </c>
      <c r="G30" s="52" t="str">
        <f aca="false">IF($A30="","",IF(SUMPRODUCT(MAX(('Breeding Log'!$A$5:$A$154=$A30)*ROW('Breeding Log'!$A$5:$A$154)))=0,"-",INDEX('Breeding Log'!$E:$E,SUMPRODUCT(MAX(('Breeding Log'!$A$5:$A$154=$A30)*ROW('Breeding Log'!$A$5:$A$154))))))</f>
        <v/>
      </c>
      <c r="H30" s="47" t="str">
        <f aca="false">IF($A30="","",IF(SUMPRODUCT(MAX(('Breeding Log'!$A$5:$A$154=$A30)*ROW('Breeding Log'!$A$5:$A$154)))=0,"-",INDEX('Breeding Log'!$G:$G,SUMPRODUCT(MAX(('Breeding Log'!$A$5:$A$154=$A30)*ROW('Breeding Log'!$A$5:$A$154))))))</f>
        <v/>
      </c>
      <c r="I30" s="47" t="str">
        <f aca="false">IF($A30="","",COUNTIF('Calving Log'!$A:$A,$A30))</f>
        <v/>
      </c>
    </row>
    <row r="31" customFormat="false" ht="15" hidden="false" customHeight="false" outlineLevel="0" collapsed="false">
      <c r="A31" s="47" t="str">
        <f aca="false">IFERROR(INDEX('Animal Register'!$A:$A,MATCH(27,'Animal Register'!$W:$W,0)),"")</f>
        <v/>
      </c>
      <c r="B31" s="47" t="str">
        <f aca="false">IF($A31="","",INDEX('Animal Register'!$C:$C,MATCH($A31,'Animal Register'!$A:$A,0)))</f>
        <v/>
      </c>
      <c r="C31" s="47" t="str">
        <f aca="false">IF($A31="","",INDEX('Animal Register'!$D:$D,MATCH($A31,'Animal Register'!$A:$A,0)))</f>
        <v/>
      </c>
      <c r="D31" s="53" t="str">
        <f aca="false">IF($A31="","",INDEX('Animal Register'!$S:$S,MATCH($A31,'Animal Register'!$A:$A,0)))</f>
        <v/>
      </c>
      <c r="E31" s="47" t="str">
        <f aca="false">IF($A31="","",INDEX('Animal Register'!$Q:$Q,MATCH($A31,'Animal Register'!$A:$A,0)))</f>
        <v/>
      </c>
      <c r="F31" s="52" t="str">
        <f aca="false">IF($A31="","",IF(SUMPRODUCT(MAX(('Breeding Log'!$A$5:$A$154=$A31)*ROW('Breeding Log'!$A$5:$A$154)))=0,"-",INDEX('Breeding Log'!$B:$B,SUMPRODUCT(MAX(('Breeding Log'!$A$5:$A$154=$A31)*ROW('Breeding Log'!$A$5:$A$154))))))</f>
        <v/>
      </c>
      <c r="G31" s="52" t="str">
        <f aca="false">IF($A31="","",IF(SUMPRODUCT(MAX(('Breeding Log'!$A$5:$A$154=$A31)*ROW('Breeding Log'!$A$5:$A$154)))=0,"-",INDEX('Breeding Log'!$E:$E,SUMPRODUCT(MAX(('Breeding Log'!$A$5:$A$154=$A31)*ROW('Breeding Log'!$A$5:$A$154))))))</f>
        <v/>
      </c>
      <c r="H31" s="47" t="str">
        <f aca="false">IF($A31="","",IF(SUMPRODUCT(MAX(('Breeding Log'!$A$5:$A$154=$A31)*ROW('Breeding Log'!$A$5:$A$154)))=0,"-",INDEX('Breeding Log'!$G:$G,SUMPRODUCT(MAX(('Breeding Log'!$A$5:$A$154=$A31)*ROW('Breeding Log'!$A$5:$A$154))))))</f>
        <v/>
      </c>
      <c r="I31" s="47" t="str">
        <f aca="false">IF($A31="","",COUNTIF('Calving Log'!$A:$A,$A31))</f>
        <v/>
      </c>
    </row>
    <row r="32" customFormat="false" ht="15" hidden="false" customHeight="false" outlineLevel="0" collapsed="false">
      <c r="A32" s="47" t="str">
        <f aca="false">IFERROR(INDEX('Animal Register'!$A:$A,MATCH(28,'Animal Register'!$W:$W,0)),"")</f>
        <v/>
      </c>
      <c r="B32" s="47" t="str">
        <f aca="false">IF($A32="","",INDEX('Animal Register'!$C:$C,MATCH($A32,'Animal Register'!$A:$A,0)))</f>
        <v/>
      </c>
      <c r="C32" s="47" t="str">
        <f aca="false">IF($A32="","",INDEX('Animal Register'!$D:$D,MATCH($A32,'Animal Register'!$A:$A,0)))</f>
        <v/>
      </c>
      <c r="D32" s="53" t="str">
        <f aca="false">IF($A32="","",INDEX('Animal Register'!$S:$S,MATCH($A32,'Animal Register'!$A:$A,0)))</f>
        <v/>
      </c>
      <c r="E32" s="47" t="str">
        <f aca="false">IF($A32="","",INDEX('Animal Register'!$Q:$Q,MATCH($A32,'Animal Register'!$A:$A,0)))</f>
        <v/>
      </c>
      <c r="F32" s="52" t="str">
        <f aca="false">IF($A32="","",IF(SUMPRODUCT(MAX(('Breeding Log'!$A$5:$A$154=$A32)*ROW('Breeding Log'!$A$5:$A$154)))=0,"-",INDEX('Breeding Log'!$B:$B,SUMPRODUCT(MAX(('Breeding Log'!$A$5:$A$154=$A32)*ROW('Breeding Log'!$A$5:$A$154))))))</f>
        <v/>
      </c>
      <c r="G32" s="52" t="str">
        <f aca="false">IF($A32="","",IF(SUMPRODUCT(MAX(('Breeding Log'!$A$5:$A$154=$A32)*ROW('Breeding Log'!$A$5:$A$154)))=0,"-",INDEX('Breeding Log'!$E:$E,SUMPRODUCT(MAX(('Breeding Log'!$A$5:$A$154=$A32)*ROW('Breeding Log'!$A$5:$A$154))))))</f>
        <v/>
      </c>
      <c r="H32" s="47" t="str">
        <f aca="false">IF($A32="","",IF(SUMPRODUCT(MAX(('Breeding Log'!$A$5:$A$154=$A32)*ROW('Breeding Log'!$A$5:$A$154)))=0,"-",INDEX('Breeding Log'!$G:$G,SUMPRODUCT(MAX(('Breeding Log'!$A$5:$A$154=$A32)*ROW('Breeding Log'!$A$5:$A$154))))))</f>
        <v/>
      </c>
      <c r="I32" s="47" t="str">
        <f aca="false">IF($A32="","",COUNTIF('Calving Log'!$A:$A,$A32))</f>
        <v/>
      </c>
    </row>
    <row r="33" customFormat="false" ht="15" hidden="false" customHeight="false" outlineLevel="0" collapsed="false">
      <c r="A33" s="47" t="str">
        <f aca="false">IFERROR(INDEX('Animal Register'!$A:$A,MATCH(29,'Animal Register'!$W:$W,0)),"")</f>
        <v/>
      </c>
      <c r="B33" s="47" t="str">
        <f aca="false">IF($A33="","",INDEX('Animal Register'!$C:$C,MATCH($A33,'Animal Register'!$A:$A,0)))</f>
        <v/>
      </c>
      <c r="C33" s="47" t="str">
        <f aca="false">IF($A33="","",INDEX('Animal Register'!$D:$D,MATCH($A33,'Animal Register'!$A:$A,0)))</f>
        <v/>
      </c>
      <c r="D33" s="53" t="str">
        <f aca="false">IF($A33="","",INDEX('Animal Register'!$S:$S,MATCH($A33,'Animal Register'!$A:$A,0)))</f>
        <v/>
      </c>
      <c r="E33" s="47" t="str">
        <f aca="false">IF($A33="","",INDEX('Animal Register'!$Q:$Q,MATCH($A33,'Animal Register'!$A:$A,0)))</f>
        <v/>
      </c>
      <c r="F33" s="52" t="str">
        <f aca="false">IF($A33="","",IF(SUMPRODUCT(MAX(('Breeding Log'!$A$5:$A$154=$A33)*ROW('Breeding Log'!$A$5:$A$154)))=0,"-",INDEX('Breeding Log'!$B:$B,SUMPRODUCT(MAX(('Breeding Log'!$A$5:$A$154=$A33)*ROW('Breeding Log'!$A$5:$A$154))))))</f>
        <v/>
      </c>
      <c r="G33" s="52" t="str">
        <f aca="false">IF($A33="","",IF(SUMPRODUCT(MAX(('Breeding Log'!$A$5:$A$154=$A33)*ROW('Breeding Log'!$A$5:$A$154)))=0,"-",INDEX('Breeding Log'!$E:$E,SUMPRODUCT(MAX(('Breeding Log'!$A$5:$A$154=$A33)*ROW('Breeding Log'!$A$5:$A$154))))))</f>
        <v/>
      </c>
      <c r="H33" s="47" t="str">
        <f aca="false">IF($A33="","",IF(SUMPRODUCT(MAX(('Breeding Log'!$A$5:$A$154=$A33)*ROW('Breeding Log'!$A$5:$A$154)))=0,"-",INDEX('Breeding Log'!$G:$G,SUMPRODUCT(MAX(('Breeding Log'!$A$5:$A$154=$A33)*ROW('Breeding Log'!$A$5:$A$154))))))</f>
        <v/>
      </c>
      <c r="I33" s="47" t="str">
        <f aca="false">IF($A33="","",COUNTIF('Calving Log'!$A:$A,$A33))</f>
        <v/>
      </c>
    </row>
    <row r="34" customFormat="false" ht="15" hidden="false" customHeight="false" outlineLevel="0" collapsed="false">
      <c r="A34" s="47" t="str">
        <f aca="false">IFERROR(INDEX('Animal Register'!$A:$A,MATCH(30,'Animal Register'!$W:$W,0)),"")</f>
        <v/>
      </c>
      <c r="B34" s="47" t="str">
        <f aca="false">IF($A34="","",INDEX('Animal Register'!$C:$C,MATCH($A34,'Animal Register'!$A:$A,0)))</f>
        <v/>
      </c>
      <c r="C34" s="47" t="str">
        <f aca="false">IF($A34="","",INDEX('Animal Register'!$D:$D,MATCH($A34,'Animal Register'!$A:$A,0)))</f>
        <v/>
      </c>
      <c r="D34" s="53" t="str">
        <f aca="false">IF($A34="","",INDEX('Animal Register'!$S:$S,MATCH($A34,'Animal Register'!$A:$A,0)))</f>
        <v/>
      </c>
      <c r="E34" s="47" t="str">
        <f aca="false">IF($A34="","",INDEX('Animal Register'!$Q:$Q,MATCH($A34,'Animal Register'!$A:$A,0)))</f>
        <v/>
      </c>
      <c r="F34" s="52" t="str">
        <f aca="false">IF($A34="","",IF(SUMPRODUCT(MAX(('Breeding Log'!$A$5:$A$154=$A34)*ROW('Breeding Log'!$A$5:$A$154)))=0,"-",INDEX('Breeding Log'!$B:$B,SUMPRODUCT(MAX(('Breeding Log'!$A$5:$A$154=$A34)*ROW('Breeding Log'!$A$5:$A$154))))))</f>
        <v/>
      </c>
      <c r="G34" s="52" t="str">
        <f aca="false">IF($A34="","",IF(SUMPRODUCT(MAX(('Breeding Log'!$A$5:$A$154=$A34)*ROW('Breeding Log'!$A$5:$A$154)))=0,"-",INDEX('Breeding Log'!$E:$E,SUMPRODUCT(MAX(('Breeding Log'!$A$5:$A$154=$A34)*ROW('Breeding Log'!$A$5:$A$154))))))</f>
        <v/>
      </c>
      <c r="H34" s="47" t="str">
        <f aca="false">IF($A34="","",IF(SUMPRODUCT(MAX(('Breeding Log'!$A$5:$A$154=$A34)*ROW('Breeding Log'!$A$5:$A$154)))=0,"-",INDEX('Breeding Log'!$G:$G,SUMPRODUCT(MAX(('Breeding Log'!$A$5:$A$154=$A34)*ROW('Breeding Log'!$A$5:$A$154))))))</f>
        <v/>
      </c>
      <c r="I34" s="47" t="str">
        <f aca="false">IF($A34="","",COUNTIF('Calving Log'!$A:$A,$A34))</f>
        <v/>
      </c>
    </row>
    <row r="35" customFormat="false" ht="15" hidden="false" customHeight="false" outlineLevel="0" collapsed="false">
      <c r="A35" s="47" t="str">
        <f aca="false">IFERROR(INDEX('Animal Register'!$A:$A,MATCH(31,'Animal Register'!$W:$W,0)),"")</f>
        <v/>
      </c>
      <c r="B35" s="47" t="str">
        <f aca="false">IF($A35="","",INDEX('Animal Register'!$C:$C,MATCH($A35,'Animal Register'!$A:$A,0)))</f>
        <v/>
      </c>
      <c r="C35" s="47" t="str">
        <f aca="false">IF($A35="","",INDEX('Animal Register'!$D:$D,MATCH($A35,'Animal Register'!$A:$A,0)))</f>
        <v/>
      </c>
      <c r="D35" s="53" t="str">
        <f aca="false">IF($A35="","",INDEX('Animal Register'!$S:$S,MATCH($A35,'Animal Register'!$A:$A,0)))</f>
        <v/>
      </c>
      <c r="E35" s="47" t="str">
        <f aca="false">IF($A35="","",INDEX('Animal Register'!$Q:$Q,MATCH($A35,'Animal Register'!$A:$A,0)))</f>
        <v/>
      </c>
      <c r="F35" s="52" t="str">
        <f aca="false">IF($A35="","",IF(SUMPRODUCT(MAX(('Breeding Log'!$A$5:$A$154=$A35)*ROW('Breeding Log'!$A$5:$A$154)))=0,"-",INDEX('Breeding Log'!$B:$B,SUMPRODUCT(MAX(('Breeding Log'!$A$5:$A$154=$A35)*ROW('Breeding Log'!$A$5:$A$154))))))</f>
        <v/>
      </c>
      <c r="G35" s="52" t="str">
        <f aca="false">IF($A35="","",IF(SUMPRODUCT(MAX(('Breeding Log'!$A$5:$A$154=$A35)*ROW('Breeding Log'!$A$5:$A$154)))=0,"-",INDEX('Breeding Log'!$E:$E,SUMPRODUCT(MAX(('Breeding Log'!$A$5:$A$154=$A35)*ROW('Breeding Log'!$A$5:$A$154))))))</f>
        <v/>
      </c>
      <c r="H35" s="47" t="str">
        <f aca="false">IF($A35="","",IF(SUMPRODUCT(MAX(('Breeding Log'!$A$5:$A$154=$A35)*ROW('Breeding Log'!$A$5:$A$154)))=0,"-",INDEX('Breeding Log'!$G:$G,SUMPRODUCT(MAX(('Breeding Log'!$A$5:$A$154=$A35)*ROW('Breeding Log'!$A$5:$A$154))))))</f>
        <v/>
      </c>
      <c r="I35" s="47" t="str">
        <f aca="false">IF($A35="","",COUNTIF('Calving Log'!$A:$A,$A35))</f>
        <v/>
      </c>
    </row>
    <row r="36" customFormat="false" ht="15" hidden="false" customHeight="false" outlineLevel="0" collapsed="false">
      <c r="A36" s="47" t="str">
        <f aca="false">IFERROR(INDEX('Animal Register'!$A:$A,MATCH(32,'Animal Register'!$W:$W,0)),"")</f>
        <v/>
      </c>
      <c r="B36" s="47" t="str">
        <f aca="false">IF($A36="","",INDEX('Animal Register'!$C:$C,MATCH($A36,'Animal Register'!$A:$A,0)))</f>
        <v/>
      </c>
      <c r="C36" s="47" t="str">
        <f aca="false">IF($A36="","",INDEX('Animal Register'!$D:$D,MATCH($A36,'Animal Register'!$A:$A,0)))</f>
        <v/>
      </c>
      <c r="D36" s="53" t="str">
        <f aca="false">IF($A36="","",INDEX('Animal Register'!$S:$S,MATCH($A36,'Animal Register'!$A:$A,0)))</f>
        <v/>
      </c>
      <c r="E36" s="47" t="str">
        <f aca="false">IF($A36="","",INDEX('Animal Register'!$Q:$Q,MATCH($A36,'Animal Register'!$A:$A,0)))</f>
        <v/>
      </c>
      <c r="F36" s="52" t="str">
        <f aca="false">IF($A36="","",IF(SUMPRODUCT(MAX(('Breeding Log'!$A$5:$A$154=$A36)*ROW('Breeding Log'!$A$5:$A$154)))=0,"-",INDEX('Breeding Log'!$B:$B,SUMPRODUCT(MAX(('Breeding Log'!$A$5:$A$154=$A36)*ROW('Breeding Log'!$A$5:$A$154))))))</f>
        <v/>
      </c>
      <c r="G36" s="52" t="str">
        <f aca="false">IF($A36="","",IF(SUMPRODUCT(MAX(('Breeding Log'!$A$5:$A$154=$A36)*ROW('Breeding Log'!$A$5:$A$154)))=0,"-",INDEX('Breeding Log'!$E:$E,SUMPRODUCT(MAX(('Breeding Log'!$A$5:$A$154=$A36)*ROW('Breeding Log'!$A$5:$A$154))))))</f>
        <v/>
      </c>
      <c r="H36" s="47" t="str">
        <f aca="false">IF($A36="","",IF(SUMPRODUCT(MAX(('Breeding Log'!$A$5:$A$154=$A36)*ROW('Breeding Log'!$A$5:$A$154)))=0,"-",INDEX('Breeding Log'!$G:$G,SUMPRODUCT(MAX(('Breeding Log'!$A$5:$A$154=$A36)*ROW('Breeding Log'!$A$5:$A$154))))))</f>
        <v/>
      </c>
      <c r="I36" s="47" t="str">
        <f aca="false">IF($A36="","",COUNTIF('Calving Log'!$A:$A,$A36))</f>
        <v/>
      </c>
    </row>
    <row r="37" customFormat="false" ht="15" hidden="false" customHeight="false" outlineLevel="0" collapsed="false">
      <c r="A37" s="47" t="str">
        <f aca="false">IFERROR(INDEX('Animal Register'!$A:$A,MATCH(33,'Animal Register'!$W:$W,0)),"")</f>
        <v/>
      </c>
      <c r="B37" s="47" t="str">
        <f aca="false">IF($A37="","",INDEX('Animal Register'!$C:$C,MATCH($A37,'Animal Register'!$A:$A,0)))</f>
        <v/>
      </c>
      <c r="C37" s="47" t="str">
        <f aca="false">IF($A37="","",INDEX('Animal Register'!$D:$D,MATCH($A37,'Animal Register'!$A:$A,0)))</f>
        <v/>
      </c>
      <c r="D37" s="53" t="str">
        <f aca="false">IF($A37="","",INDEX('Animal Register'!$S:$S,MATCH($A37,'Animal Register'!$A:$A,0)))</f>
        <v/>
      </c>
      <c r="E37" s="47" t="str">
        <f aca="false">IF($A37="","",INDEX('Animal Register'!$Q:$Q,MATCH($A37,'Animal Register'!$A:$A,0)))</f>
        <v/>
      </c>
      <c r="F37" s="52" t="str">
        <f aca="false">IF($A37="","",IF(SUMPRODUCT(MAX(('Breeding Log'!$A$5:$A$154=$A37)*ROW('Breeding Log'!$A$5:$A$154)))=0,"-",INDEX('Breeding Log'!$B:$B,SUMPRODUCT(MAX(('Breeding Log'!$A$5:$A$154=$A37)*ROW('Breeding Log'!$A$5:$A$154))))))</f>
        <v/>
      </c>
      <c r="G37" s="52" t="str">
        <f aca="false">IF($A37="","",IF(SUMPRODUCT(MAX(('Breeding Log'!$A$5:$A$154=$A37)*ROW('Breeding Log'!$A$5:$A$154)))=0,"-",INDEX('Breeding Log'!$E:$E,SUMPRODUCT(MAX(('Breeding Log'!$A$5:$A$154=$A37)*ROW('Breeding Log'!$A$5:$A$154))))))</f>
        <v/>
      </c>
      <c r="H37" s="47" t="str">
        <f aca="false">IF($A37="","",IF(SUMPRODUCT(MAX(('Breeding Log'!$A$5:$A$154=$A37)*ROW('Breeding Log'!$A$5:$A$154)))=0,"-",INDEX('Breeding Log'!$G:$G,SUMPRODUCT(MAX(('Breeding Log'!$A$5:$A$154=$A37)*ROW('Breeding Log'!$A$5:$A$154))))))</f>
        <v/>
      </c>
      <c r="I37" s="47" t="str">
        <f aca="false">IF($A37="","",COUNTIF('Calving Log'!$A:$A,$A37))</f>
        <v/>
      </c>
    </row>
    <row r="38" customFormat="false" ht="15" hidden="false" customHeight="false" outlineLevel="0" collapsed="false">
      <c r="A38" s="47" t="str">
        <f aca="false">IFERROR(INDEX('Animal Register'!$A:$A,MATCH(34,'Animal Register'!$W:$W,0)),"")</f>
        <v/>
      </c>
      <c r="B38" s="47" t="str">
        <f aca="false">IF($A38="","",INDEX('Animal Register'!$C:$C,MATCH($A38,'Animal Register'!$A:$A,0)))</f>
        <v/>
      </c>
      <c r="C38" s="47" t="str">
        <f aca="false">IF($A38="","",INDEX('Animal Register'!$D:$D,MATCH($A38,'Animal Register'!$A:$A,0)))</f>
        <v/>
      </c>
      <c r="D38" s="53" t="str">
        <f aca="false">IF($A38="","",INDEX('Animal Register'!$S:$S,MATCH($A38,'Animal Register'!$A:$A,0)))</f>
        <v/>
      </c>
      <c r="E38" s="47" t="str">
        <f aca="false">IF($A38="","",INDEX('Animal Register'!$Q:$Q,MATCH($A38,'Animal Register'!$A:$A,0)))</f>
        <v/>
      </c>
      <c r="F38" s="52" t="str">
        <f aca="false">IF($A38="","",IF(SUMPRODUCT(MAX(('Breeding Log'!$A$5:$A$154=$A38)*ROW('Breeding Log'!$A$5:$A$154)))=0,"-",INDEX('Breeding Log'!$B:$B,SUMPRODUCT(MAX(('Breeding Log'!$A$5:$A$154=$A38)*ROW('Breeding Log'!$A$5:$A$154))))))</f>
        <v/>
      </c>
      <c r="G38" s="52" t="str">
        <f aca="false">IF($A38="","",IF(SUMPRODUCT(MAX(('Breeding Log'!$A$5:$A$154=$A38)*ROW('Breeding Log'!$A$5:$A$154)))=0,"-",INDEX('Breeding Log'!$E:$E,SUMPRODUCT(MAX(('Breeding Log'!$A$5:$A$154=$A38)*ROW('Breeding Log'!$A$5:$A$154))))))</f>
        <v/>
      </c>
      <c r="H38" s="47" t="str">
        <f aca="false">IF($A38="","",IF(SUMPRODUCT(MAX(('Breeding Log'!$A$5:$A$154=$A38)*ROW('Breeding Log'!$A$5:$A$154)))=0,"-",INDEX('Breeding Log'!$G:$G,SUMPRODUCT(MAX(('Breeding Log'!$A$5:$A$154=$A38)*ROW('Breeding Log'!$A$5:$A$154))))))</f>
        <v/>
      </c>
      <c r="I38" s="47" t="str">
        <f aca="false">IF($A38="","",COUNTIF('Calving Log'!$A:$A,$A38))</f>
        <v/>
      </c>
    </row>
    <row r="39" customFormat="false" ht="15" hidden="false" customHeight="false" outlineLevel="0" collapsed="false">
      <c r="A39" s="47" t="str">
        <f aca="false">IFERROR(INDEX('Animal Register'!$A:$A,MATCH(35,'Animal Register'!$W:$W,0)),"")</f>
        <v/>
      </c>
      <c r="B39" s="47" t="str">
        <f aca="false">IF($A39="","",INDEX('Animal Register'!$C:$C,MATCH($A39,'Animal Register'!$A:$A,0)))</f>
        <v/>
      </c>
      <c r="C39" s="47" t="str">
        <f aca="false">IF($A39="","",INDEX('Animal Register'!$D:$D,MATCH($A39,'Animal Register'!$A:$A,0)))</f>
        <v/>
      </c>
      <c r="D39" s="53" t="str">
        <f aca="false">IF($A39="","",INDEX('Animal Register'!$S:$S,MATCH($A39,'Animal Register'!$A:$A,0)))</f>
        <v/>
      </c>
      <c r="E39" s="47" t="str">
        <f aca="false">IF($A39="","",INDEX('Animal Register'!$Q:$Q,MATCH($A39,'Animal Register'!$A:$A,0)))</f>
        <v/>
      </c>
      <c r="F39" s="52" t="str">
        <f aca="false">IF($A39="","",IF(SUMPRODUCT(MAX(('Breeding Log'!$A$5:$A$154=$A39)*ROW('Breeding Log'!$A$5:$A$154)))=0,"-",INDEX('Breeding Log'!$B:$B,SUMPRODUCT(MAX(('Breeding Log'!$A$5:$A$154=$A39)*ROW('Breeding Log'!$A$5:$A$154))))))</f>
        <v/>
      </c>
      <c r="G39" s="52" t="str">
        <f aca="false">IF($A39="","",IF(SUMPRODUCT(MAX(('Breeding Log'!$A$5:$A$154=$A39)*ROW('Breeding Log'!$A$5:$A$154)))=0,"-",INDEX('Breeding Log'!$E:$E,SUMPRODUCT(MAX(('Breeding Log'!$A$5:$A$154=$A39)*ROW('Breeding Log'!$A$5:$A$154))))))</f>
        <v/>
      </c>
      <c r="H39" s="47" t="str">
        <f aca="false">IF($A39="","",IF(SUMPRODUCT(MAX(('Breeding Log'!$A$5:$A$154=$A39)*ROW('Breeding Log'!$A$5:$A$154)))=0,"-",INDEX('Breeding Log'!$G:$G,SUMPRODUCT(MAX(('Breeding Log'!$A$5:$A$154=$A39)*ROW('Breeding Log'!$A$5:$A$154))))))</f>
        <v/>
      </c>
      <c r="I39" s="47" t="str">
        <f aca="false">IF($A39="","",COUNTIF('Calving Log'!$A:$A,$A39))</f>
        <v/>
      </c>
    </row>
    <row r="40" customFormat="false" ht="15" hidden="false" customHeight="false" outlineLevel="0" collapsed="false">
      <c r="A40" s="47" t="str">
        <f aca="false">IFERROR(INDEX('Animal Register'!$A:$A,MATCH(36,'Animal Register'!$W:$W,0)),"")</f>
        <v/>
      </c>
      <c r="B40" s="47" t="str">
        <f aca="false">IF($A40="","",INDEX('Animal Register'!$C:$C,MATCH($A40,'Animal Register'!$A:$A,0)))</f>
        <v/>
      </c>
      <c r="C40" s="47" t="str">
        <f aca="false">IF($A40="","",INDEX('Animal Register'!$D:$D,MATCH($A40,'Animal Register'!$A:$A,0)))</f>
        <v/>
      </c>
      <c r="D40" s="53" t="str">
        <f aca="false">IF($A40="","",INDEX('Animal Register'!$S:$S,MATCH($A40,'Animal Register'!$A:$A,0)))</f>
        <v/>
      </c>
      <c r="E40" s="47" t="str">
        <f aca="false">IF($A40="","",INDEX('Animal Register'!$Q:$Q,MATCH($A40,'Animal Register'!$A:$A,0)))</f>
        <v/>
      </c>
      <c r="F40" s="52" t="str">
        <f aca="false">IF($A40="","",IF(SUMPRODUCT(MAX(('Breeding Log'!$A$5:$A$154=$A40)*ROW('Breeding Log'!$A$5:$A$154)))=0,"-",INDEX('Breeding Log'!$B:$B,SUMPRODUCT(MAX(('Breeding Log'!$A$5:$A$154=$A40)*ROW('Breeding Log'!$A$5:$A$154))))))</f>
        <v/>
      </c>
      <c r="G40" s="52" t="str">
        <f aca="false">IF($A40="","",IF(SUMPRODUCT(MAX(('Breeding Log'!$A$5:$A$154=$A40)*ROW('Breeding Log'!$A$5:$A$154)))=0,"-",INDEX('Breeding Log'!$E:$E,SUMPRODUCT(MAX(('Breeding Log'!$A$5:$A$154=$A40)*ROW('Breeding Log'!$A$5:$A$154))))))</f>
        <v/>
      </c>
      <c r="H40" s="47" t="str">
        <f aca="false">IF($A40="","",IF(SUMPRODUCT(MAX(('Breeding Log'!$A$5:$A$154=$A40)*ROW('Breeding Log'!$A$5:$A$154)))=0,"-",INDEX('Breeding Log'!$G:$G,SUMPRODUCT(MAX(('Breeding Log'!$A$5:$A$154=$A40)*ROW('Breeding Log'!$A$5:$A$154))))))</f>
        <v/>
      </c>
      <c r="I40" s="47" t="str">
        <f aca="false">IF($A40="","",COUNTIF('Calving Log'!$A:$A,$A40))</f>
        <v/>
      </c>
    </row>
    <row r="41" customFormat="false" ht="15" hidden="false" customHeight="false" outlineLevel="0" collapsed="false">
      <c r="A41" s="47" t="str">
        <f aca="false">IFERROR(INDEX('Animal Register'!$A:$A,MATCH(37,'Animal Register'!$W:$W,0)),"")</f>
        <v/>
      </c>
      <c r="B41" s="47" t="str">
        <f aca="false">IF($A41="","",INDEX('Animal Register'!$C:$C,MATCH($A41,'Animal Register'!$A:$A,0)))</f>
        <v/>
      </c>
      <c r="C41" s="47" t="str">
        <f aca="false">IF($A41="","",INDEX('Animal Register'!$D:$D,MATCH($A41,'Animal Register'!$A:$A,0)))</f>
        <v/>
      </c>
      <c r="D41" s="53" t="str">
        <f aca="false">IF($A41="","",INDEX('Animal Register'!$S:$S,MATCH($A41,'Animal Register'!$A:$A,0)))</f>
        <v/>
      </c>
      <c r="E41" s="47" t="str">
        <f aca="false">IF($A41="","",INDEX('Animal Register'!$Q:$Q,MATCH($A41,'Animal Register'!$A:$A,0)))</f>
        <v/>
      </c>
      <c r="F41" s="52" t="str">
        <f aca="false">IF($A41="","",IF(SUMPRODUCT(MAX(('Breeding Log'!$A$5:$A$154=$A41)*ROW('Breeding Log'!$A$5:$A$154)))=0,"-",INDEX('Breeding Log'!$B:$B,SUMPRODUCT(MAX(('Breeding Log'!$A$5:$A$154=$A41)*ROW('Breeding Log'!$A$5:$A$154))))))</f>
        <v/>
      </c>
      <c r="G41" s="52" t="str">
        <f aca="false">IF($A41="","",IF(SUMPRODUCT(MAX(('Breeding Log'!$A$5:$A$154=$A41)*ROW('Breeding Log'!$A$5:$A$154)))=0,"-",INDEX('Breeding Log'!$E:$E,SUMPRODUCT(MAX(('Breeding Log'!$A$5:$A$154=$A41)*ROW('Breeding Log'!$A$5:$A$154))))))</f>
        <v/>
      </c>
      <c r="H41" s="47" t="str">
        <f aca="false">IF($A41="","",IF(SUMPRODUCT(MAX(('Breeding Log'!$A$5:$A$154=$A41)*ROW('Breeding Log'!$A$5:$A$154)))=0,"-",INDEX('Breeding Log'!$G:$G,SUMPRODUCT(MAX(('Breeding Log'!$A$5:$A$154=$A41)*ROW('Breeding Log'!$A$5:$A$154))))))</f>
        <v/>
      </c>
      <c r="I41" s="47" t="str">
        <f aca="false">IF($A41="","",COUNTIF('Calving Log'!$A:$A,$A41))</f>
        <v/>
      </c>
    </row>
    <row r="42" customFormat="false" ht="15" hidden="false" customHeight="false" outlineLevel="0" collapsed="false">
      <c r="A42" s="47" t="str">
        <f aca="false">IFERROR(INDEX('Animal Register'!$A:$A,MATCH(38,'Animal Register'!$W:$W,0)),"")</f>
        <v/>
      </c>
      <c r="B42" s="47" t="str">
        <f aca="false">IF($A42="","",INDEX('Animal Register'!$C:$C,MATCH($A42,'Animal Register'!$A:$A,0)))</f>
        <v/>
      </c>
      <c r="C42" s="47" t="str">
        <f aca="false">IF($A42="","",INDEX('Animal Register'!$D:$D,MATCH($A42,'Animal Register'!$A:$A,0)))</f>
        <v/>
      </c>
      <c r="D42" s="53" t="str">
        <f aca="false">IF($A42="","",INDEX('Animal Register'!$S:$S,MATCH($A42,'Animal Register'!$A:$A,0)))</f>
        <v/>
      </c>
      <c r="E42" s="47" t="str">
        <f aca="false">IF($A42="","",INDEX('Animal Register'!$Q:$Q,MATCH($A42,'Animal Register'!$A:$A,0)))</f>
        <v/>
      </c>
      <c r="F42" s="52" t="str">
        <f aca="false">IF($A42="","",IF(SUMPRODUCT(MAX(('Breeding Log'!$A$5:$A$154=$A42)*ROW('Breeding Log'!$A$5:$A$154)))=0,"-",INDEX('Breeding Log'!$B:$B,SUMPRODUCT(MAX(('Breeding Log'!$A$5:$A$154=$A42)*ROW('Breeding Log'!$A$5:$A$154))))))</f>
        <v/>
      </c>
      <c r="G42" s="52" t="str">
        <f aca="false">IF($A42="","",IF(SUMPRODUCT(MAX(('Breeding Log'!$A$5:$A$154=$A42)*ROW('Breeding Log'!$A$5:$A$154)))=0,"-",INDEX('Breeding Log'!$E:$E,SUMPRODUCT(MAX(('Breeding Log'!$A$5:$A$154=$A42)*ROW('Breeding Log'!$A$5:$A$154))))))</f>
        <v/>
      </c>
      <c r="H42" s="47" t="str">
        <f aca="false">IF($A42="","",IF(SUMPRODUCT(MAX(('Breeding Log'!$A$5:$A$154=$A42)*ROW('Breeding Log'!$A$5:$A$154)))=0,"-",INDEX('Breeding Log'!$G:$G,SUMPRODUCT(MAX(('Breeding Log'!$A$5:$A$154=$A42)*ROW('Breeding Log'!$A$5:$A$154))))))</f>
        <v/>
      </c>
      <c r="I42" s="47" t="str">
        <f aca="false">IF($A42="","",COUNTIF('Calving Log'!$A:$A,$A42))</f>
        <v/>
      </c>
    </row>
    <row r="43" customFormat="false" ht="15" hidden="false" customHeight="false" outlineLevel="0" collapsed="false">
      <c r="A43" s="47" t="str">
        <f aca="false">IFERROR(INDEX('Animal Register'!$A:$A,MATCH(39,'Animal Register'!$W:$W,0)),"")</f>
        <v/>
      </c>
      <c r="B43" s="47" t="str">
        <f aca="false">IF($A43="","",INDEX('Animal Register'!$C:$C,MATCH($A43,'Animal Register'!$A:$A,0)))</f>
        <v/>
      </c>
      <c r="C43" s="47" t="str">
        <f aca="false">IF($A43="","",INDEX('Animal Register'!$D:$D,MATCH($A43,'Animal Register'!$A:$A,0)))</f>
        <v/>
      </c>
      <c r="D43" s="53" t="str">
        <f aca="false">IF($A43="","",INDEX('Animal Register'!$S:$S,MATCH($A43,'Animal Register'!$A:$A,0)))</f>
        <v/>
      </c>
      <c r="E43" s="47" t="str">
        <f aca="false">IF($A43="","",INDEX('Animal Register'!$Q:$Q,MATCH($A43,'Animal Register'!$A:$A,0)))</f>
        <v/>
      </c>
      <c r="F43" s="52" t="str">
        <f aca="false">IF($A43="","",IF(SUMPRODUCT(MAX(('Breeding Log'!$A$5:$A$154=$A43)*ROW('Breeding Log'!$A$5:$A$154)))=0,"-",INDEX('Breeding Log'!$B:$B,SUMPRODUCT(MAX(('Breeding Log'!$A$5:$A$154=$A43)*ROW('Breeding Log'!$A$5:$A$154))))))</f>
        <v/>
      </c>
      <c r="G43" s="52" t="str">
        <f aca="false">IF($A43="","",IF(SUMPRODUCT(MAX(('Breeding Log'!$A$5:$A$154=$A43)*ROW('Breeding Log'!$A$5:$A$154)))=0,"-",INDEX('Breeding Log'!$E:$E,SUMPRODUCT(MAX(('Breeding Log'!$A$5:$A$154=$A43)*ROW('Breeding Log'!$A$5:$A$154))))))</f>
        <v/>
      </c>
      <c r="H43" s="47" t="str">
        <f aca="false">IF($A43="","",IF(SUMPRODUCT(MAX(('Breeding Log'!$A$5:$A$154=$A43)*ROW('Breeding Log'!$A$5:$A$154)))=0,"-",INDEX('Breeding Log'!$G:$G,SUMPRODUCT(MAX(('Breeding Log'!$A$5:$A$154=$A43)*ROW('Breeding Log'!$A$5:$A$154))))))</f>
        <v/>
      </c>
      <c r="I43" s="47" t="str">
        <f aca="false">IF($A43="","",COUNTIF('Calving Log'!$A:$A,$A43))</f>
        <v/>
      </c>
    </row>
    <row r="44" customFormat="false" ht="15" hidden="false" customHeight="false" outlineLevel="0" collapsed="false">
      <c r="A44" s="47" t="str">
        <f aca="false">IFERROR(INDEX('Animal Register'!$A:$A,MATCH(40,'Animal Register'!$W:$W,0)),"")</f>
        <v/>
      </c>
      <c r="B44" s="47" t="str">
        <f aca="false">IF($A44="","",INDEX('Animal Register'!$C:$C,MATCH($A44,'Animal Register'!$A:$A,0)))</f>
        <v/>
      </c>
      <c r="C44" s="47" t="str">
        <f aca="false">IF($A44="","",INDEX('Animal Register'!$D:$D,MATCH($A44,'Animal Register'!$A:$A,0)))</f>
        <v/>
      </c>
      <c r="D44" s="53" t="str">
        <f aca="false">IF($A44="","",INDEX('Animal Register'!$S:$S,MATCH($A44,'Animal Register'!$A:$A,0)))</f>
        <v/>
      </c>
      <c r="E44" s="47" t="str">
        <f aca="false">IF($A44="","",INDEX('Animal Register'!$Q:$Q,MATCH($A44,'Animal Register'!$A:$A,0)))</f>
        <v/>
      </c>
      <c r="F44" s="52" t="str">
        <f aca="false">IF($A44="","",IF(SUMPRODUCT(MAX(('Breeding Log'!$A$5:$A$154=$A44)*ROW('Breeding Log'!$A$5:$A$154)))=0,"-",INDEX('Breeding Log'!$B:$B,SUMPRODUCT(MAX(('Breeding Log'!$A$5:$A$154=$A44)*ROW('Breeding Log'!$A$5:$A$154))))))</f>
        <v/>
      </c>
      <c r="G44" s="52" t="str">
        <f aca="false">IF($A44="","",IF(SUMPRODUCT(MAX(('Breeding Log'!$A$5:$A$154=$A44)*ROW('Breeding Log'!$A$5:$A$154)))=0,"-",INDEX('Breeding Log'!$E:$E,SUMPRODUCT(MAX(('Breeding Log'!$A$5:$A$154=$A44)*ROW('Breeding Log'!$A$5:$A$154))))))</f>
        <v/>
      </c>
      <c r="H44" s="47" t="str">
        <f aca="false">IF($A44="","",IF(SUMPRODUCT(MAX(('Breeding Log'!$A$5:$A$154=$A44)*ROW('Breeding Log'!$A$5:$A$154)))=0,"-",INDEX('Breeding Log'!$G:$G,SUMPRODUCT(MAX(('Breeding Log'!$A$5:$A$154=$A44)*ROW('Breeding Log'!$A$5:$A$154))))))</f>
        <v/>
      </c>
      <c r="I44" s="47" t="str">
        <f aca="false">IF($A44="","",COUNTIF('Calving Log'!$A:$A,$A44))</f>
        <v/>
      </c>
    </row>
    <row r="45" customFormat="false" ht="15" hidden="false" customHeight="false" outlineLevel="0" collapsed="false">
      <c r="A45" s="47" t="str">
        <f aca="false">IFERROR(INDEX('Animal Register'!$A:$A,MATCH(41,'Animal Register'!$W:$W,0)),"")</f>
        <v/>
      </c>
      <c r="B45" s="47" t="str">
        <f aca="false">IF($A45="","",INDEX('Animal Register'!$C:$C,MATCH($A45,'Animal Register'!$A:$A,0)))</f>
        <v/>
      </c>
      <c r="C45" s="47" t="str">
        <f aca="false">IF($A45="","",INDEX('Animal Register'!$D:$D,MATCH($A45,'Animal Register'!$A:$A,0)))</f>
        <v/>
      </c>
      <c r="D45" s="53" t="str">
        <f aca="false">IF($A45="","",INDEX('Animal Register'!$S:$S,MATCH($A45,'Animal Register'!$A:$A,0)))</f>
        <v/>
      </c>
      <c r="E45" s="47" t="str">
        <f aca="false">IF($A45="","",INDEX('Animal Register'!$Q:$Q,MATCH($A45,'Animal Register'!$A:$A,0)))</f>
        <v/>
      </c>
      <c r="F45" s="52" t="str">
        <f aca="false">IF($A45="","",IF(SUMPRODUCT(MAX(('Breeding Log'!$A$5:$A$154=$A45)*ROW('Breeding Log'!$A$5:$A$154)))=0,"-",INDEX('Breeding Log'!$B:$B,SUMPRODUCT(MAX(('Breeding Log'!$A$5:$A$154=$A45)*ROW('Breeding Log'!$A$5:$A$154))))))</f>
        <v/>
      </c>
      <c r="G45" s="52" t="str">
        <f aca="false">IF($A45="","",IF(SUMPRODUCT(MAX(('Breeding Log'!$A$5:$A$154=$A45)*ROW('Breeding Log'!$A$5:$A$154)))=0,"-",INDEX('Breeding Log'!$E:$E,SUMPRODUCT(MAX(('Breeding Log'!$A$5:$A$154=$A45)*ROW('Breeding Log'!$A$5:$A$154))))))</f>
        <v/>
      </c>
      <c r="H45" s="47" t="str">
        <f aca="false">IF($A45="","",IF(SUMPRODUCT(MAX(('Breeding Log'!$A$5:$A$154=$A45)*ROW('Breeding Log'!$A$5:$A$154)))=0,"-",INDEX('Breeding Log'!$G:$G,SUMPRODUCT(MAX(('Breeding Log'!$A$5:$A$154=$A45)*ROW('Breeding Log'!$A$5:$A$154))))))</f>
        <v/>
      </c>
      <c r="I45" s="47" t="str">
        <f aca="false">IF($A45="","",COUNTIF('Calving Log'!$A:$A,$A45))</f>
        <v/>
      </c>
    </row>
    <row r="46" customFormat="false" ht="15" hidden="false" customHeight="false" outlineLevel="0" collapsed="false">
      <c r="A46" s="47" t="str">
        <f aca="false">IFERROR(INDEX('Animal Register'!$A:$A,MATCH(42,'Animal Register'!$W:$W,0)),"")</f>
        <v/>
      </c>
      <c r="B46" s="47" t="str">
        <f aca="false">IF($A46="","",INDEX('Animal Register'!$C:$C,MATCH($A46,'Animal Register'!$A:$A,0)))</f>
        <v/>
      </c>
      <c r="C46" s="47" t="str">
        <f aca="false">IF($A46="","",INDEX('Animal Register'!$D:$D,MATCH($A46,'Animal Register'!$A:$A,0)))</f>
        <v/>
      </c>
      <c r="D46" s="53" t="str">
        <f aca="false">IF($A46="","",INDEX('Animal Register'!$S:$S,MATCH($A46,'Animal Register'!$A:$A,0)))</f>
        <v/>
      </c>
      <c r="E46" s="47" t="str">
        <f aca="false">IF($A46="","",INDEX('Animal Register'!$Q:$Q,MATCH($A46,'Animal Register'!$A:$A,0)))</f>
        <v/>
      </c>
      <c r="F46" s="52" t="str">
        <f aca="false">IF($A46="","",IF(SUMPRODUCT(MAX(('Breeding Log'!$A$5:$A$154=$A46)*ROW('Breeding Log'!$A$5:$A$154)))=0,"-",INDEX('Breeding Log'!$B:$B,SUMPRODUCT(MAX(('Breeding Log'!$A$5:$A$154=$A46)*ROW('Breeding Log'!$A$5:$A$154))))))</f>
        <v/>
      </c>
      <c r="G46" s="52" t="str">
        <f aca="false">IF($A46="","",IF(SUMPRODUCT(MAX(('Breeding Log'!$A$5:$A$154=$A46)*ROW('Breeding Log'!$A$5:$A$154)))=0,"-",INDEX('Breeding Log'!$E:$E,SUMPRODUCT(MAX(('Breeding Log'!$A$5:$A$154=$A46)*ROW('Breeding Log'!$A$5:$A$154))))))</f>
        <v/>
      </c>
      <c r="H46" s="47" t="str">
        <f aca="false">IF($A46="","",IF(SUMPRODUCT(MAX(('Breeding Log'!$A$5:$A$154=$A46)*ROW('Breeding Log'!$A$5:$A$154)))=0,"-",INDEX('Breeding Log'!$G:$G,SUMPRODUCT(MAX(('Breeding Log'!$A$5:$A$154=$A46)*ROW('Breeding Log'!$A$5:$A$154))))))</f>
        <v/>
      </c>
      <c r="I46" s="47" t="str">
        <f aca="false">IF($A46="","",COUNTIF('Calving Log'!$A:$A,$A46))</f>
        <v/>
      </c>
    </row>
    <row r="47" customFormat="false" ht="15" hidden="false" customHeight="false" outlineLevel="0" collapsed="false">
      <c r="A47" s="47" t="str">
        <f aca="false">IFERROR(INDEX('Animal Register'!$A:$A,MATCH(43,'Animal Register'!$W:$W,0)),"")</f>
        <v/>
      </c>
      <c r="B47" s="47" t="str">
        <f aca="false">IF($A47="","",INDEX('Animal Register'!$C:$C,MATCH($A47,'Animal Register'!$A:$A,0)))</f>
        <v/>
      </c>
      <c r="C47" s="47" t="str">
        <f aca="false">IF($A47="","",INDEX('Animal Register'!$D:$D,MATCH($A47,'Animal Register'!$A:$A,0)))</f>
        <v/>
      </c>
      <c r="D47" s="53" t="str">
        <f aca="false">IF($A47="","",INDEX('Animal Register'!$S:$S,MATCH($A47,'Animal Register'!$A:$A,0)))</f>
        <v/>
      </c>
      <c r="E47" s="47" t="str">
        <f aca="false">IF($A47="","",INDEX('Animal Register'!$Q:$Q,MATCH($A47,'Animal Register'!$A:$A,0)))</f>
        <v/>
      </c>
      <c r="F47" s="52" t="str">
        <f aca="false">IF($A47="","",IF(SUMPRODUCT(MAX(('Breeding Log'!$A$5:$A$154=$A47)*ROW('Breeding Log'!$A$5:$A$154)))=0,"-",INDEX('Breeding Log'!$B:$B,SUMPRODUCT(MAX(('Breeding Log'!$A$5:$A$154=$A47)*ROW('Breeding Log'!$A$5:$A$154))))))</f>
        <v/>
      </c>
      <c r="G47" s="52" t="str">
        <f aca="false">IF($A47="","",IF(SUMPRODUCT(MAX(('Breeding Log'!$A$5:$A$154=$A47)*ROW('Breeding Log'!$A$5:$A$154)))=0,"-",INDEX('Breeding Log'!$E:$E,SUMPRODUCT(MAX(('Breeding Log'!$A$5:$A$154=$A47)*ROW('Breeding Log'!$A$5:$A$154))))))</f>
        <v/>
      </c>
      <c r="H47" s="47" t="str">
        <f aca="false">IF($A47="","",IF(SUMPRODUCT(MAX(('Breeding Log'!$A$5:$A$154=$A47)*ROW('Breeding Log'!$A$5:$A$154)))=0,"-",INDEX('Breeding Log'!$G:$G,SUMPRODUCT(MAX(('Breeding Log'!$A$5:$A$154=$A47)*ROW('Breeding Log'!$A$5:$A$154))))))</f>
        <v/>
      </c>
      <c r="I47" s="47" t="str">
        <f aca="false">IF($A47="","",COUNTIF('Calving Log'!$A:$A,$A47))</f>
        <v/>
      </c>
    </row>
    <row r="48" customFormat="false" ht="15" hidden="false" customHeight="false" outlineLevel="0" collapsed="false">
      <c r="A48" s="47" t="str">
        <f aca="false">IFERROR(INDEX('Animal Register'!$A:$A,MATCH(44,'Animal Register'!$W:$W,0)),"")</f>
        <v/>
      </c>
      <c r="B48" s="47" t="str">
        <f aca="false">IF($A48="","",INDEX('Animal Register'!$C:$C,MATCH($A48,'Animal Register'!$A:$A,0)))</f>
        <v/>
      </c>
      <c r="C48" s="47" t="str">
        <f aca="false">IF($A48="","",INDEX('Animal Register'!$D:$D,MATCH($A48,'Animal Register'!$A:$A,0)))</f>
        <v/>
      </c>
      <c r="D48" s="53" t="str">
        <f aca="false">IF($A48="","",INDEX('Animal Register'!$S:$S,MATCH($A48,'Animal Register'!$A:$A,0)))</f>
        <v/>
      </c>
      <c r="E48" s="47" t="str">
        <f aca="false">IF($A48="","",INDEX('Animal Register'!$Q:$Q,MATCH($A48,'Animal Register'!$A:$A,0)))</f>
        <v/>
      </c>
      <c r="F48" s="52" t="str">
        <f aca="false">IF($A48="","",IF(SUMPRODUCT(MAX(('Breeding Log'!$A$5:$A$154=$A48)*ROW('Breeding Log'!$A$5:$A$154)))=0,"-",INDEX('Breeding Log'!$B:$B,SUMPRODUCT(MAX(('Breeding Log'!$A$5:$A$154=$A48)*ROW('Breeding Log'!$A$5:$A$154))))))</f>
        <v/>
      </c>
      <c r="G48" s="52" t="str">
        <f aca="false">IF($A48="","",IF(SUMPRODUCT(MAX(('Breeding Log'!$A$5:$A$154=$A48)*ROW('Breeding Log'!$A$5:$A$154)))=0,"-",INDEX('Breeding Log'!$E:$E,SUMPRODUCT(MAX(('Breeding Log'!$A$5:$A$154=$A48)*ROW('Breeding Log'!$A$5:$A$154))))))</f>
        <v/>
      </c>
      <c r="H48" s="47" t="str">
        <f aca="false">IF($A48="","",IF(SUMPRODUCT(MAX(('Breeding Log'!$A$5:$A$154=$A48)*ROW('Breeding Log'!$A$5:$A$154)))=0,"-",INDEX('Breeding Log'!$G:$G,SUMPRODUCT(MAX(('Breeding Log'!$A$5:$A$154=$A48)*ROW('Breeding Log'!$A$5:$A$154))))))</f>
        <v/>
      </c>
      <c r="I48" s="47" t="str">
        <f aca="false">IF($A48="","",COUNTIF('Calving Log'!$A:$A,$A48))</f>
        <v/>
      </c>
    </row>
    <row r="49" customFormat="false" ht="15" hidden="false" customHeight="false" outlineLevel="0" collapsed="false">
      <c r="A49" s="47" t="str">
        <f aca="false">IFERROR(INDEX('Animal Register'!$A:$A,MATCH(45,'Animal Register'!$W:$W,0)),"")</f>
        <v/>
      </c>
      <c r="B49" s="47" t="str">
        <f aca="false">IF($A49="","",INDEX('Animal Register'!$C:$C,MATCH($A49,'Animal Register'!$A:$A,0)))</f>
        <v/>
      </c>
      <c r="C49" s="47" t="str">
        <f aca="false">IF($A49="","",INDEX('Animal Register'!$D:$D,MATCH($A49,'Animal Register'!$A:$A,0)))</f>
        <v/>
      </c>
      <c r="D49" s="53" t="str">
        <f aca="false">IF($A49="","",INDEX('Animal Register'!$S:$S,MATCH($A49,'Animal Register'!$A:$A,0)))</f>
        <v/>
      </c>
      <c r="E49" s="47" t="str">
        <f aca="false">IF($A49="","",INDEX('Animal Register'!$Q:$Q,MATCH($A49,'Animal Register'!$A:$A,0)))</f>
        <v/>
      </c>
      <c r="F49" s="52" t="str">
        <f aca="false">IF($A49="","",IF(SUMPRODUCT(MAX(('Breeding Log'!$A$5:$A$154=$A49)*ROW('Breeding Log'!$A$5:$A$154)))=0,"-",INDEX('Breeding Log'!$B:$B,SUMPRODUCT(MAX(('Breeding Log'!$A$5:$A$154=$A49)*ROW('Breeding Log'!$A$5:$A$154))))))</f>
        <v/>
      </c>
      <c r="G49" s="52" t="str">
        <f aca="false">IF($A49="","",IF(SUMPRODUCT(MAX(('Breeding Log'!$A$5:$A$154=$A49)*ROW('Breeding Log'!$A$5:$A$154)))=0,"-",INDEX('Breeding Log'!$E:$E,SUMPRODUCT(MAX(('Breeding Log'!$A$5:$A$154=$A49)*ROW('Breeding Log'!$A$5:$A$154))))))</f>
        <v/>
      </c>
      <c r="H49" s="47" t="str">
        <f aca="false">IF($A49="","",IF(SUMPRODUCT(MAX(('Breeding Log'!$A$5:$A$154=$A49)*ROW('Breeding Log'!$A$5:$A$154)))=0,"-",INDEX('Breeding Log'!$G:$G,SUMPRODUCT(MAX(('Breeding Log'!$A$5:$A$154=$A49)*ROW('Breeding Log'!$A$5:$A$154))))))</f>
        <v/>
      </c>
      <c r="I49" s="47" t="str">
        <f aca="false">IF($A49="","",COUNTIF('Calving Log'!$A:$A,$A49))</f>
        <v/>
      </c>
    </row>
    <row r="50" customFormat="false" ht="15" hidden="false" customHeight="false" outlineLevel="0" collapsed="false">
      <c r="A50" s="47" t="str">
        <f aca="false">IFERROR(INDEX('Animal Register'!$A:$A,MATCH(46,'Animal Register'!$W:$W,0)),"")</f>
        <v/>
      </c>
      <c r="B50" s="47" t="str">
        <f aca="false">IF($A50="","",INDEX('Animal Register'!$C:$C,MATCH($A50,'Animal Register'!$A:$A,0)))</f>
        <v/>
      </c>
      <c r="C50" s="47" t="str">
        <f aca="false">IF($A50="","",INDEX('Animal Register'!$D:$D,MATCH($A50,'Animal Register'!$A:$A,0)))</f>
        <v/>
      </c>
      <c r="D50" s="53" t="str">
        <f aca="false">IF($A50="","",INDEX('Animal Register'!$S:$S,MATCH($A50,'Animal Register'!$A:$A,0)))</f>
        <v/>
      </c>
      <c r="E50" s="47" t="str">
        <f aca="false">IF($A50="","",INDEX('Animal Register'!$Q:$Q,MATCH($A50,'Animal Register'!$A:$A,0)))</f>
        <v/>
      </c>
      <c r="F50" s="52" t="str">
        <f aca="false">IF($A50="","",IF(SUMPRODUCT(MAX(('Breeding Log'!$A$5:$A$154=$A50)*ROW('Breeding Log'!$A$5:$A$154)))=0,"-",INDEX('Breeding Log'!$B:$B,SUMPRODUCT(MAX(('Breeding Log'!$A$5:$A$154=$A50)*ROW('Breeding Log'!$A$5:$A$154))))))</f>
        <v/>
      </c>
      <c r="G50" s="52" t="str">
        <f aca="false">IF($A50="","",IF(SUMPRODUCT(MAX(('Breeding Log'!$A$5:$A$154=$A50)*ROW('Breeding Log'!$A$5:$A$154)))=0,"-",INDEX('Breeding Log'!$E:$E,SUMPRODUCT(MAX(('Breeding Log'!$A$5:$A$154=$A50)*ROW('Breeding Log'!$A$5:$A$154))))))</f>
        <v/>
      </c>
      <c r="H50" s="47" t="str">
        <f aca="false">IF($A50="","",IF(SUMPRODUCT(MAX(('Breeding Log'!$A$5:$A$154=$A50)*ROW('Breeding Log'!$A$5:$A$154)))=0,"-",INDEX('Breeding Log'!$G:$G,SUMPRODUCT(MAX(('Breeding Log'!$A$5:$A$154=$A50)*ROW('Breeding Log'!$A$5:$A$154))))))</f>
        <v/>
      </c>
      <c r="I50" s="47" t="str">
        <f aca="false">IF($A50="","",COUNTIF('Calving Log'!$A:$A,$A50))</f>
        <v/>
      </c>
    </row>
    <row r="51" customFormat="false" ht="15" hidden="false" customHeight="false" outlineLevel="0" collapsed="false">
      <c r="A51" s="47" t="str">
        <f aca="false">IFERROR(INDEX('Animal Register'!$A:$A,MATCH(47,'Animal Register'!$W:$W,0)),"")</f>
        <v/>
      </c>
      <c r="B51" s="47" t="str">
        <f aca="false">IF($A51="","",INDEX('Animal Register'!$C:$C,MATCH($A51,'Animal Register'!$A:$A,0)))</f>
        <v/>
      </c>
      <c r="C51" s="47" t="str">
        <f aca="false">IF($A51="","",INDEX('Animal Register'!$D:$D,MATCH($A51,'Animal Register'!$A:$A,0)))</f>
        <v/>
      </c>
      <c r="D51" s="53" t="str">
        <f aca="false">IF($A51="","",INDEX('Animal Register'!$S:$S,MATCH($A51,'Animal Register'!$A:$A,0)))</f>
        <v/>
      </c>
      <c r="E51" s="47" t="str">
        <f aca="false">IF($A51="","",INDEX('Animal Register'!$Q:$Q,MATCH($A51,'Animal Register'!$A:$A,0)))</f>
        <v/>
      </c>
      <c r="F51" s="52" t="str">
        <f aca="false">IF($A51="","",IF(SUMPRODUCT(MAX(('Breeding Log'!$A$5:$A$154=$A51)*ROW('Breeding Log'!$A$5:$A$154)))=0,"-",INDEX('Breeding Log'!$B:$B,SUMPRODUCT(MAX(('Breeding Log'!$A$5:$A$154=$A51)*ROW('Breeding Log'!$A$5:$A$154))))))</f>
        <v/>
      </c>
      <c r="G51" s="52" t="str">
        <f aca="false">IF($A51="","",IF(SUMPRODUCT(MAX(('Breeding Log'!$A$5:$A$154=$A51)*ROW('Breeding Log'!$A$5:$A$154)))=0,"-",INDEX('Breeding Log'!$E:$E,SUMPRODUCT(MAX(('Breeding Log'!$A$5:$A$154=$A51)*ROW('Breeding Log'!$A$5:$A$154))))))</f>
        <v/>
      </c>
      <c r="H51" s="47" t="str">
        <f aca="false">IF($A51="","",IF(SUMPRODUCT(MAX(('Breeding Log'!$A$5:$A$154=$A51)*ROW('Breeding Log'!$A$5:$A$154)))=0,"-",INDEX('Breeding Log'!$G:$G,SUMPRODUCT(MAX(('Breeding Log'!$A$5:$A$154=$A51)*ROW('Breeding Log'!$A$5:$A$154))))))</f>
        <v/>
      </c>
      <c r="I51" s="47" t="str">
        <f aca="false">IF($A51="","",COUNTIF('Calving Log'!$A:$A,$A51))</f>
        <v/>
      </c>
    </row>
    <row r="52" customFormat="false" ht="15" hidden="false" customHeight="false" outlineLevel="0" collapsed="false">
      <c r="A52" s="47" t="str">
        <f aca="false">IFERROR(INDEX('Animal Register'!$A:$A,MATCH(48,'Animal Register'!$W:$W,0)),"")</f>
        <v/>
      </c>
      <c r="B52" s="47" t="str">
        <f aca="false">IF($A52="","",INDEX('Animal Register'!$C:$C,MATCH($A52,'Animal Register'!$A:$A,0)))</f>
        <v/>
      </c>
      <c r="C52" s="47" t="str">
        <f aca="false">IF($A52="","",INDEX('Animal Register'!$D:$D,MATCH($A52,'Animal Register'!$A:$A,0)))</f>
        <v/>
      </c>
      <c r="D52" s="53" t="str">
        <f aca="false">IF($A52="","",INDEX('Animal Register'!$S:$S,MATCH($A52,'Animal Register'!$A:$A,0)))</f>
        <v/>
      </c>
      <c r="E52" s="47" t="str">
        <f aca="false">IF($A52="","",INDEX('Animal Register'!$Q:$Q,MATCH($A52,'Animal Register'!$A:$A,0)))</f>
        <v/>
      </c>
      <c r="F52" s="52" t="str">
        <f aca="false">IF($A52="","",IF(SUMPRODUCT(MAX(('Breeding Log'!$A$5:$A$154=$A52)*ROW('Breeding Log'!$A$5:$A$154)))=0,"-",INDEX('Breeding Log'!$B:$B,SUMPRODUCT(MAX(('Breeding Log'!$A$5:$A$154=$A52)*ROW('Breeding Log'!$A$5:$A$154))))))</f>
        <v/>
      </c>
      <c r="G52" s="52" t="str">
        <f aca="false">IF($A52="","",IF(SUMPRODUCT(MAX(('Breeding Log'!$A$5:$A$154=$A52)*ROW('Breeding Log'!$A$5:$A$154)))=0,"-",INDEX('Breeding Log'!$E:$E,SUMPRODUCT(MAX(('Breeding Log'!$A$5:$A$154=$A52)*ROW('Breeding Log'!$A$5:$A$154))))))</f>
        <v/>
      </c>
      <c r="H52" s="47" t="str">
        <f aca="false">IF($A52="","",IF(SUMPRODUCT(MAX(('Breeding Log'!$A$5:$A$154=$A52)*ROW('Breeding Log'!$A$5:$A$154)))=0,"-",INDEX('Breeding Log'!$G:$G,SUMPRODUCT(MAX(('Breeding Log'!$A$5:$A$154=$A52)*ROW('Breeding Log'!$A$5:$A$154))))))</f>
        <v/>
      </c>
      <c r="I52" s="47" t="str">
        <f aca="false">IF($A52="","",COUNTIF('Calving Log'!$A:$A,$A52))</f>
        <v/>
      </c>
    </row>
    <row r="53" customFormat="false" ht="15" hidden="false" customHeight="false" outlineLevel="0" collapsed="false">
      <c r="A53" s="47" t="str">
        <f aca="false">IFERROR(INDEX('Animal Register'!$A:$A,MATCH(49,'Animal Register'!$W:$W,0)),"")</f>
        <v/>
      </c>
      <c r="B53" s="47" t="str">
        <f aca="false">IF($A53="","",INDEX('Animal Register'!$C:$C,MATCH($A53,'Animal Register'!$A:$A,0)))</f>
        <v/>
      </c>
      <c r="C53" s="47" t="str">
        <f aca="false">IF($A53="","",INDEX('Animal Register'!$D:$D,MATCH($A53,'Animal Register'!$A:$A,0)))</f>
        <v/>
      </c>
      <c r="D53" s="53" t="str">
        <f aca="false">IF($A53="","",INDEX('Animal Register'!$S:$S,MATCH($A53,'Animal Register'!$A:$A,0)))</f>
        <v/>
      </c>
      <c r="E53" s="47" t="str">
        <f aca="false">IF($A53="","",INDEX('Animal Register'!$Q:$Q,MATCH($A53,'Animal Register'!$A:$A,0)))</f>
        <v/>
      </c>
      <c r="F53" s="52" t="str">
        <f aca="false">IF($A53="","",IF(SUMPRODUCT(MAX(('Breeding Log'!$A$5:$A$154=$A53)*ROW('Breeding Log'!$A$5:$A$154)))=0,"-",INDEX('Breeding Log'!$B:$B,SUMPRODUCT(MAX(('Breeding Log'!$A$5:$A$154=$A53)*ROW('Breeding Log'!$A$5:$A$154))))))</f>
        <v/>
      </c>
      <c r="G53" s="52" t="str">
        <f aca="false">IF($A53="","",IF(SUMPRODUCT(MAX(('Breeding Log'!$A$5:$A$154=$A53)*ROW('Breeding Log'!$A$5:$A$154)))=0,"-",INDEX('Breeding Log'!$E:$E,SUMPRODUCT(MAX(('Breeding Log'!$A$5:$A$154=$A53)*ROW('Breeding Log'!$A$5:$A$154))))))</f>
        <v/>
      </c>
      <c r="H53" s="47" t="str">
        <f aca="false">IF($A53="","",IF(SUMPRODUCT(MAX(('Breeding Log'!$A$5:$A$154=$A53)*ROW('Breeding Log'!$A$5:$A$154)))=0,"-",INDEX('Breeding Log'!$G:$G,SUMPRODUCT(MAX(('Breeding Log'!$A$5:$A$154=$A53)*ROW('Breeding Log'!$A$5:$A$154))))))</f>
        <v/>
      </c>
      <c r="I53" s="47" t="str">
        <f aca="false">IF($A53="","",COUNTIF('Calving Log'!$A:$A,$A53))</f>
        <v/>
      </c>
    </row>
    <row r="54" customFormat="false" ht="15" hidden="false" customHeight="false" outlineLevel="0" collapsed="false">
      <c r="A54" s="47" t="str">
        <f aca="false">IFERROR(INDEX('Animal Register'!$A:$A,MATCH(50,'Animal Register'!$W:$W,0)),"")</f>
        <v/>
      </c>
      <c r="B54" s="47" t="str">
        <f aca="false">IF($A54="","",INDEX('Animal Register'!$C:$C,MATCH($A54,'Animal Register'!$A:$A,0)))</f>
        <v/>
      </c>
      <c r="C54" s="47" t="str">
        <f aca="false">IF($A54="","",INDEX('Animal Register'!$D:$D,MATCH($A54,'Animal Register'!$A:$A,0)))</f>
        <v/>
      </c>
      <c r="D54" s="53" t="str">
        <f aca="false">IF($A54="","",INDEX('Animal Register'!$S:$S,MATCH($A54,'Animal Register'!$A:$A,0)))</f>
        <v/>
      </c>
      <c r="E54" s="47" t="str">
        <f aca="false">IF($A54="","",INDEX('Animal Register'!$Q:$Q,MATCH($A54,'Animal Register'!$A:$A,0)))</f>
        <v/>
      </c>
      <c r="F54" s="52" t="str">
        <f aca="false">IF($A54="","",IF(SUMPRODUCT(MAX(('Breeding Log'!$A$5:$A$154=$A54)*ROW('Breeding Log'!$A$5:$A$154)))=0,"-",INDEX('Breeding Log'!$B:$B,SUMPRODUCT(MAX(('Breeding Log'!$A$5:$A$154=$A54)*ROW('Breeding Log'!$A$5:$A$154))))))</f>
        <v/>
      </c>
      <c r="G54" s="52" t="str">
        <f aca="false">IF($A54="","",IF(SUMPRODUCT(MAX(('Breeding Log'!$A$5:$A$154=$A54)*ROW('Breeding Log'!$A$5:$A$154)))=0,"-",INDEX('Breeding Log'!$E:$E,SUMPRODUCT(MAX(('Breeding Log'!$A$5:$A$154=$A54)*ROW('Breeding Log'!$A$5:$A$154))))))</f>
        <v/>
      </c>
      <c r="H54" s="47" t="str">
        <f aca="false">IF($A54="","",IF(SUMPRODUCT(MAX(('Breeding Log'!$A$5:$A$154=$A54)*ROW('Breeding Log'!$A$5:$A$154)))=0,"-",INDEX('Breeding Log'!$G:$G,SUMPRODUCT(MAX(('Breeding Log'!$A$5:$A$154=$A54)*ROW('Breeding Log'!$A$5:$A$154))))))</f>
        <v/>
      </c>
      <c r="I54" s="47" t="str">
        <f aca="false">IF($A54="","",COUNTIF('Calving Log'!$A:$A,$A54))</f>
        <v/>
      </c>
    </row>
    <row r="55" customFormat="false" ht="15" hidden="false" customHeight="false" outlineLevel="0" collapsed="false">
      <c r="A55" s="47" t="str">
        <f aca="false">IFERROR(INDEX('Animal Register'!$A:$A,MATCH(51,'Animal Register'!$W:$W,0)),"")</f>
        <v/>
      </c>
      <c r="B55" s="47" t="str">
        <f aca="false">IF($A55="","",INDEX('Animal Register'!$C:$C,MATCH($A55,'Animal Register'!$A:$A,0)))</f>
        <v/>
      </c>
      <c r="C55" s="47" t="str">
        <f aca="false">IF($A55="","",INDEX('Animal Register'!$D:$D,MATCH($A55,'Animal Register'!$A:$A,0)))</f>
        <v/>
      </c>
      <c r="D55" s="53" t="str">
        <f aca="false">IF($A55="","",INDEX('Animal Register'!$S:$S,MATCH($A55,'Animal Register'!$A:$A,0)))</f>
        <v/>
      </c>
      <c r="E55" s="47" t="str">
        <f aca="false">IF($A55="","",INDEX('Animal Register'!$Q:$Q,MATCH($A55,'Animal Register'!$A:$A,0)))</f>
        <v/>
      </c>
      <c r="F55" s="52" t="str">
        <f aca="false">IF($A55="","",IF(SUMPRODUCT(MAX(('Breeding Log'!$A$5:$A$154=$A55)*ROW('Breeding Log'!$A$5:$A$154)))=0,"-",INDEX('Breeding Log'!$B:$B,SUMPRODUCT(MAX(('Breeding Log'!$A$5:$A$154=$A55)*ROW('Breeding Log'!$A$5:$A$154))))))</f>
        <v/>
      </c>
      <c r="G55" s="52" t="str">
        <f aca="false">IF($A55="","",IF(SUMPRODUCT(MAX(('Breeding Log'!$A$5:$A$154=$A55)*ROW('Breeding Log'!$A$5:$A$154)))=0,"-",INDEX('Breeding Log'!$E:$E,SUMPRODUCT(MAX(('Breeding Log'!$A$5:$A$154=$A55)*ROW('Breeding Log'!$A$5:$A$154))))))</f>
        <v/>
      </c>
      <c r="H55" s="47" t="str">
        <f aca="false">IF($A55="","",IF(SUMPRODUCT(MAX(('Breeding Log'!$A$5:$A$154=$A55)*ROW('Breeding Log'!$A$5:$A$154)))=0,"-",INDEX('Breeding Log'!$G:$G,SUMPRODUCT(MAX(('Breeding Log'!$A$5:$A$154=$A55)*ROW('Breeding Log'!$A$5:$A$154))))))</f>
        <v/>
      </c>
      <c r="I55" s="47" t="str">
        <f aca="false">IF($A55="","",COUNTIF('Calving Log'!$A:$A,$A55))</f>
        <v/>
      </c>
    </row>
    <row r="56" customFormat="false" ht="15" hidden="false" customHeight="false" outlineLevel="0" collapsed="false">
      <c r="A56" s="47" t="str">
        <f aca="false">IFERROR(INDEX('Animal Register'!$A:$A,MATCH(52,'Animal Register'!$W:$W,0)),"")</f>
        <v/>
      </c>
      <c r="B56" s="47" t="str">
        <f aca="false">IF($A56="","",INDEX('Animal Register'!$C:$C,MATCH($A56,'Animal Register'!$A:$A,0)))</f>
        <v/>
      </c>
      <c r="C56" s="47" t="str">
        <f aca="false">IF($A56="","",INDEX('Animal Register'!$D:$D,MATCH($A56,'Animal Register'!$A:$A,0)))</f>
        <v/>
      </c>
      <c r="D56" s="53" t="str">
        <f aca="false">IF($A56="","",INDEX('Animal Register'!$S:$S,MATCH($A56,'Animal Register'!$A:$A,0)))</f>
        <v/>
      </c>
      <c r="E56" s="47" t="str">
        <f aca="false">IF($A56="","",INDEX('Animal Register'!$Q:$Q,MATCH($A56,'Animal Register'!$A:$A,0)))</f>
        <v/>
      </c>
      <c r="F56" s="52" t="str">
        <f aca="false">IF($A56="","",IF(SUMPRODUCT(MAX(('Breeding Log'!$A$5:$A$154=$A56)*ROW('Breeding Log'!$A$5:$A$154)))=0,"-",INDEX('Breeding Log'!$B:$B,SUMPRODUCT(MAX(('Breeding Log'!$A$5:$A$154=$A56)*ROW('Breeding Log'!$A$5:$A$154))))))</f>
        <v/>
      </c>
      <c r="G56" s="52" t="str">
        <f aca="false">IF($A56="","",IF(SUMPRODUCT(MAX(('Breeding Log'!$A$5:$A$154=$A56)*ROW('Breeding Log'!$A$5:$A$154)))=0,"-",INDEX('Breeding Log'!$E:$E,SUMPRODUCT(MAX(('Breeding Log'!$A$5:$A$154=$A56)*ROW('Breeding Log'!$A$5:$A$154))))))</f>
        <v/>
      </c>
      <c r="H56" s="47" t="str">
        <f aca="false">IF($A56="","",IF(SUMPRODUCT(MAX(('Breeding Log'!$A$5:$A$154=$A56)*ROW('Breeding Log'!$A$5:$A$154)))=0,"-",INDEX('Breeding Log'!$G:$G,SUMPRODUCT(MAX(('Breeding Log'!$A$5:$A$154=$A56)*ROW('Breeding Log'!$A$5:$A$154))))))</f>
        <v/>
      </c>
      <c r="I56" s="47" t="str">
        <f aca="false">IF($A56="","",COUNTIF('Calving Log'!$A:$A,$A56))</f>
        <v/>
      </c>
    </row>
    <row r="57" customFormat="false" ht="15" hidden="false" customHeight="false" outlineLevel="0" collapsed="false">
      <c r="A57" s="47" t="str">
        <f aca="false">IFERROR(INDEX('Animal Register'!$A:$A,MATCH(53,'Animal Register'!$W:$W,0)),"")</f>
        <v/>
      </c>
      <c r="B57" s="47" t="str">
        <f aca="false">IF($A57="","",INDEX('Animal Register'!$C:$C,MATCH($A57,'Animal Register'!$A:$A,0)))</f>
        <v/>
      </c>
      <c r="C57" s="47" t="str">
        <f aca="false">IF($A57="","",INDEX('Animal Register'!$D:$D,MATCH($A57,'Animal Register'!$A:$A,0)))</f>
        <v/>
      </c>
      <c r="D57" s="53" t="str">
        <f aca="false">IF($A57="","",INDEX('Animal Register'!$S:$S,MATCH($A57,'Animal Register'!$A:$A,0)))</f>
        <v/>
      </c>
      <c r="E57" s="47" t="str">
        <f aca="false">IF($A57="","",INDEX('Animal Register'!$Q:$Q,MATCH($A57,'Animal Register'!$A:$A,0)))</f>
        <v/>
      </c>
      <c r="F57" s="52" t="str">
        <f aca="false">IF($A57="","",IF(SUMPRODUCT(MAX(('Breeding Log'!$A$5:$A$154=$A57)*ROW('Breeding Log'!$A$5:$A$154)))=0,"-",INDEX('Breeding Log'!$B:$B,SUMPRODUCT(MAX(('Breeding Log'!$A$5:$A$154=$A57)*ROW('Breeding Log'!$A$5:$A$154))))))</f>
        <v/>
      </c>
      <c r="G57" s="52" t="str">
        <f aca="false">IF($A57="","",IF(SUMPRODUCT(MAX(('Breeding Log'!$A$5:$A$154=$A57)*ROW('Breeding Log'!$A$5:$A$154)))=0,"-",INDEX('Breeding Log'!$E:$E,SUMPRODUCT(MAX(('Breeding Log'!$A$5:$A$154=$A57)*ROW('Breeding Log'!$A$5:$A$154))))))</f>
        <v/>
      </c>
      <c r="H57" s="47" t="str">
        <f aca="false">IF($A57="","",IF(SUMPRODUCT(MAX(('Breeding Log'!$A$5:$A$154=$A57)*ROW('Breeding Log'!$A$5:$A$154)))=0,"-",INDEX('Breeding Log'!$G:$G,SUMPRODUCT(MAX(('Breeding Log'!$A$5:$A$154=$A57)*ROW('Breeding Log'!$A$5:$A$154))))))</f>
        <v/>
      </c>
      <c r="I57" s="47" t="str">
        <f aca="false">IF($A57="","",COUNTIF('Calving Log'!$A:$A,$A57))</f>
        <v/>
      </c>
    </row>
    <row r="58" customFormat="false" ht="15" hidden="false" customHeight="false" outlineLevel="0" collapsed="false">
      <c r="A58" s="47" t="str">
        <f aca="false">IFERROR(INDEX('Animal Register'!$A:$A,MATCH(54,'Animal Register'!$W:$W,0)),"")</f>
        <v/>
      </c>
      <c r="B58" s="47" t="str">
        <f aca="false">IF($A58="","",INDEX('Animal Register'!$C:$C,MATCH($A58,'Animal Register'!$A:$A,0)))</f>
        <v/>
      </c>
      <c r="C58" s="47" t="str">
        <f aca="false">IF($A58="","",INDEX('Animal Register'!$D:$D,MATCH($A58,'Animal Register'!$A:$A,0)))</f>
        <v/>
      </c>
      <c r="D58" s="53" t="str">
        <f aca="false">IF($A58="","",INDEX('Animal Register'!$S:$S,MATCH($A58,'Animal Register'!$A:$A,0)))</f>
        <v/>
      </c>
      <c r="E58" s="47" t="str">
        <f aca="false">IF($A58="","",INDEX('Animal Register'!$Q:$Q,MATCH($A58,'Animal Register'!$A:$A,0)))</f>
        <v/>
      </c>
      <c r="F58" s="52" t="str">
        <f aca="false">IF($A58="","",IF(SUMPRODUCT(MAX(('Breeding Log'!$A$5:$A$154=$A58)*ROW('Breeding Log'!$A$5:$A$154)))=0,"-",INDEX('Breeding Log'!$B:$B,SUMPRODUCT(MAX(('Breeding Log'!$A$5:$A$154=$A58)*ROW('Breeding Log'!$A$5:$A$154))))))</f>
        <v/>
      </c>
      <c r="G58" s="52" t="str">
        <f aca="false">IF($A58="","",IF(SUMPRODUCT(MAX(('Breeding Log'!$A$5:$A$154=$A58)*ROW('Breeding Log'!$A$5:$A$154)))=0,"-",INDEX('Breeding Log'!$E:$E,SUMPRODUCT(MAX(('Breeding Log'!$A$5:$A$154=$A58)*ROW('Breeding Log'!$A$5:$A$154))))))</f>
        <v/>
      </c>
      <c r="H58" s="47" t="str">
        <f aca="false">IF($A58="","",IF(SUMPRODUCT(MAX(('Breeding Log'!$A$5:$A$154=$A58)*ROW('Breeding Log'!$A$5:$A$154)))=0,"-",INDEX('Breeding Log'!$G:$G,SUMPRODUCT(MAX(('Breeding Log'!$A$5:$A$154=$A58)*ROW('Breeding Log'!$A$5:$A$154))))))</f>
        <v/>
      </c>
      <c r="I58" s="47" t="str">
        <f aca="false">IF($A58="","",COUNTIF('Calving Log'!$A:$A,$A58))</f>
        <v/>
      </c>
    </row>
    <row r="59" customFormat="false" ht="15" hidden="false" customHeight="false" outlineLevel="0" collapsed="false">
      <c r="A59" s="47" t="str">
        <f aca="false">IFERROR(INDEX('Animal Register'!$A:$A,MATCH(55,'Animal Register'!$W:$W,0)),"")</f>
        <v/>
      </c>
      <c r="B59" s="47" t="str">
        <f aca="false">IF($A59="","",INDEX('Animal Register'!$C:$C,MATCH($A59,'Animal Register'!$A:$A,0)))</f>
        <v/>
      </c>
      <c r="C59" s="47" t="str">
        <f aca="false">IF($A59="","",INDEX('Animal Register'!$D:$D,MATCH($A59,'Animal Register'!$A:$A,0)))</f>
        <v/>
      </c>
      <c r="D59" s="53" t="str">
        <f aca="false">IF($A59="","",INDEX('Animal Register'!$S:$S,MATCH($A59,'Animal Register'!$A:$A,0)))</f>
        <v/>
      </c>
      <c r="E59" s="47" t="str">
        <f aca="false">IF($A59="","",INDEX('Animal Register'!$Q:$Q,MATCH($A59,'Animal Register'!$A:$A,0)))</f>
        <v/>
      </c>
      <c r="F59" s="52" t="str">
        <f aca="false">IF($A59="","",IF(SUMPRODUCT(MAX(('Breeding Log'!$A$5:$A$154=$A59)*ROW('Breeding Log'!$A$5:$A$154)))=0,"-",INDEX('Breeding Log'!$B:$B,SUMPRODUCT(MAX(('Breeding Log'!$A$5:$A$154=$A59)*ROW('Breeding Log'!$A$5:$A$154))))))</f>
        <v/>
      </c>
      <c r="G59" s="52" t="str">
        <f aca="false">IF($A59="","",IF(SUMPRODUCT(MAX(('Breeding Log'!$A$5:$A$154=$A59)*ROW('Breeding Log'!$A$5:$A$154)))=0,"-",INDEX('Breeding Log'!$E:$E,SUMPRODUCT(MAX(('Breeding Log'!$A$5:$A$154=$A59)*ROW('Breeding Log'!$A$5:$A$154))))))</f>
        <v/>
      </c>
      <c r="H59" s="47" t="str">
        <f aca="false">IF($A59="","",IF(SUMPRODUCT(MAX(('Breeding Log'!$A$5:$A$154=$A59)*ROW('Breeding Log'!$A$5:$A$154)))=0,"-",INDEX('Breeding Log'!$G:$G,SUMPRODUCT(MAX(('Breeding Log'!$A$5:$A$154=$A59)*ROW('Breeding Log'!$A$5:$A$154))))))</f>
        <v/>
      </c>
      <c r="I59" s="47" t="str">
        <f aca="false">IF($A59="","",COUNTIF('Calving Log'!$A:$A,$A59))</f>
        <v/>
      </c>
    </row>
    <row r="60" customFormat="false" ht="15" hidden="false" customHeight="false" outlineLevel="0" collapsed="false">
      <c r="A60" s="47" t="str">
        <f aca="false">IFERROR(INDEX('Animal Register'!$A:$A,MATCH(56,'Animal Register'!$W:$W,0)),"")</f>
        <v/>
      </c>
      <c r="B60" s="47" t="str">
        <f aca="false">IF($A60="","",INDEX('Animal Register'!$C:$C,MATCH($A60,'Animal Register'!$A:$A,0)))</f>
        <v/>
      </c>
      <c r="C60" s="47" t="str">
        <f aca="false">IF($A60="","",INDEX('Animal Register'!$D:$D,MATCH($A60,'Animal Register'!$A:$A,0)))</f>
        <v/>
      </c>
      <c r="D60" s="53" t="str">
        <f aca="false">IF($A60="","",INDEX('Animal Register'!$S:$S,MATCH($A60,'Animal Register'!$A:$A,0)))</f>
        <v/>
      </c>
      <c r="E60" s="47" t="str">
        <f aca="false">IF($A60="","",INDEX('Animal Register'!$Q:$Q,MATCH($A60,'Animal Register'!$A:$A,0)))</f>
        <v/>
      </c>
      <c r="F60" s="52" t="str">
        <f aca="false">IF($A60="","",IF(SUMPRODUCT(MAX(('Breeding Log'!$A$5:$A$154=$A60)*ROW('Breeding Log'!$A$5:$A$154)))=0,"-",INDEX('Breeding Log'!$B:$B,SUMPRODUCT(MAX(('Breeding Log'!$A$5:$A$154=$A60)*ROW('Breeding Log'!$A$5:$A$154))))))</f>
        <v/>
      </c>
      <c r="G60" s="52" t="str">
        <f aca="false">IF($A60="","",IF(SUMPRODUCT(MAX(('Breeding Log'!$A$5:$A$154=$A60)*ROW('Breeding Log'!$A$5:$A$154)))=0,"-",INDEX('Breeding Log'!$E:$E,SUMPRODUCT(MAX(('Breeding Log'!$A$5:$A$154=$A60)*ROW('Breeding Log'!$A$5:$A$154))))))</f>
        <v/>
      </c>
      <c r="H60" s="47" t="str">
        <f aca="false">IF($A60="","",IF(SUMPRODUCT(MAX(('Breeding Log'!$A$5:$A$154=$A60)*ROW('Breeding Log'!$A$5:$A$154)))=0,"-",INDEX('Breeding Log'!$G:$G,SUMPRODUCT(MAX(('Breeding Log'!$A$5:$A$154=$A60)*ROW('Breeding Log'!$A$5:$A$154))))))</f>
        <v/>
      </c>
      <c r="I60" s="47" t="str">
        <f aca="false">IF($A60="","",COUNTIF('Calving Log'!$A:$A,$A60))</f>
        <v/>
      </c>
    </row>
    <row r="61" customFormat="false" ht="15" hidden="false" customHeight="false" outlineLevel="0" collapsed="false">
      <c r="A61" s="47" t="str">
        <f aca="false">IFERROR(INDEX('Animal Register'!$A:$A,MATCH(57,'Animal Register'!$W:$W,0)),"")</f>
        <v/>
      </c>
      <c r="B61" s="47" t="str">
        <f aca="false">IF($A61="","",INDEX('Animal Register'!$C:$C,MATCH($A61,'Animal Register'!$A:$A,0)))</f>
        <v/>
      </c>
      <c r="C61" s="47" t="str">
        <f aca="false">IF($A61="","",INDEX('Animal Register'!$D:$D,MATCH($A61,'Animal Register'!$A:$A,0)))</f>
        <v/>
      </c>
      <c r="D61" s="53" t="str">
        <f aca="false">IF($A61="","",INDEX('Animal Register'!$S:$S,MATCH($A61,'Animal Register'!$A:$A,0)))</f>
        <v/>
      </c>
      <c r="E61" s="47" t="str">
        <f aca="false">IF($A61="","",INDEX('Animal Register'!$Q:$Q,MATCH($A61,'Animal Register'!$A:$A,0)))</f>
        <v/>
      </c>
      <c r="F61" s="52" t="str">
        <f aca="false">IF($A61="","",IF(SUMPRODUCT(MAX(('Breeding Log'!$A$5:$A$154=$A61)*ROW('Breeding Log'!$A$5:$A$154)))=0,"-",INDEX('Breeding Log'!$B:$B,SUMPRODUCT(MAX(('Breeding Log'!$A$5:$A$154=$A61)*ROW('Breeding Log'!$A$5:$A$154))))))</f>
        <v/>
      </c>
      <c r="G61" s="52" t="str">
        <f aca="false">IF($A61="","",IF(SUMPRODUCT(MAX(('Breeding Log'!$A$5:$A$154=$A61)*ROW('Breeding Log'!$A$5:$A$154)))=0,"-",INDEX('Breeding Log'!$E:$E,SUMPRODUCT(MAX(('Breeding Log'!$A$5:$A$154=$A61)*ROW('Breeding Log'!$A$5:$A$154))))))</f>
        <v/>
      </c>
      <c r="H61" s="47" t="str">
        <f aca="false">IF($A61="","",IF(SUMPRODUCT(MAX(('Breeding Log'!$A$5:$A$154=$A61)*ROW('Breeding Log'!$A$5:$A$154)))=0,"-",INDEX('Breeding Log'!$G:$G,SUMPRODUCT(MAX(('Breeding Log'!$A$5:$A$154=$A61)*ROW('Breeding Log'!$A$5:$A$154))))))</f>
        <v/>
      </c>
      <c r="I61" s="47" t="str">
        <f aca="false">IF($A61="","",COUNTIF('Calving Log'!$A:$A,$A61))</f>
        <v/>
      </c>
    </row>
    <row r="62" customFormat="false" ht="15" hidden="false" customHeight="false" outlineLevel="0" collapsed="false">
      <c r="A62" s="47" t="str">
        <f aca="false">IFERROR(INDEX('Animal Register'!$A:$A,MATCH(58,'Animal Register'!$W:$W,0)),"")</f>
        <v/>
      </c>
      <c r="B62" s="47" t="str">
        <f aca="false">IF($A62="","",INDEX('Animal Register'!$C:$C,MATCH($A62,'Animal Register'!$A:$A,0)))</f>
        <v/>
      </c>
      <c r="C62" s="47" t="str">
        <f aca="false">IF($A62="","",INDEX('Animal Register'!$D:$D,MATCH($A62,'Animal Register'!$A:$A,0)))</f>
        <v/>
      </c>
      <c r="D62" s="53" t="str">
        <f aca="false">IF($A62="","",INDEX('Animal Register'!$S:$S,MATCH($A62,'Animal Register'!$A:$A,0)))</f>
        <v/>
      </c>
      <c r="E62" s="47" t="str">
        <f aca="false">IF($A62="","",INDEX('Animal Register'!$Q:$Q,MATCH($A62,'Animal Register'!$A:$A,0)))</f>
        <v/>
      </c>
      <c r="F62" s="52" t="str">
        <f aca="false">IF($A62="","",IF(SUMPRODUCT(MAX(('Breeding Log'!$A$5:$A$154=$A62)*ROW('Breeding Log'!$A$5:$A$154)))=0,"-",INDEX('Breeding Log'!$B:$B,SUMPRODUCT(MAX(('Breeding Log'!$A$5:$A$154=$A62)*ROW('Breeding Log'!$A$5:$A$154))))))</f>
        <v/>
      </c>
      <c r="G62" s="52" t="str">
        <f aca="false">IF($A62="","",IF(SUMPRODUCT(MAX(('Breeding Log'!$A$5:$A$154=$A62)*ROW('Breeding Log'!$A$5:$A$154)))=0,"-",INDEX('Breeding Log'!$E:$E,SUMPRODUCT(MAX(('Breeding Log'!$A$5:$A$154=$A62)*ROW('Breeding Log'!$A$5:$A$154))))))</f>
        <v/>
      </c>
      <c r="H62" s="47" t="str">
        <f aca="false">IF($A62="","",IF(SUMPRODUCT(MAX(('Breeding Log'!$A$5:$A$154=$A62)*ROW('Breeding Log'!$A$5:$A$154)))=0,"-",INDEX('Breeding Log'!$G:$G,SUMPRODUCT(MAX(('Breeding Log'!$A$5:$A$154=$A62)*ROW('Breeding Log'!$A$5:$A$154))))))</f>
        <v/>
      </c>
      <c r="I62" s="47" t="str">
        <f aca="false">IF($A62="","",COUNTIF('Calving Log'!$A:$A,$A62))</f>
        <v/>
      </c>
    </row>
    <row r="63" customFormat="false" ht="15" hidden="false" customHeight="false" outlineLevel="0" collapsed="false">
      <c r="A63" s="47" t="str">
        <f aca="false">IFERROR(INDEX('Animal Register'!$A:$A,MATCH(59,'Animal Register'!$W:$W,0)),"")</f>
        <v/>
      </c>
      <c r="B63" s="47" t="str">
        <f aca="false">IF($A63="","",INDEX('Animal Register'!$C:$C,MATCH($A63,'Animal Register'!$A:$A,0)))</f>
        <v/>
      </c>
      <c r="C63" s="47" t="str">
        <f aca="false">IF($A63="","",INDEX('Animal Register'!$D:$D,MATCH($A63,'Animal Register'!$A:$A,0)))</f>
        <v/>
      </c>
      <c r="D63" s="53" t="str">
        <f aca="false">IF($A63="","",INDEX('Animal Register'!$S:$S,MATCH($A63,'Animal Register'!$A:$A,0)))</f>
        <v/>
      </c>
      <c r="E63" s="47" t="str">
        <f aca="false">IF($A63="","",INDEX('Animal Register'!$Q:$Q,MATCH($A63,'Animal Register'!$A:$A,0)))</f>
        <v/>
      </c>
      <c r="F63" s="52" t="str">
        <f aca="false">IF($A63="","",IF(SUMPRODUCT(MAX(('Breeding Log'!$A$5:$A$154=$A63)*ROW('Breeding Log'!$A$5:$A$154)))=0,"-",INDEX('Breeding Log'!$B:$B,SUMPRODUCT(MAX(('Breeding Log'!$A$5:$A$154=$A63)*ROW('Breeding Log'!$A$5:$A$154))))))</f>
        <v/>
      </c>
      <c r="G63" s="52" t="str">
        <f aca="false">IF($A63="","",IF(SUMPRODUCT(MAX(('Breeding Log'!$A$5:$A$154=$A63)*ROW('Breeding Log'!$A$5:$A$154)))=0,"-",INDEX('Breeding Log'!$E:$E,SUMPRODUCT(MAX(('Breeding Log'!$A$5:$A$154=$A63)*ROW('Breeding Log'!$A$5:$A$154))))))</f>
        <v/>
      </c>
      <c r="H63" s="47" t="str">
        <f aca="false">IF($A63="","",IF(SUMPRODUCT(MAX(('Breeding Log'!$A$5:$A$154=$A63)*ROW('Breeding Log'!$A$5:$A$154)))=0,"-",INDEX('Breeding Log'!$G:$G,SUMPRODUCT(MAX(('Breeding Log'!$A$5:$A$154=$A63)*ROW('Breeding Log'!$A$5:$A$154))))))</f>
        <v/>
      </c>
      <c r="I63" s="47" t="str">
        <f aca="false">IF($A63="","",COUNTIF('Calving Log'!$A:$A,$A63))</f>
        <v/>
      </c>
    </row>
    <row r="64" customFormat="false" ht="15" hidden="false" customHeight="false" outlineLevel="0" collapsed="false">
      <c r="A64" s="47" t="str">
        <f aca="false">IFERROR(INDEX('Animal Register'!$A:$A,MATCH(60,'Animal Register'!$W:$W,0)),"")</f>
        <v/>
      </c>
      <c r="B64" s="47" t="str">
        <f aca="false">IF($A64="","",INDEX('Animal Register'!$C:$C,MATCH($A64,'Animal Register'!$A:$A,0)))</f>
        <v/>
      </c>
      <c r="C64" s="47" t="str">
        <f aca="false">IF($A64="","",INDEX('Animal Register'!$D:$D,MATCH($A64,'Animal Register'!$A:$A,0)))</f>
        <v/>
      </c>
      <c r="D64" s="53" t="str">
        <f aca="false">IF($A64="","",INDEX('Animal Register'!$S:$S,MATCH($A64,'Animal Register'!$A:$A,0)))</f>
        <v/>
      </c>
      <c r="E64" s="47" t="str">
        <f aca="false">IF($A64="","",INDEX('Animal Register'!$Q:$Q,MATCH($A64,'Animal Register'!$A:$A,0)))</f>
        <v/>
      </c>
      <c r="F64" s="52" t="str">
        <f aca="false">IF($A64="","",IF(SUMPRODUCT(MAX(('Breeding Log'!$A$5:$A$154=$A64)*ROW('Breeding Log'!$A$5:$A$154)))=0,"-",INDEX('Breeding Log'!$B:$B,SUMPRODUCT(MAX(('Breeding Log'!$A$5:$A$154=$A64)*ROW('Breeding Log'!$A$5:$A$154))))))</f>
        <v/>
      </c>
      <c r="G64" s="52" t="str">
        <f aca="false">IF($A64="","",IF(SUMPRODUCT(MAX(('Breeding Log'!$A$5:$A$154=$A64)*ROW('Breeding Log'!$A$5:$A$154)))=0,"-",INDEX('Breeding Log'!$E:$E,SUMPRODUCT(MAX(('Breeding Log'!$A$5:$A$154=$A64)*ROW('Breeding Log'!$A$5:$A$154))))))</f>
        <v/>
      </c>
      <c r="H64" s="47" t="str">
        <f aca="false">IF($A64="","",IF(SUMPRODUCT(MAX(('Breeding Log'!$A$5:$A$154=$A64)*ROW('Breeding Log'!$A$5:$A$154)))=0,"-",INDEX('Breeding Log'!$G:$G,SUMPRODUCT(MAX(('Breeding Log'!$A$5:$A$154=$A64)*ROW('Breeding Log'!$A$5:$A$154))))))</f>
        <v/>
      </c>
      <c r="I64" s="47" t="str">
        <f aca="false">IF($A64="","",COUNTIF('Calving Log'!$A:$A,$A64))</f>
        <v/>
      </c>
    </row>
    <row r="65" customFormat="false" ht="15" hidden="false" customHeight="false" outlineLevel="0" collapsed="false">
      <c r="A65" s="47" t="str">
        <f aca="false">IFERROR(INDEX('Animal Register'!$A:$A,MATCH(61,'Animal Register'!$W:$W,0)),"")</f>
        <v/>
      </c>
      <c r="B65" s="47" t="str">
        <f aca="false">IF($A65="","",INDEX('Animal Register'!$C:$C,MATCH($A65,'Animal Register'!$A:$A,0)))</f>
        <v/>
      </c>
      <c r="C65" s="47" t="str">
        <f aca="false">IF($A65="","",INDEX('Animal Register'!$D:$D,MATCH($A65,'Animal Register'!$A:$A,0)))</f>
        <v/>
      </c>
      <c r="D65" s="53" t="str">
        <f aca="false">IF($A65="","",INDEX('Animal Register'!$S:$S,MATCH($A65,'Animal Register'!$A:$A,0)))</f>
        <v/>
      </c>
      <c r="E65" s="47" t="str">
        <f aca="false">IF($A65="","",INDEX('Animal Register'!$Q:$Q,MATCH($A65,'Animal Register'!$A:$A,0)))</f>
        <v/>
      </c>
      <c r="F65" s="52" t="str">
        <f aca="false">IF($A65="","",IF(SUMPRODUCT(MAX(('Breeding Log'!$A$5:$A$154=$A65)*ROW('Breeding Log'!$A$5:$A$154)))=0,"-",INDEX('Breeding Log'!$B:$B,SUMPRODUCT(MAX(('Breeding Log'!$A$5:$A$154=$A65)*ROW('Breeding Log'!$A$5:$A$154))))))</f>
        <v/>
      </c>
      <c r="G65" s="52" t="str">
        <f aca="false">IF($A65="","",IF(SUMPRODUCT(MAX(('Breeding Log'!$A$5:$A$154=$A65)*ROW('Breeding Log'!$A$5:$A$154)))=0,"-",INDEX('Breeding Log'!$E:$E,SUMPRODUCT(MAX(('Breeding Log'!$A$5:$A$154=$A65)*ROW('Breeding Log'!$A$5:$A$154))))))</f>
        <v/>
      </c>
      <c r="H65" s="47" t="str">
        <f aca="false">IF($A65="","",IF(SUMPRODUCT(MAX(('Breeding Log'!$A$5:$A$154=$A65)*ROW('Breeding Log'!$A$5:$A$154)))=0,"-",INDEX('Breeding Log'!$G:$G,SUMPRODUCT(MAX(('Breeding Log'!$A$5:$A$154=$A65)*ROW('Breeding Log'!$A$5:$A$154))))))</f>
        <v/>
      </c>
      <c r="I65" s="47" t="str">
        <f aca="false">IF($A65="","",COUNTIF('Calving Log'!$A:$A,$A65))</f>
        <v/>
      </c>
    </row>
    <row r="66" customFormat="false" ht="15" hidden="false" customHeight="false" outlineLevel="0" collapsed="false">
      <c r="A66" s="47" t="str">
        <f aca="false">IFERROR(INDEX('Animal Register'!$A:$A,MATCH(62,'Animal Register'!$W:$W,0)),"")</f>
        <v/>
      </c>
      <c r="B66" s="47" t="str">
        <f aca="false">IF($A66="","",INDEX('Animal Register'!$C:$C,MATCH($A66,'Animal Register'!$A:$A,0)))</f>
        <v/>
      </c>
      <c r="C66" s="47" t="str">
        <f aca="false">IF($A66="","",INDEX('Animal Register'!$D:$D,MATCH($A66,'Animal Register'!$A:$A,0)))</f>
        <v/>
      </c>
      <c r="D66" s="53" t="str">
        <f aca="false">IF($A66="","",INDEX('Animal Register'!$S:$S,MATCH($A66,'Animal Register'!$A:$A,0)))</f>
        <v/>
      </c>
      <c r="E66" s="47" t="str">
        <f aca="false">IF($A66="","",INDEX('Animal Register'!$Q:$Q,MATCH($A66,'Animal Register'!$A:$A,0)))</f>
        <v/>
      </c>
      <c r="F66" s="52" t="str">
        <f aca="false">IF($A66="","",IF(SUMPRODUCT(MAX(('Breeding Log'!$A$5:$A$154=$A66)*ROW('Breeding Log'!$A$5:$A$154)))=0,"-",INDEX('Breeding Log'!$B:$B,SUMPRODUCT(MAX(('Breeding Log'!$A$5:$A$154=$A66)*ROW('Breeding Log'!$A$5:$A$154))))))</f>
        <v/>
      </c>
      <c r="G66" s="52" t="str">
        <f aca="false">IF($A66="","",IF(SUMPRODUCT(MAX(('Breeding Log'!$A$5:$A$154=$A66)*ROW('Breeding Log'!$A$5:$A$154)))=0,"-",INDEX('Breeding Log'!$E:$E,SUMPRODUCT(MAX(('Breeding Log'!$A$5:$A$154=$A66)*ROW('Breeding Log'!$A$5:$A$154))))))</f>
        <v/>
      </c>
      <c r="H66" s="47" t="str">
        <f aca="false">IF($A66="","",IF(SUMPRODUCT(MAX(('Breeding Log'!$A$5:$A$154=$A66)*ROW('Breeding Log'!$A$5:$A$154)))=0,"-",INDEX('Breeding Log'!$G:$G,SUMPRODUCT(MAX(('Breeding Log'!$A$5:$A$154=$A66)*ROW('Breeding Log'!$A$5:$A$154))))))</f>
        <v/>
      </c>
      <c r="I66" s="47" t="str">
        <f aca="false">IF($A66="","",COUNTIF('Calving Log'!$A:$A,$A66))</f>
        <v/>
      </c>
    </row>
    <row r="67" customFormat="false" ht="15" hidden="false" customHeight="false" outlineLevel="0" collapsed="false">
      <c r="A67" s="47" t="str">
        <f aca="false">IFERROR(INDEX('Animal Register'!$A:$A,MATCH(63,'Animal Register'!$W:$W,0)),"")</f>
        <v/>
      </c>
      <c r="B67" s="47" t="str">
        <f aca="false">IF($A67="","",INDEX('Animal Register'!$C:$C,MATCH($A67,'Animal Register'!$A:$A,0)))</f>
        <v/>
      </c>
      <c r="C67" s="47" t="str">
        <f aca="false">IF($A67="","",INDEX('Animal Register'!$D:$D,MATCH($A67,'Animal Register'!$A:$A,0)))</f>
        <v/>
      </c>
      <c r="D67" s="53" t="str">
        <f aca="false">IF($A67="","",INDEX('Animal Register'!$S:$S,MATCH($A67,'Animal Register'!$A:$A,0)))</f>
        <v/>
      </c>
      <c r="E67" s="47" t="str">
        <f aca="false">IF($A67="","",INDEX('Animal Register'!$Q:$Q,MATCH($A67,'Animal Register'!$A:$A,0)))</f>
        <v/>
      </c>
      <c r="F67" s="52" t="str">
        <f aca="false">IF($A67="","",IF(SUMPRODUCT(MAX(('Breeding Log'!$A$5:$A$154=$A67)*ROW('Breeding Log'!$A$5:$A$154)))=0,"-",INDEX('Breeding Log'!$B:$B,SUMPRODUCT(MAX(('Breeding Log'!$A$5:$A$154=$A67)*ROW('Breeding Log'!$A$5:$A$154))))))</f>
        <v/>
      </c>
      <c r="G67" s="52" t="str">
        <f aca="false">IF($A67="","",IF(SUMPRODUCT(MAX(('Breeding Log'!$A$5:$A$154=$A67)*ROW('Breeding Log'!$A$5:$A$154)))=0,"-",INDEX('Breeding Log'!$E:$E,SUMPRODUCT(MAX(('Breeding Log'!$A$5:$A$154=$A67)*ROW('Breeding Log'!$A$5:$A$154))))))</f>
        <v/>
      </c>
      <c r="H67" s="47" t="str">
        <f aca="false">IF($A67="","",IF(SUMPRODUCT(MAX(('Breeding Log'!$A$5:$A$154=$A67)*ROW('Breeding Log'!$A$5:$A$154)))=0,"-",INDEX('Breeding Log'!$G:$G,SUMPRODUCT(MAX(('Breeding Log'!$A$5:$A$154=$A67)*ROW('Breeding Log'!$A$5:$A$154))))))</f>
        <v/>
      </c>
      <c r="I67" s="47" t="str">
        <f aca="false">IF($A67="","",COUNTIF('Calving Log'!$A:$A,$A67))</f>
        <v/>
      </c>
    </row>
    <row r="68" customFormat="false" ht="15" hidden="false" customHeight="false" outlineLevel="0" collapsed="false">
      <c r="A68" s="47" t="str">
        <f aca="false">IFERROR(INDEX('Animal Register'!$A:$A,MATCH(64,'Animal Register'!$W:$W,0)),"")</f>
        <v/>
      </c>
      <c r="B68" s="47" t="str">
        <f aca="false">IF($A68="","",INDEX('Animal Register'!$C:$C,MATCH($A68,'Animal Register'!$A:$A,0)))</f>
        <v/>
      </c>
      <c r="C68" s="47" t="str">
        <f aca="false">IF($A68="","",INDEX('Animal Register'!$D:$D,MATCH($A68,'Animal Register'!$A:$A,0)))</f>
        <v/>
      </c>
      <c r="D68" s="53" t="str">
        <f aca="false">IF($A68="","",INDEX('Animal Register'!$S:$S,MATCH($A68,'Animal Register'!$A:$A,0)))</f>
        <v/>
      </c>
      <c r="E68" s="47" t="str">
        <f aca="false">IF($A68="","",INDEX('Animal Register'!$Q:$Q,MATCH($A68,'Animal Register'!$A:$A,0)))</f>
        <v/>
      </c>
      <c r="F68" s="52" t="str">
        <f aca="false">IF($A68="","",IF(SUMPRODUCT(MAX(('Breeding Log'!$A$5:$A$154=$A68)*ROW('Breeding Log'!$A$5:$A$154)))=0,"-",INDEX('Breeding Log'!$B:$B,SUMPRODUCT(MAX(('Breeding Log'!$A$5:$A$154=$A68)*ROW('Breeding Log'!$A$5:$A$154))))))</f>
        <v/>
      </c>
      <c r="G68" s="52" t="str">
        <f aca="false">IF($A68="","",IF(SUMPRODUCT(MAX(('Breeding Log'!$A$5:$A$154=$A68)*ROW('Breeding Log'!$A$5:$A$154)))=0,"-",INDEX('Breeding Log'!$E:$E,SUMPRODUCT(MAX(('Breeding Log'!$A$5:$A$154=$A68)*ROW('Breeding Log'!$A$5:$A$154))))))</f>
        <v/>
      </c>
      <c r="H68" s="47" t="str">
        <f aca="false">IF($A68="","",IF(SUMPRODUCT(MAX(('Breeding Log'!$A$5:$A$154=$A68)*ROW('Breeding Log'!$A$5:$A$154)))=0,"-",INDEX('Breeding Log'!$G:$G,SUMPRODUCT(MAX(('Breeding Log'!$A$5:$A$154=$A68)*ROW('Breeding Log'!$A$5:$A$154))))))</f>
        <v/>
      </c>
      <c r="I68" s="47" t="str">
        <f aca="false">IF($A68="","",COUNTIF('Calving Log'!$A:$A,$A68))</f>
        <v/>
      </c>
    </row>
    <row r="69" customFormat="false" ht="15" hidden="false" customHeight="false" outlineLevel="0" collapsed="false">
      <c r="A69" s="47" t="str">
        <f aca="false">IFERROR(INDEX('Animal Register'!$A:$A,MATCH(65,'Animal Register'!$W:$W,0)),"")</f>
        <v/>
      </c>
      <c r="B69" s="47" t="str">
        <f aca="false">IF($A69="","",INDEX('Animal Register'!$C:$C,MATCH($A69,'Animal Register'!$A:$A,0)))</f>
        <v/>
      </c>
      <c r="C69" s="47" t="str">
        <f aca="false">IF($A69="","",INDEX('Animal Register'!$D:$D,MATCH($A69,'Animal Register'!$A:$A,0)))</f>
        <v/>
      </c>
      <c r="D69" s="53" t="str">
        <f aca="false">IF($A69="","",INDEX('Animal Register'!$S:$S,MATCH($A69,'Animal Register'!$A:$A,0)))</f>
        <v/>
      </c>
      <c r="E69" s="47" t="str">
        <f aca="false">IF($A69="","",INDEX('Animal Register'!$Q:$Q,MATCH($A69,'Animal Register'!$A:$A,0)))</f>
        <v/>
      </c>
      <c r="F69" s="52" t="str">
        <f aca="false">IF($A69="","",IF(SUMPRODUCT(MAX(('Breeding Log'!$A$5:$A$154=$A69)*ROW('Breeding Log'!$A$5:$A$154)))=0,"-",INDEX('Breeding Log'!$B:$B,SUMPRODUCT(MAX(('Breeding Log'!$A$5:$A$154=$A69)*ROW('Breeding Log'!$A$5:$A$154))))))</f>
        <v/>
      </c>
      <c r="G69" s="52" t="str">
        <f aca="false">IF($A69="","",IF(SUMPRODUCT(MAX(('Breeding Log'!$A$5:$A$154=$A69)*ROW('Breeding Log'!$A$5:$A$154)))=0,"-",INDEX('Breeding Log'!$E:$E,SUMPRODUCT(MAX(('Breeding Log'!$A$5:$A$154=$A69)*ROW('Breeding Log'!$A$5:$A$154))))))</f>
        <v/>
      </c>
      <c r="H69" s="47" t="str">
        <f aca="false">IF($A69="","",IF(SUMPRODUCT(MAX(('Breeding Log'!$A$5:$A$154=$A69)*ROW('Breeding Log'!$A$5:$A$154)))=0,"-",INDEX('Breeding Log'!$G:$G,SUMPRODUCT(MAX(('Breeding Log'!$A$5:$A$154=$A69)*ROW('Breeding Log'!$A$5:$A$154))))))</f>
        <v/>
      </c>
      <c r="I69" s="47" t="str">
        <f aca="false">IF($A69="","",COUNTIF('Calving Log'!$A:$A,$A69))</f>
        <v/>
      </c>
    </row>
    <row r="70" customFormat="false" ht="15" hidden="false" customHeight="false" outlineLevel="0" collapsed="false">
      <c r="A70" s="47" t="str">
        <f aca="false">IFERROR(INDEX('Animal Register'!$A:$A,MATCH(66,'Animal Register'!$W:$W,0)),"")</f>
        <v/>
      </c>
      <c r="B70" s="47" t="str">
        <f aca="false">IF($A70="","",INDEX('Animal Register'!$C:$C,MATCH($A70,'Animal Register'!$A:$A,0)))</f>
        <v/>
      </c>
      <c r="C70" s="47" t="str">
        <f aca="false">IF($A70="","",INDEX('Animal Register'!$D:$D,MATCH($A70,'Animal Register'!$A:$A,0)))</f>
        <v/>
      </c>
      <c r="D70" s="53" t="str">
        <f aca="false">IF($A70="","",INDEX('Animal Register'!$S:$S,MATCH($A70,'Animal Register'!$A:$A,0)))</f>
        <v/>
      </c>
      <c r="E70" s="47" t="str">
        <f aca="false">IF($A70="","",INDEX('Animal Register'!$Q:$Q,MATCH($A70,'Animal Register'!$A:$A,0)))</f>
        <v/>
      </c>
      <c r="F70" s="52" t="str">
        <f aca="false">IF($A70="","",IF(SUMPRODUCT(MAX(('Breeding Log'!$A$5:$A$154=$A70)*ROW('Breeding Log'!$A$5:$A$154)))=0,"-",INDEX('Breeding Log'!$B:$B,SUMPRODUCT(MAX(('Breeding Log'!$A$5:$A$154=$A70)*ROW('Breeding Log'!$A$5:$A$154))))))</f>
        <v/>
      </c>
      <c r="G70" s="52" t="str">
        <f aca="false">IF($A70="","",IF(SUMPRODUCT(MAX(('Breeding Log'!$A$5:$A$154=$A70)*ROW('Breeding Log'!$A$5:$A$154)))=0,"-",INDEX('Breeding Log'!$E:$E,SUMPRODUCT(MAX(('Breeding Log'!$A$5:$A$154=$A70)*ROW('Breeding Log'!$A$5:$A$154))))))</f>
        <v/>
      </c>
      <c r="H70" s="47" t="str">
        <f aca="false">IF($A70="","",IF(SUMPRODUCT(MAX(('Breeding Log'!$A$5:$A$154=$A70)*ROW('Breeding Log'!$A$5:$A$154)))=0,"-",INDEX('Breeding Log'!$G:$G,SUMPRODUCT(MAX(('Breeding Log'!$A$5:$A$154=$A70)*ROW('Breeding Log'!$A$5:$A$154))))))</f>
        <v/>
      </c>
      <c r="I70" s="47" t="str">
        <f aca="false">IF($A70="","",COUNTIF('Calving Log'!$A:$A,$A70))</f>
        <v/>
      </c>
    </row>
    <row r="71" customFormat="false" ht="15" hidden="false" customHeight="false" outlineLevel="0" collapsed="false">
      <c r="A71" s="47" t="str">
        <f aca="false">IFERROR(INDEX('Animal Register'!$A:$A,MATCH(67,'Animal Register'!$W:$W,0)),"")</f>
        <v/>
      </c>
      <c r="B71" s="47" t="str">
        <f aca="false">IF($A71="","",INDEX('Animal Register'!$C:$C,MATCH($A71,'Animal Register'!$A:$A,0)))</f>
        <v/>
      </c>
      <c r="C71" s="47" t="str">
        <f aca="false">IF($A71="","",INDEX('Animal Register'!$D:$D,MATCH($A71,'Animal Register'!$A:$A,0)))</f>
        <v/>
      </c>
      <c r="D71" s="53" t="str">
        <f aca="false">IF($A71="","",INDEX('Animal Register'!$S:$S,MATCH($A71,'Animal Register'!$A:$A,0)))</f>
        <v/>
      </c>
      <c r="E71" s="47" t="str">
        <f aca="false">IF($A71="","",INDEX('Animal Register'!$Q:$Q,MATCH($A71,'Animal Register'!$A:$A,0)))</f>
        <v/>
      </c>
      <c r="F71" s="52" t="str">
        <f aca="false">IF($A71="","",IF(SUMPRODUCT(MAX(('Breeding Log'!$A$5:$A$154=$A71)*ROW('Breeding Log'!$A$5:$A$154)))=0,"-",INDEX('Breeding Log'!$B:$B,SUMPRODUCT(MAX(('Breeding Log'!$A$5:$A$154=$A71)*ROW('Breeding Log'!$A$5:$A$154))))))</f>
        <v/>
      </c>
      <c r="G71" s="52" t="str">
        <f aca="false">IF($A71="","",IF(SUMPRODUCT(MAX(('Breeding Log'!$A$5:$A$154=$A71)*ROW('Breeding Log'!$A$5:$A$154)))=0,"-",INDEX('Breeding Log'!$E:$E,SUMPRODUCT(MAX(('Breeding Log'!$A$5:$A$154=$A71)*ROW('Breeding Log'!$A$5:$A$154))))))</f>
        <v/>
      </c>
      <c r="H71" s="47" t="str">
        <f aca="false">IF($A71="","",IF(SUMPRODUCT(MAX(('Breeding Log'!$A$5:$A$154=$A71)*ROW('Breeding Log'!$A$5:$A$154)))=0,"-",INDEX('Breeding Log'!$G:$G,SUMPRODUCT(MAX(('Breeding Log'!$A$5:$A$154=$A71)*ROW('Breeding Log'!$A$5:$A$154))))))</f>
        <v/>
      </c>
      <c r="I71" s="47" t="str">
        <f aca="false">IF($A71="","",COUNTIF('Calving Log'!$A:$A,$A71))</f>
        <v/>
      </c>
    </row>
    <row r="72" customFormat="false" ht="15" hidden="false" customHeight="false" outlineLevel="0" collapsed="false">
      <c r="A72" s="47" t="str">
        <f aca="false">IFERROR(INDEX('Animal Register'!$A:$A,MATCH(68,'Animal Register'!$W:$W,0)),"")</f>
        <v/>
      </c>
      <c r="B72" s="47" t="str">
        <f aca="false">IF($A72="","",INDEX('Animal Register'!$C:$C,MATCH($A72,'Animal Register'!$A:$A,0)))</f>
        <v/>
      </c>
      <c r="C72" s="47" t="str">
        <f aca="false">IF($A72="","",INDEX('Animal Register'!$D:$D,MATCH($A72,'Animal Register'!$A:$A,0)))</f>
        <v/>
      </c>
      <c r="D72" s="53" t="str">
        <f aca="false">IF($A72="","",INDEX('Animal Register'!$S:$S,MATCH($A72,'Animal Register'!$A:$A,0)))</f>
        <v/>
      </c>
      <c r="E72" s="47" t="str">
        <f aca="false">IF($A72="","",INDEX('Animal Register'!$Q:$Q,MATCH($A72,'Animal Register'!$A:$A,0)))</f>
        <v/>
      </c>
      <c r="F72" s="52" t="str">
        <f aca="false">IF($A72="","",IF(SUMPRODUCT(MAX(('Breeding Log'!$A$5:$A$154=$A72)*ROW('Breeding Log'!$A$5:$A$154)))=0,"-",INDEX('Breeding Log'!$B:$B,SUMPRODUCT(MAX(('Breeding Log'!$A$5:$A$154=$A72)*ROW('Breeding Log'!$A$5:$A$154))))))</f>
        <v/>
      </c>
      <c r="G72" s="52" t="str">
        <f aca="false">IF($A72="","",IF(SUMPRODUCT(MAX(('Breeding Log'!$A$5:$A$154=$A72)*ROW('Breeding Log'!$A$5:$A$154)))=0,"-",INDEX('Breeding Log'!$E:$E,SUMPRODUCT(MAX(('Breeding Log'!$A$5:$A$154=$A72)*ROW('Breeding Log'!$A$5:$A$154))))))</f>
        <v/>
      </c>
      <c r="H72" s="47" t="str">
        <f aca="false">IF($A72="","",IF(SUMPRODUCT(MAX(('Breeding Log'!$A$5:$A$154=$A72)*ROW('Breeding Log'!$A$5:$A$154)))=0,"-",INDEX('Breeding Log'!$G:$G,SUMPRODUCT(MAX(('Breeding Log'!$A$5:$A$154=$A72)*ROW('Breeding Log'!$A$5:$A$154))))))</f>
        <v/>
      </c>
      <c r="I72" s="47" t="str">
        <f aca="false">IF($A72="","",COUNTIF('Calving Log'!$A:$A,$A72))</f>
        <v/>
      </c>
    </row>
    <row r="73" customFormat="false" ht="15" hidden="false" customHeight="false" outlineLevel="0" collapsed="false">
      <c r="A73" s="47" t="str">
        <f aca="false">IFERROR(INDEX('Animal Register'!$A:$A,MATCH(69,'Animal Register'!$W:$W,0)),"")</f>
        <v/>
      </c>
      <c r="B73" s="47" t="str">
        <f aca="false">IF($A73="","",INDEX('Animal Register'!$C:$C,MATCH($A73,'Animal Register'!$A:$A,0)))</f>
        <v/>
      </c>
      <c r="C73" s="47" t="str">
        <f aca="false">IF($A73="","",INDEX('Animal Register'!$D:$D,MATCH($A73,'Animal Register'!$A:$A,0)))</f>
        <v/>
      </c>
      <c r="D73" s="53" t="str">
        <f aca="false">IF($A73="","",INDEX('Animal Register'!$S:$S,MATCH($A73,'Animal Register'!$A:$A,0)))</f>
        <v/>
      </c>
      <c r="E73" s="47" t="str">
        <f aca="false">IF($A73="","",INDEX('Animal Register'!$Q:$Q,MATCH($A73,'Animal Register'!$A:$A,0)))</f>
        <v/>
      </c>
      <c r="F73" s="52" t="str">
        <f aca="false">IF($A73="","",IF(SUMPRODUCT(MAX(('Breeding Log'!$A$5:$A$154=$A73)*ROW('Breeding Log'!$A$5:$A$154)))=0,"-",INDEX('Breeding Log'!$B:$B,SUMPRODUCT(MAX(('Breeding Log'!$A$5:$A$154=$A73)*ROW('Breeding Log'!$A$5:$A$154))))))</f>
        <v/>
      </c>
      <c r="G73" s="52" t="str">
        <f aca="false">IF($A73="","",IF(SUMPRODUCT(MAX(('Breeding Log'!$A$5:$A$154=$A73)*ROW('Breeding Log'!$A$5:$A$154)))=0,"-",INDEX('Breeding Log'!$E:$E,SUMPRODUCT(MAX(('Breeding Log'!$A$5:$A$154=$A73)*ROW('Breeding Log'!$A$5:$A$154))))))</f>
        <v/>
      </c>
      <c r="H73" s="47" t="str">
        <f aca="false">IF($A73="","",IF(SUMPRODUCT(MAX(('Breeding Log'!$A$5:$A$154=$A73)*ROW('Breeding Log'!$A$5:$A$154)))=0,"-",INDEX('Breeding Log'!$G:$G,SUMPRODUCT(MAX(('Breeding Log'!$A$5:$A$154=$A73)*ROW('Breeding Log'!$A$5:$A$154))))))</f>
        <v/>
      </c>
      <c r="I73" s="47" t="str">
        <f aca="false">IF($A73="","",COUNTIF('Calving Log'!$A:$A,$A73))</f>
        <v/>
      </c>
    </row>
    <row r="74" customFormat="false" ht="15" hidden="false" customHeight="false" outlineLevel="0" collapsed="false">
      <c r="A74" s="47" t="str">
        <f aca="false">IFERROR(INDEX('Animal Register'!$A:$A,MATCH(70,'Animal Register'!$W:$W,0)),"")</f>
        <v/>
      </c>
      <c r="B74" s="47" t="str">
        <f aca="false">IF($A74="","",INDEX('Animal Register'!$C:$C,MATCH($A74,'Animal Register'!$A:$A,0)))</f>
        <v/>
      </c>
      <c r="C74" s="47" t="str">
        <f aca="false">IF($A74="","",INDEX('Animal Register'!$D:$D,MATCH($A74,'Animal Register'!$A:$A,0)))</f>
        <v/>
      </c>
      <c r="D74" s="53" t="str">
        <f aca="false">IF($A74="","",INDEX('Animal Register'!$S:$S,MATCH($A74,'Animal Register'!$A:$A,0)))</f>
        <v/>
      </c>
      <c r="E74" s="47" t="str">
        <f aca="false">IF($A74="","",INDEX('Animal Register'!$Q:$Q,MATCH($A74,'Animal Register'!$A:$A,0)))</f>
        <v/>
      </c>
      <c r="F74" s="52" t="str">
        <f aca="false">IF($A74="","",IF(SUMPRODUCT(MAX(('Breeding Log'!$A$5:$A$154=$A74)*ROW('Breeding Log'!$A$5:$A$154)))=0,"-",INDEX('Breeding Log'!$B:$B,SUMPRODUCT(MAX(('Breeding Log'!$A$5:$A$154=$A74)*ROW('Breeding Log'!$A$5:$A$154))))))</f>
        <v/>
      </c>
      <c r="G74" s="52" t="str">
        <f aca="false">IF($A74="","",IF(SUMPRODUCT(MAX(('Breeding Log'!$A$5:$A$154=$A74)*ROW('Breeding Log'!$A$5:$A$154)))=0,"-",INDEX('Breeding Log'!$E:$E,SUMPRODUCT(MAX(('Breeding Log'!$A$5:$A$154=$A74)*ROW('Breeding Log'!$A$5:$A$154))))))</f>
        <v/>
      </c>
      <c r="H74" s="47" t="str">
        <f aca="false">IF($A74="","",IF(SUMPRODUCT(MAX(('Breeding Log'!$A$5:$A$154=$A74)*ROW('Breeding Log'!$A$5:$A$154)))=0,"-",INDEX('Breeding Log'!$G:$G,SUMPRODUCT(MAX(('Breeding Log'!$A$5:$A$154=$A74)*ROW('Breeding Log'!$A$5:$A$154))))))</f>
        <v/>
      </c>
      <c r="I74" s="47" t="str">
        <f aca="false">IF($A74="","",COUNTIF('Calving Log'!$A:$A,$A74))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30" t="s">
        <v>308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48" t="s">
        <v>309</v>
      </c>
      <c r="B2" s="48"/>
      <c r="C2" s="48"/>
      <c r="D2" s="48"/>
      <c r="E2" s="48"/>
      <c r="F2" s="48"/>
      <c r="G2" s="48"/>
      <c r="H2" s="48"/>
    </row>
    <row r="4" customFormat="false" ht="26.85" hidden="false" customHeight="false" outlineLevel="0" collapsed="false">
      <c r="A4" s="31" t="s">
        <v>310</v>
      </c>
      <c r="B4" s="31" t="s">
        <v>311</v>
      </c>
      <c r="C4" s="31" t="s">
        <v>312</v>
      </c>
      <c r="D4" s="31" t="s">
        <v>313</v>
      </c>
      <c r="E4" s="31" t="s">
        <v>305</v>
      </c>
      <c r="F4" s="31" t="s">
        <v>314</v>
      </c>
      <c r="G4" s="31" t="s">
        <v>315</v>
      </c>
      <c r="H4" s="31" t="s">
        <v>232</v>
      </c>
    </row>
    <row r="5" customFormat="false" ht="15" hidden="false" customHeight="false" outlineLevel="0" collapsed="false">
      <c r="A5" s="50"/>
      <c r="B5" s="51"/>
      <c r="C5" s="38"/>
      <c r="D5" s="38"/>
      <c r="E5" s="52" t="str">
        <f aca="false">IF($B5="","",$B5+283)</f>
        <v/>
      </c>
      <c r="F5" s="49"/>
      <c r="G5" s="38"/>
      <c r="H5" s="32"/>
    </row>
    <row r="6" customFormat="false" ht="15" hidden="false" customHeight="false" outlineLevel="0" collapsed="false">
      <c r="A6" s="50"/>
      <c r="B6" s="51"/>
      <c r="C6" s="38"/>
      <c r="D6" s="38"/>
      <c r="E6" s="52" t="str">
        <f aca="false">IF($B6="","",$B6+283)</f>
        <v/>
      </c>
      <c r="F6" s="49"/>
      <c r="G6" s="38"/>
      <c r="H6" s="32"/>
    </row>
    <row r="7" customFormat="false" ht="15" hidden="false" customHeight="false" outlineLevel="0" collapsed="false">
      <c r="A7" s="50"/>
      <c r="B7" s="51"/>
      <c r="C7" s="38"/>
      <c r="D7" s="38"/>
      <c r="E7" s="52" t="str">
        <f aca="false">IF($B7="","",$B7+283)</f>
        <v/>
      </c>
      <c r="F7" s="49"/>
      <c r="G7" s="38"/>
      <c r="H7" s="32"/>
    </row>
    <row r="8" customFormat="false" ht="15" hidden="false" customHeight="false" outlineLevel="0" collapsed="false">
      <c r="A8" s="50"/>
      <c r="B8" s="51"/>
      <c r="C8" s="38"/>
      <c r="D8" s="38"/>
      <c r="E8" s="52" t="str">
        <f aca="false">IF($B8="","",$B8+283)</f>
        <v/>
      </c>
      <c r="F8" s="49"/>
      <c r="G8" s="38"/>
      <c r="H8" s="32"/>
    </row>
    <row r="9" customFormat="false" ht="15" hidden="false" customHeight="false" outlineLevel="0" collapsed="false">
      <c r="A9" s="50"/>
      <c r="B9" s="51"/>
      <c r="C9" s="38"/>
      <c r="D9" s="38"/>
      <c r="E9" s="52" t="str">
        <f aca="false">IF($B9="","",$B9+283)</f>
        <v/>
      </c>
      <c r="F9" s="49"/>
      <c r="G9" s="38"/>
      <c r="H9" s="32"/>
    </row>
    <row r="10" customFormat="false" ht="15" hidden="false" customHeight="false" outlineLevel="0" collapsed="false">
      <c r="A10" s="50"/>
      <c r="B10" s="51"/>
      <c r="C10" s="38"/>
      <c r="D10" s="38"/>
      <c r="E10" s="52" t="str">
        <f aca="false">IF($B10="","",$B10+283)</f>
        <v/>
      </c>
      <c r="F10" s="49"/>
      <c r="G10" s="38"/>
      <c r="H10" s="32"/>
    </row>
    <row r="11" customFormat="false" ht="15" hidden="false" customHeight="false" outlineLevel="0" collapsed="false">
      <c r="A11" s="50"/>
      <c r="B11" s="51"/>
      <c r="C11" s="38"/>
      <c r="D11" s="38"/>
      <c r="E11" s="52" t="str">
        <f aca="false">IF($B11="","",$B11+283)</f>
        <v/>
      </c>
      <c r="F11" s="49"/>
      <c r="G11" s="38"/>
      <c r="H11" s="32"/>
    </row>
    <row r="12" customFormat="false" ht="15" hidden="false" customHeight="false" outlineLevel="0" collapsed="false">
      <c r="A12" s="50"/>
      <c r="B12" s="51"/>
      <c r="C12" s="38"/>
      <c r="D12" s="38"/>
      <c r="E12" s="52" t="str">
        <f aca="false">IF($B12="","",$B12+283)</f>
        <v/>
      </c>
      <c r="F12" s="49"/>
      <c r="G12" s="38"/>
      <c r="H12" s="32"/>
    </row>
    <row r="13" customFormat="false" ht="15" hidden="false" customHeight="false" outlineLevel="0" collapsed="false">
      <c r="A13" s="50"/>
      <c r="B13" s="51"/>
      <c r="C13" s="38"/>
      <c r="D13" s="38"/>
      <c r="E13" s="52" t="str">
        <f aca="false">IF($B13="","",$B13+283)</f>
        <v/>
      </c>
      <c r="F13" s="49"/>
      <c r="G13" s="38"/>
      <c r="H13" s="32"/>
    </row>
    <row r="14" customFormat="false" ht="15" hidden="false" customHeight="false" outlineLevel="0" collapsed="false">
      <c r="A14" s="50"/>
      <c r="B14" s="51"/>
      <c r="C14" s="38"/>
      <c r="D14" s="38"/>
      <c r="E14" s="52" t="str">
        <f aca="false">IF($B14="","",$B14+283)</f>
        <v/>
      </c>
      <c r="F14" s="49"/>
      <c r="G14" s="38"/>
      <c r="H14" s="32"/>
    </row>
    <row r="15" customFormat="false" ht="15" hidden="false" customHeight="false" outlineLevel="0" collapsed="false">
      <c r="A15" s="50"/>
      <c r="B15" s="51"/>
      <c r="C15" s="38"/>
      <c r="D15" s="38"/>
      <c r="E15" s="52" t="str">
        <f aca="false">IF($B15="","",$B15+283)</f>
        <v/>
      </c>
      <c r="F15" s="49"/>
      <c r="G15" s="38"/>
      <c r="H15" s="32"/>
    </row>
    <row r="16" customFormat="false" ht="15" hidden="false" customHeight="false" outlineLevel="0" collapsed="false">
      <c r="A16" s="50"/>
      <c r="B16" s="51"/>
      <c r="C16" s="38"/>
      <c r="D16" s="38"/>
      <c r="E16" s="52" t="str">
        <f aca="false">IF($B16="","",$B16+283)</f>
        <v/>
      </c>
      <c r="F16" s="49"/>
      <c r="G16" s="38"/>
      <c r="H16" s="32"/>
    </row>
    <row r="17" customFormat="false" ht="15" hidden="false" customHeight="false" outlineLevel="0" collapsed="false">
      <c r="A17" s="50"/>
      <c r="B17" s="51"/>
      <c r="C17" s="38"/>
      <c r="D17" s="38"/>
      <c r="E17" s="52" t="str">
        <f aca="false">IF($B17="","",$B17+283)</f>
        <v/>
      </c>
      <c r="F17" s="49"/>
      <c r="G17" s="38"/>
      <c r="H17" s="32"/>
    </row>
    <row r="18" customFormat="false" ht="15" hidden="false" customHeight="false" outlineLevel="0" collapsed="false">
      <c r="A18" s="50"/>
      <c r="B18" s="51"/>
      <c r="C18" s="38"/>
      <c r="D18" s="38"/>
      <c r="E18" s="52" t="str">
        <f aca="false">IF($B18="","",$B18+283)</f>
        <v/>
      </c>
      <c r="F18" s="49"/>
      <c r="G18" s="38"/>
      <c r="H18" s="32"/>
    </row>
    <row r="19" customFormat="false" ht="15" hidden="false" customHeight="false" outlineLevel="0" collapsed="false">
      <c r="A19" s="50"/>
      <c r="B19" s="51"/>
      <c r="C19" s="38"/>
      <c r="D19" s="38"/>
      <c r="E19" s="52" t="str">
        <f aca="false">IF($B19="","",$B19+283)</f>
        <v/>
      </c>
      <c r="F19" s="49"/>
      <c r="G19" s="38"/>
      <c r="H19" s="32"/>
    </row>
    <row r="20" customFormat="false" ht="15" hidden="false" customHeight="false" outlineLevel="0" collapsed="false">
      <c r="A20" s="50"/>
      <c r="B20" s="51"/>
      <c r="C20" s="38"/>
      <c r="D20" s="38"/>
      <c r="E20" s="52" t="str">
        <f aca="false">IF($B20="","",$B20+283)</f>
        <v/>
      </c>
      <c r="F20" s="49"/>
      <c r="G20" s="38"/>
      <c r="H20" s="32"/>
    </row>
    <row r="21" customFormat="false" ht="15" hidden="false" customHeight="false" outlineLevel="0" collapsed="false">
      <c r="A21" s="50"/>
      <c r="B21" s="51"/>
      <c r="C21" s="38"/>
      <c r="D21" s="38"/>
      <c r="E21" s="52" t="str">
        <f aca="false">IF($B21="","",$B21+283)</f>
        <v/>
      </c>
      <c r="F21" s="49"/>
      <c r="G21" s="38"/>
      <c r="H21" s="32"/>
    </row>
    <row r="22" customFormat="false" ht="15" hidden="false" customHeight="false" outlineLevel="0" collapsed="false">
      <c r="A22" s="50"/>
      <c r="B22" s="51"/>
      <c r="C22" s="38"/>
      <c r="D22" s="38"/>
      <c r="E22" s="52" t="str">
        <f aca="false">IF($B22="","",$B22+283)</f>
        <v/>
      </c>
      <c r="F22" s="49"/>
      <c r="G22" s="38"/>
      <c r="H22" s="32"/>
    </row>
    <row r="23" customFormat="false" ht="15" hidden="false" customHeight="false" outlineLevel="0" collapsed="false">
      <c r="A23" s="50"/>
      <c r="B23" s="51"/>
      <c r="C23" s="38"/>
      <c r="D23" s="38"/>
      <c r="E23" s="52" t="str">
        <f aca="false">IF($B23="","",$B23+283)</f>
        <v/>
      </c>
      <c r="F23" s="49"/>
      <c r="G23" s="38"/>
      <c r="H23" s="32"/>
    </row>
    <row r="24" customFormat="false" ht="15" hidden="false" customHeight="false" outlineLevel="0" collapsed="false">
      <c r="A24" s="50"/>
      <c r="B24" s="51"/>
      <c r="C24" s="38"/>
      <c r="D24" s="38"/>
      <c r="E24" s="52" t="str">
        <f aca="false">IF($B24="","",$B24+283)</f>
        <v/>
      </c>
      <c r="F24" s="49"/>
      <c r="G24" s="38"/>
      <c r="H24" s="32"/>
    </row>
    <row r="25" customFormat="false" ht="15" hidden="false" customHeight="false" outlineLevel="0" collapsed="false">
      <c r="A25" s="50"/>
      <c r="B25" s="51"/>
      <c r="C25" s="38"/>
      <c r="D25" s="38"/>
      <c r="E25" s="52" t="str">
        <f aca="false">IF($B25="","",$B25+283)</f>
        <v/>
      </c>
      <c r="F25" s="49"/>
      <c r="G25" s="38"/>
      <c r="H25" s="32"/>
    </row>
    <row r="26" customFormat="false" ht="15" hidden="false" customHeight="false" outlineLevel="0" collapsed="false">
      <c r="A26" s="50"/>
      <c r="B26" s="51"/>
      <c r="C26" s="38"/>
      <c r="D26" s="38"/>
      <c r="E26" s="52" t="str">
        <f aca="false">IF($B26="","",$B26+283)</f>
        <v/>
      </c>
      <c r="F26" s="49"/>
      <c r="G26" s="38"/>
      <c r="H26" s="32"/>
    </row>
    <row r="27" customFormat="false" ht="15" hidden="false" customHeight="false" outlineLevel="0" collapsed="false">
      <c r="A27" s="50"/>
      <c r="B27" s="51"/>
      <c r="C27" s="38"/>
      <c r="D27" s="38"/>
      <c r="E27" s="52" t="str">
        <f aca="false">IF($B27="","",$B27+283)</f>
        <v/>
      </c>
      <c r="F27" s="49"/>
      <c r="G27" s="38"/>
      <c r="H27" s="32"/>
    </row>
    <row r="28" customFormat="false" ht="15" hidden="false" customHeight="false" outlineLevel="0" collapsed="false">
      <c r="A28" s="50"/>
      <c r="B28" s="51"/>
      <c r="C28" s="38"/>
      <c r="D28" s="38"/>
      <c r="E28" s="52" t="str">
        <f aca="false">IF($B28="","",$B28+283)</f>
        <v/>
      </c>
      <c r="F28" s="49"/>
      <c r="G28" s="38"/>
      <c r="H28" s="32"/>
    </row>
    <row r="29" customFormat="false" ht="15" hidden="false" customHeight="false" outlineLevel="0" collapsed="false">
      <c r="A29" s="50"/>
      <c r="B29" s="51"/>
      <c r="C29" s="38"/>
      <c r="D29" s="38"/>
      <c r="E29" s="52" t="str">
        <f aca="false">IF($B29="","",$B29+283)</f>
        <v/>
      </c>
      <c r="F29" s="49"/>
      <c r="G29" s="38"/>
      <c r="H29" s="32"/>
    </row>
    <row r="30" customFormat="false" ht="15" hidden="false" customHeight="false" outlineLevel="0" collapsed="false">
      <c r="A30" s="50"/>
      <c r="B30" s="51"/>
      <c r="C30" s="38"/>
      <c r="D30" s="38"/>
      <c r="E30" s="52" t="str">
        <f aca="false">IF($B30="","",$B30+283)</f>
        <v/>
      </c>
      <c r="F30" s="49"/>
      <c r="G30" s="38"/>
      <c r="H30" s="32"/>
    </row>
    <row r="31" customFormat="false" ht="15" hidden="false" customHeight="false" outlineLevel="0" collapsed="false">
      <c r="A31" s="50"/>
      <c r="B31" s="51"/>
      <c r="C31" s="38"/>
      <c r="D31" s="38"/>
      <c r="E31" s="52" t="str">
        <f aca="false">IF($B31="","",$B31+283)</f>
        <v/>
      </c>
      <c r="F31" s="49"/>
      <c r="G31" s="38"/>
      <c r="H31" s="32"/>
    </row>
    <row r="32" customFormat="false" ht="15" hidden="false" customHeight="false" outlineLevel="0" collapsed="false">
      <c r="A32" s="50"/>
      <c r="B32" s="51"/>
      <c r="C32" s="38"/>
      <c r="D32" s="38"/>
      <c r="E32" s="52" t="str">
        <f aca="false">IF($B32="","",$B32+283)</f>
        <v/>
      </c>
      <c r="F32" s="49"/>
      <c r="G32" s="38"/>
      <c r="H32" s="32"/>
    </row>
    <row r="33" customFormat="false" ht="15" hidden="false" customHeight="false" outlineLevel="0" collapsed="false">
      <c r="A33" s="50"/>
      <c r="B33" s="51"/>
      <c r="C33" s="38"/>
      <c r="D33" s="38"/>
      <c r="E33" s="52" t="str">
        <f aca="false">IF($B33="","",$B33+283)</f>
        <v/>
      </c>
      <c r="F33" s="49"/>
      <c r="G33" s="38"/>
      <c r="H33" s="32"/>
    </row>
    <row r="34" customFormat="false" ht="15" hidden="false" customHeight="false" outlineLevel="0" collapsed="false">
      <c r="A34" s="50"/>
      <c r="B34" s="51"/>
      <c r="C34" s="38"/>
      <c r="D34" s="38"/>
      <c r="E34" s="52" t="str">
        <f aca="false">IF($B34="","",$B34+283)</f>
        <v/>
      </c>
      <c r="F34" s="49"/>
      <c r="G34" s="38"/>
      <c r="H34" s="32"/>
    </row>
    <row r="35" customFormat="false" ht="15" hidden="false" customHeight="false" outlineLevel="0" collapsed="false">
      <c r="A35" s="50"/>
      <c r="B35" s="51"/>
      <c r="C35" s="38"/>
      <c r="D35" s="38"/>
      <c r="E35" s="52" t="str">
        <f aca="false">IF($B35="","",$B35+283)</f>
        <v/>
      </c>
      <c r="F35" s="49"/>
      <c r="G35" s="38"/>
      <c r="H35" s="32"/>
    </row>
    <row r="36" customFormat="false" ht="15" hidden="false" customHeight="false" outlineLevel="0" collapsed="false">
      <c r="A36" s="50"/>
      <c r="B36" s="51"/>
      <c r="C36" s="38"/>
      <c r="D36" s="38"/>
      <c r="E36" s="52" t="str">
        <f aca="false">IF($B36="","",$B36+283)</f>
        <v/>
      </c>
      <c r="F36" s="49"/>
      <c r="G36" s="38"/>
      <c r="H36" s="32"/>
    </row>
    <row r="37" customFormat="false" ht="15" hidden="false" customHeight="false" outlineLevel="0" collapsed="false">
      <c r="A37" s="50"/>
      <c r="B37" s="51"/>
      <c r="C37" s="38"/>
      <c r="D37" s="38"/>
      <c r="E37" s="52" t="str">
        <f aca="false">IF($B37="","",$B37+283)</f>
        <v/>
      </c>
      <c r="F37" s="49"/>
      <c r="G37" s="38"/>
      <c r="H37" s="32"/>
    </row>
    <row r="38" customFormat="false" ht="15" hidden="false" customHeight="false" outlineLevel="0" collapsed="false">
      <c r="A38" s="50"/>
      <c r="B38" s="51"/>
      <c r="C38" s="38"/>
      <c r="D38" s="38"/>
      <c r="E38" s="52" t="str">
        <f aca="false">IF($B38="","",$B38+283)</f>
        <v/>
      </c>
      <c r="F38" s="49"/>
      <c r="G38" s="38"/>
      <c r="H38" s="32"/>
    </row>
    <row r="39" customFormat="false" ht="15" hidden="false" customHeight="false" outlineLevel="0" collapsed="false">
      <c r="A39" s="50"/>
      <c r="B39" s="51"/>
      <c r="C39" s="38"/>
      <c r="D39" s="38"/>
      <c r="E39" s="52" t="str">
        <f aca="false">IF($B39="","",$B39+283)</f>
        <v/>
      </c>
      <c r="F39" s="49"/>
      <c r="G39" s="38"/>
      <c r="H39" s="32"/>
    </row>
    <row r="40" customFormat="false" ht="15" hidden="false" customHeight="false" outlineLevel="0" collapsed="false">
      <c r="A40" s="50"/>
      <c r="B40" s="51"/>
      <c r="C40" s="38"/>
      <c r="D40" s="38"/>
      <c r="E40" s="52" t="str">
        <f aca="false">IF($B40="","",$B40+283)</f>
        <v/>
      </c>
      <c r="F40" s="49"/>
      <c r="G40" s="38"/>
      <c r="H40" s="32"/>
    </row>
    <row r="41" customFormat="false" ht="15" hidden="false" customHeight="false" outlineLevel="0" collapsed="false">
      <c r="A41" s="50"/>
      <c r="B41" s="51"/>
      <c r="C41" s="38"/>
      <c r="D41" s="38"/>
      <c r="E41" s="52" t="str">
        <f aca="false">IF($B41="","",$B41+283)</f>
        <v/>
      </c>
      <c r="F41" s="49"/>
      <c r="G41" s="38"/>
      <c r="H41" s="32"/>
    </row>
    <row r="42" customFormat="false" ht="15" hidden="false" customHeight="false" outlineLevel="0" collapsed="false">
      <c r="A42" s="50"/>
      <c r="B42" s="51"/>
      <c r="C42" s="38"/>
      <c r="D42" s="38"/>
      <c r="E42" s="52" t="str">
        <f aca="false">IF($B42="","",$B42+283)</f>
        <v/>
      </c>
      <c r="F42" s="49"/>
      <c r="G42" s="38"/>
      <c r="H42" s="32"/>
    </row>
    <row r="43" customFormat="false" ht="15" hidden="false" customHeight="false" outlineLevel="0" collapsed="false">
      <c r="A43" s="50"/>
      <c r="B43" s="51"/>
      <c r="C43" s="38"/>
      <c r="D43" s="38"/>
      <c r="E43" s="52" t="str">
        <f aca="false">IF($B43="","",$B43+283)</f>
        <v/>
      </c>
      <c r="F43" s="49"/>
      <c r="G43" s="38"/>
      <c r="H43" s="32"/>
    </row>
    <row r="44" customFormat="false" ht="15" hidden="false" customHeight="false" outlineLevel="0" collapsed="false">
      <c r="A44" s="50"/>
      <c r="B44" s="51"/>
      <c r="C44" s="38"/>
      <c r="D44" s="38"/>
      <c r="E44" s="52" t="str">
        <f aca="false">IF($B44="","",$B44+283)</f>
        <v/>
      </c>
      <c r="F44" s="49"/>
      <c r="G44" s="38"/>
      <c r="H44" s="32"/>
    </row>
    <row r="45" customFormat="false" ht="15" hidden="false" customHeight="false" outlineLevel="0" collapsed="false">
      <c r="A45" s="50"/>
      <c r="B45" s="51"/>
      <c r="C45" s="38"/>
      <c r="D45" s="38"/>
      <c r="E45" s="52" t="str">
        <f aca="false">IF($B45="","",$B45+283)</f>
        <v/>
      </c>
      <c r="F45" s="49"/>
      <c r="G45" s="38"/>
      <c r="H45" s="32"/>
    </row>
    <row r="46" customFormat="false" ht="15" hidden="false" customHeight="false" outlineLevel="0" collapsed="false">
      <c r="A46" s="50"/>
      <c r="B46" s="51"/>
      <c r="C46" s="38"/>
      <c r="D46" s="38"/>
      <c r="E46" s="52" t="str">
        <f aca="false">IF($B46="","",$B46+283)</f>
        <v/>
      </c>
      <c r="F46" s="49"/>
      <c r="G46" s="38"/>
      <c r="H46" s="32"/>
    </row>
    <row r="47" customFormat="false" ht="15" hidden="false" customHeight="false" outlineLevel="0" collapsed="false">
      <c r="A47" s="50"/>
      <c r="B47" s="51"/>
      <c r="C47" s="38"/>
      <c r="D47" s="38"/>
      <c r="E47" s="52" t="str">
        <f aca="false">IF($B47="","",$B47+283)</f>
        <v/>
      </c>
      <c r="F47" s="49"/>
      <c r="G47" s="38"/>
      <c r="H47" s="32"/>
    </row>
    <row r="48" customFormat="false" ht="15" hidden="false" customHeight="false" outlineLevel="0" collapsed="false">
      <c r="A48" s="50"/>
      <c r="B48" s="51"/>
      <c r="C48" s="38"/>
      <c r="D48" s="38"/>
      <c r="E48" s="52" t="str">
        <f aca="false">IF($B48="","",$B48+283)</f>
        <v/>
      </c>
      <c r="F48" s="49"/>
      <c r="G48" s="38"/>
      <c r="H48" s="32"/>
    </row>
    <row r="49" customFormat="false" ht="15" hidden="false" customHeight="false" outlineLevel="0" collapsed="false">
      <c r="A49" s="50"/>
      <c r="B49" s="51"/>
      <c r="C49" s="38"/>
      <c r="D49" s="38"/>
      <c r="E49" s="52" t="str">
        <f aca="false">IF($B49="","",$B49+283)</f>
        <v/>
      </c>
      <c r="F49" s="49"/>
      <c r="G49" s="38"/>
      <c r="H49" s="32"/>
    </row>
    <row r="50" customFormat="false" ht="15" hidden="false" customHeight="false" outlineLevel="0" collapsed="false">
      <c r="A50" s="50"/>
      <c r="B50" s="51"/>
      <c r="C50" s="38"/>
      <c r="D50" s="38"/>
      <c r="E50" s="52" t="str">
        <f aca="false">IF($B50="","",$B50+283)</f>
        <v/>
      </c>
      <c r="F50" s="49"/>
      <c r="G50" s="38"/>
      <c r="H50" s="32"/>
    </row>
    <row r="51" customFormat="false" ht="15" hidden="false" customHeight="false" outlineLevel="0" collapsed="false">
      <c r="A51" s="50"/>
      <c r="B51" s="51"/>
      <c r="C51" s="38"/>
      <c r="D51" s="38"/>
      <c r="E51" s="52" t="str">
        <f aca="false">IF($B51="","",$B51+283)</f>
        <v/>
      </c>
      <c r="F51" s="49"/>
      <c r="G51" s="38"/>
      <c r="H51" s="32"/>
    </row>
    <row r="52" customFormat="false" ht="15" hidden="false" customHeight="false" outlineLevel="0" collapsed="false">
      <c r="A52" s="50"/>
      <c r="B52" s="51"/>
      <c r="C52" s="38"/>
      <c r="D52" s="38"/>
      <c r="E52" s="52" t="str">
        <f aca="false">IF($B52="","",$B52+283)</f>
        <v/>
      </c>
      <c r="F52" s="49"/>
      <c r="G52" s="38"/>
      <c r="H52" s="32"/>
    </row>
    <row r="53" customFormat="false" ht="15" hidden="false" customHeight="false" outlineLevel="0" collapsed="false">
      <c r="A53" s="50"/>
      <c r="B53" s="51"/>
      <c r="C53" s="38"/>
      <c r="D53" s="38"/>
      <c r="E53" s="52" t="str">
        <f aca="false">IF($B53="","",$B53+283)</f>
        <v/>
      </c>
      <c r="F53" s="49"/>
      <c r="G53" s="38"/>
      <c r="H53" s="32"/>
    </row>
    <row r="54" customFormat="false" ht="15" hidden="false" customHeight="false" outlineLevel="0" collapsed="false">
      <c r="A54" s="50"/>
      <c r="B54" s="51"/>
      <c r="C54" s="38"/>
      <c r="D54" s="38"/>
      <c r="E54" s="52" t="str">
        <f aca="false">IF($B54="","",$B54+283)</f>
        <v/>
      </c>
      <c r="F54" s="49"/>
      <c r="G54" s="38"/>
      <c r="H54" s="32"/>
    </row>
    <row r="55" customFormat="false" ht="15" hidden="false" customHeight="false" outlineLevel="0" collapsed="false">
      <c r="A55" s="50"/>
      <c r="B55" s="51"/>
      <c r="C55" s="38"/>
      <c r="D55" s="38"/>
      <c r="E55" s="52" t="str">
        <f aca="false">IF($B55="","",$B55+283)</f>
        <v/>
      </c>
      <c r="F55" s="49"/>
      <c r="G55" s="38"/>
      <c r="H55" s="32"/>
    </row>
    <row r="56" customFormat="false" ht="15" hidden="false" customHeight="false" outlineLevel="0" collapsed="false">
      <c r="A56" s="50"/>
      <c r="B56" s="51"/>
      <c r="C56" s="38"/>
      <c r="D56" s="38"/>
      <c r="E56" s="52" t="str">
        <f aca="false">IF($B56="","",$B56+283)</f>
        <v/>
      </c>
      <c r="F56" s="49"/>
      <c r="G56" s="38"/>
      <c r="H56" s="32"/>
    </row>
    <row r="57" customFormat="false" ht="15" hidden="false" customHeight="false" outlineLevel="0" collapsed="false">
      <c r="A57" s="50"/>
      <c r="B57" s="51"/>
      <c r="C57" s="38"/>
      <c r="D57" s="38"/>
      <c r="E57" s="52" t="str">
        <f aca="false">IF($B57="","",$B57+283)</f>
        <v/>
      </c>
      <c r="F57" s="49"/>
      <c r="G57" s="38"/>
      <c r="H57" s="32"/>
    </row>
    <row r="58" customFormat="false" ht="15" hidden="false" customHeight="false" outlineLevel="0" collapsed="false">
      <c r="A58" s="50"/>
      <c r="B58" s="51"/>
      <c r="C58" s="38"/>
      <c r="D58" s="38"/>
      <c r="E58" s="52" t="str">
        <f aca="false">IF($B58="","",$B58+283)</f>
        <v/>
      </c>
      <c r="F58" s="49"/>
      <c r="G58" s="38"/>
      <c r="H58" s="32"/>
    </row>
    <row r="59" customFormat="false" ht="15" hidden="false" customHeight="false" outlineLevel="0" collapsed="false">
      <c r="A59" s="50"/>
      <c r="B59" s="51"/>
      <c r="C59" s="38"/>
      <c r="D59" s="38"/>
      <c r="E59" s="52" t="str">
        <f aca="false">IF($B59="","",$B59+283)</f>
        <v/>
      </c>
      <c r="F59" s="49"/>
      <c r="G59" s="38"/>
      <c r="H59" s="32"/>
    </row>
    <row r="60" customFormat="false" ht="15" hidden="false" customHeight="false" outlineLevel="0" collapsed="false">
      <c r="A60" s="50"/>
      <c r="B60" s="51"/>
      <c r="C60" s="38"/>
      <c r="D60" s="38"/>
      <c r="E60" s="52" t="str">
        <f aca="false">IF($B60="","",$B60+283)</f>
        <v/>
      </c>
      <c r="F60" s="49"/>
      <c r="G60" s="38"/>
      <c r="H60" s="32"/>
    </row>
    <row r="61" customFormat="false" ht="15" hidden="false" customHeight="false" outlineLevel="0" collapsed="false">
      <c r="A61" s="50"/>
      <c r="B61" s="51"/>
      <c r="C61" s="38"/>
      <c r="D61" s="38"/>
      <c r="E61" s="52" t="str">
        <f aca="false">IF($B61="","",$B61+283)</f>
        <v/>
      </c>
      <c r="F61" s="49"/>
      <c r="G61" s="38"/>
      <c r="H61" s="32"/>
    </row>
    <row r="62" customFormat="false" ht="15" hidden="false" customHeight="false" outlineLevel="0" collapsed="false">
      <c r="A62" s="50"/>
      <c r="B62" s="51"/>
      <c r="C62" s="38"/>
      <c r="D62" s="38"/>
      <c r="E62" s="52" t="str">
        <f aca="false">IF($B62="","",$B62+283)</f>
        <v/>
      </c>
      <c r="F62" s="49"/>
      <c r="G62" s="38"/>
      <c r="H62" s="32"/>
    </row>
    <row r="63" customFormat="false" ht="15" hidden="false" customHeight="false" outlineLevel="0" collapsed="false">
      <c r="A63" s="50"/>
      <c r="B63" s="51"/>
      <c r="C63" s="38"/>
      <c r="D63" s="38"/>
      <c r="E63" s="52" t="str">
        <f aca="false">IF($B63="","",$B63+283)</f>
        <v/>
      </c>
      <c r="F63" s="49"/>
      <c r="G63" s="38"/>
      <c r="H63" s="32"/>
    </row>
    <row r="64" customFormat="false" ht="15" hidden="false" customHeight="false" outlineLevel="0" collapsed="false">
      <c r="A64" s="50"/>
      <c r="B64" s="51"/>
      <c r="C64" s="38"/>
      <c r="D64" s="38"/>
      <c r="E64" s="52" t="str">
        <f aca="false">IF($B64="","",$B64+283)</f>
        <v/>
      </c>
      <c r="F64" s="49"/>
      <c r="G64" s="38"/>
      <c r="H64" s="32"/>
    </row>
    <row r="65" customFormat="false" ht="15" hidden="false" customHeight="false" outlineLevel="0" collapsed="false">
      <c r="A65" s="50"/>
      <c r="B65" s="51"/>
      <c r="C65" s="38"/>
      <c r="D65" s="38"/>
      <c r="E65" s="52" t="str">
        <f aca="false">IF($B65="","",$B65+283)</f>
        <v/>
      </c>
      <c r="F65" s="49"/>
      <c r="G65" s="38"/>
      <c r="H65" s="32"/>
    </row>
    <row r="66" customFormat="false" ht="15" hidden="false" customHeight="false" outlineLevel="0" collapsed="false">
      <c r="A66" s="50"/>
      <c r="B66" s="51"/>
      <c r="C66" s="38"/>
      <c r="D66" s="38"/>
      <c r="E66" s="52" t="str">
        <f aca="false">IF($B66="","",$B66+283)</f>
        <v/>
      </c>
      <c r="F66" s="49"/>
      <c r="G66" s="38"/>
      <c r="H66" s="32"/>
    </row>
    <row r="67" customFormat="false" ht="15" hidden="false" customHeight="false" outlineLevel="0" collapsed="false">
      <c r="A67" s="50"/>
      <c r="B67" s="51"/>
      <c r="C67" s="38"/>
      <c r="D67" s="38"/>
      <c r="E67" s="52" t="str">
        <f aca="false">IF($B67="","",$B67+283)</f>
        <v/>
      </c>
      <c r="F67" s="49"/>
      <c r="G67" s="38"/>
      <c r="H67" s="32"/>
    </row>
    <row r="68" customFormat="false" ht="15" hidden="false" customHeight="false" outlineLevel="0" collapsed="false">
      <c r="A68" s="50"/>
      <c r="B68" s="51"/>
      <c r="C68" s="38"/>
      <c r="D68" s="38"/>
      <c r="E68" s="52" t="str">
        <f aca="false">IF($B68="","",$B68+283)</f>
        <v/>
      </c>
      <c r="F68" s="49"/>
      <c r="G68" s="38"/>
      <c r="H68" s="32"/>
    </row>
    <row r="69" customFormat="false" ht="15" hidden="false" customHeight="false" outlineLevel="0" collapsed="false">
      <c r="A69" s="50"/>
      <c r="B69" s="51"/>
      <c r="C69" s="38"/>
      <c r="D69" s="38"/>
      <c r="E69" s="52" t="str">
        <f aca="false">IF($B69="","",$B69+283)</f>
        <v/>
      </c>
      <c r="F69" s="49"/>
      <c r="G69" s="38"/>
      <c r="H69" s="32"/>
    </row>
    <row r="70" customFormat="false" ht="15" hidden="false" customHeight="false" outlineLevel="0" collapsed="false">
      <c r="A70" s="50"/>
      <c r="B70" s="51"/>
      <c r="C70" s="38"/>
      <c r="D70" s="38"/>
      <c r="E70" s="52" t="str">
        <f aca="false">IF($B70="","",$B70+283)</f>
        <v/>
      </c>
      <c r="F70" s="49"/>
      <c r="G70" s="38"/>
      <c r="H70" s="32"/>
    </row>
    <row r="71" customFormat="false" ht="15" hidden="false" customHeight="false" outlineLevel="0" collapsed="false">
      <c r="A71" s="50"/>
      <c r="B71" s="51"/>
      <c r="C71" s="38"/>
      <c r="D71" s="38"/>
      <c r="E71" s="52" t="str">
        <f aca="false">IF($B71="","",$B71+283)</f>
        <v/>
      </c>
      <c r="F71" s="49"/>
      <c r="G71" s="38"/>
      <c r="H71" s="32"/>
    </row>
    <row r="72" customFormat="false" ht="15" hidden="false" customHeight="false" outlineLevel="0" collapsed="false">
      <c r="A72" s="50"/>
      <c r="B72" s="51"/>
      <c r="C72" s="38"/>
      <c r="D72" s="38"/>
      <c r="E72" s="52" t="str">
        <f aca="false">IF($B72="","",$B72+283)</f>
        <v/>
      </c>
      <c r="F72" s="49"/>
      <c r="G72" s="38"/>
      <c r="H72" s="32"/>
    </row>
    <row r="73" customFormat="false" ht="15" hidden="false" customHeight="false" outlineLevel="0" collapsed="false">
      <c r="A73" s="50"/>
      <c r="B73" s="51"/>
      <c r="C73" s="38"/>
      <c r="D73" s="38"/>
      <c r="E73" s="52" t="str">
        <f aca="false">IF($B73="","",$B73+283)</f>
        <v/>
      </c>
      <c r="F73" s="49"/>
      <c r="G73" s="38"/>
      <c r="H73" s="32"/>
    </row>
    <row r="74" customFormat="false" ht="15" hidden="false" customHeight="false" outlineLevel="0" collapsed="false">
      <c r="A74" s="50"/>
      <c r="B74" s="51"/>
      <c r="C74" s="38"/>
      <c r="D74" s="38"/>
      <c r="E74" s="52" t="str">
        <f aca="false">IF($B74="","",$B74+283)</f>
        <v/>
      </c>
      <c r="F74" s="49"/>
      <c r="G74" s="38"/>
      <c r="H74" s="32"/>
    </row>
    <row r="75" customFormat="false" ht="15" hidden="false" customHeight="false" outlineLevel="0" collapsed="false">
      <c r="A75" s="50"/>
      <c r="B75" s="51"/>
      <c r="C75" s="38"/>
      <c r="D75" s="38"/>
      <c r="E75" s="52" t="str">
        <f aca="false">IF($B75="","",$B75+283)</f>
        <v/>
      </c>
      <c r="F75" s="49"/>
      <c r="G75" s="38"/>
      <c r="H75" s="32"/>
    </row>
    <row r="76" customFormat="false" ht="15" hidden="false" customHeight="false" outlineLevel="0" collapsed="false">
      <c r="A76" s="50"/>
      <c r="B76" s="51"/>
      <c r="C76" s="38"/>
      <c r="D76" s="38"/>
      <c r="E76" s="52" t="str">
        <f aca="false">IF($B76="","",$B76+283)</f>
        <v/>
      </c>
      <c r="F76" s="49"/>
      <c r="G76" s="38"/>
      <c r="H76" s="32"/>
    </row>
    <row r="77" customFormat="false" ht="15" hidden="false" customHeight="false" outlineLevel="0" collapsed="false">
      <c r="A77" s="50"/>
      <c r="B77" s="51"/>
      <c r="C77" s="38"/>
      <c r="D77" s="38"/>
      <c r="E77" s="52" t="str">
        <f aca="false">IF($B77="","",$B77+283)</f>
        <v/>
      </c>
      <c r="F77" s="49"/>
      <c r="G77" s="38"/>
      <c r="H77" s="32"/>
    </row>
    <row r="78" customFormat="false" ht="15" hidden="false" customHeight="false" outlineLevel="0" collapsed="false">
      <c r="A78" s="50"/>
      <c r="B78" s="51"/>
      <c r="C78" s="38"/>
      <c r="D78" s="38"/>
      <c r="E78" s="52" t="str">
        <f aca="false">IF($B78="","",$B78+283)</f>
        <v/>
      </c>
      <c r="F78" s="49"/>
      <c r="G78" s="38"/>
      <c r="H78" s="32"/>
    </row>
    <row r="79" customFormat="false" ht="15" hidden="false" customHeight="false" outlineLevel="0" collapsed="false">
      <c r="A79" s="50"/>
      <c r="B79" s="51"/>
      <c r="C79" s="38"/>
      <c r="D79" s="38"/>
      <c r="E79" s="52" t="str">
        <f aca="false">IF($B79="","",$B79+283)</f>
        <v/>
      </c>
      <c r="F79" s="49"/>
      <c r="G79" s="38"/>
      <c r="H79" s="32"/>
    </row>
    <row r="80" customFormat="false" ht="15" hidden="false" customHeight="false" outlineLevel="0" collapsed="false">
      <c r="A80" s="50"/>
      <c r="B80" s="51"/>
      <c r="C80" s="38"/>
      <c r="D80" s="38"/>
      <c r="E80" s="52" t="str">
        <f aca="false">IF($B80="","",$B80+283)</f>
        <v/>
      </c>
      <c r="F80" s="49"/>
      <c r="G80" s="38"/>
      <c r="H80" s="32"/>
    </row>
    <row r="81" customFormat="false" ht="15" hidden="false" customHeight="false" outlineLevel="0" collapsed="false">
      <c r="A81" s="50"/>
      <c r="B81" s="51"/>
      <c r="C81" s="38"/>
      <c r="D81" s="38"/>
      <c r="E81" s="52" t="str">
        <f aca="false">IF($B81="","",$B81+283)</f>
        <v/>
      </c>
      <c r="F81" s="49"/>
      <c r="G81" s="38"/>
      <c r="H81" s="32"/>
    </row>
    <row r="82" customFormat="false" ht="15" hidden="false" customHeight="false" outlineLevel="0" collapsed="false">
      <c r="A82" s="50"/>
      <c r="B82" s="51"/>
      <c r="C82" s="38"/>
      <c r="D82" s="38"/>
      <c r="E82" s="52" t="str">
        <f aca="false">IF($B82="","",$B82+283)</f>
        <v/>
      </c>
      <c r="F82" s="49"/>
      <c r="G82" s="38"/>
      <c r="H82" s="32"/>
    </row>
    <row r="83" customFormat="false" ht="15" hidden="false" customHeight="false" outlineLevel="0" collapsed="false">
      <c r="A83" s="50"/>
      <c r="B83" s="51"/>
      <c r="C83" s="38"/>
      <c r="D83" s="38"/>
      <c r="E83" s="52" t="str">
        <f aca="false">IF($B83="","",$B83+283)</f>
        <v/>
      </c>
      <c r="F83" s="49"/>
      <c r="G83" s="38"/>
      <c r="H83" s="32"/>
    </row>
    <row r="84" customFormat="false" ht="15" hidden="false" customHeight="false" outlineLevel="0" collapsed="false">
      <c r="A84" s="50"/>
      <c r="B84" s="51"/>
      <c r="C84" s="38"/>
      <c r="D84" s="38"/>
      <c r="E84" s="52" t="str">
        <f aca="false">IF($B84="","",$B84+283)</f>
        <v/>
      </c>
      <c r="F84" s="49"/>
      <c r="G84" s="38"/>
      <c r="H84" s="32"/>
    </row>
    <row r="85" customFormat="false" ht="15" hidden="false" customHeight="false" outlineLevel="0" collapsed="false">
      <c r="A85" s="50"/>
      <c r="B85" s="51"/>
      <c r="C85" s="38"/>
      <c r="D85" s="38"/>
      <c r="E85" s="52" t="str">
        <f aca="false">IF($B85="","",$B85+283)</f>
        <v/>
      </c>
      <c r="F85" s="49"/>
      <c r="G85" s="38"/>
      <c r="H85" s="32"/>
    </row>
    <row r="86" customFormat="false" ht="15" hidden="false" customHeight="false" outlineLevel="0" collapsed="false">
      <c r="A86" s="50"/>
      <c r="B86" s="51"/>
      <c r="C86" s="38"/>
      <c r="D86" s="38"/>
      <c r="E86" s="52" t="str">
        <f aca="false">IF($B86="","",$B86+283)</f>
        <v/>
      </c>
      <c r="F86" s="49"/>
      <c r="G86" s="38"/>
      <c r="H86" s="32"/>
    </row>
    <row r="87" customFormat="false" ht="15" hidden="false" customHeight="false" outlineLevel="0" collapsed="false">
      <c r="A87" s="50"/>
      <c r="B87" s="51"/>
      <c r="C87" s="38"/>
      <c r="D87" s="38"/>
      <c r="E87" s="52" t="str">
        <f aca="false">IF($B87="","",$B87+283)</f>
        <v/>
      </c>
      <c r="F87" s="49"/>
      <c r="G87" s="38"/>
      <c r="H87" s="32"/>
    </row>
    <row r="88" customFormat="false" ht="15" hidden="false" customHeight="false" outlineLevel="0" collapsed="false">
      <c r="A88" s="50"/>
      <c r="B88" s="51"/>
      <c r="C88" s="38"/>
      <c r="D88" s="38"/>
      <c r="E88" s="52" t="str">
        <f aca="false">IF($B88="","",$B88+283)</f>
        <v/>
      </c>
      <c r="F88" s="49"/>
      <c r="G88" s="38"/>
      <c r="H88" s="32"/>
    </row>
    <row r="89" customFormat="false" ht="15" hidden="false" customHeight="false" outlineLevel="0" collapsed="false">
      <c r="A89" s="50"/>
      <c r="B89" s="51"/>
      <c r="C89" s="38"/>
      <c r="D89" s="38"/>
      <c r="E89" s="52" t="str">
        <f aca="false">IF($B89="","",$B89+283)</f>
        <v/>
      </c>
      <c r="F89" s="49"/>
      <c r="G89" s="38"/>
      <c r="H89" s="32"/>
    </row>
    <row r="90" customFormat="false" ht="15" hidden="false" customHeight="false" outlineLevel="0" collapsed="false">
      <c r="A90" s="50"/>
      <c r="B90" s="51"/>
      <c r="C90" s="38"/>
      <c r="D90" s="38"/>
      <c r="E90" s="52" t="str">
        <f aca="false">IF($B90="","",$B90+283)</f>
        <v/>
      </c>
      <c r="F90" s="49"/>
      <c r="G90" s="38"/>
      <c r="H90" s="32"/>
    </row>
    <row r="91" customFormat="false" ht="15" hidden="false" customHeight="false" outlineLevel="0" collapsed="false">
      <c r="A91" s="50"/>
      <c r="B91" s="51"/>
      <c r="C91" s="38"/>
      <c r="D91" s="38"/>
      <c r="E91" s="52" t="str">
        <f aca="false">IF($B91="","",$B91+283)</f>
        <v/>
      </c>
      <c r="F91" s="49"/>
      <c r="G91" s="38"/>
      <c r="H91" s="32"/>
    </row>
    <row r="92" customFormat="false" ht="15" hidden="false" customHeight="false" outlineLevel="0" collapsed="false">
      <c r="A92" s="50"/>
      <c r="B92" s="51"/>
      <c r="C92" s="38"/>
      <c r="D92" s="38"/>
      <c r="E92" s="52" t="str">
        <f aca="false">IF($B92="","",$B92+283)</f>
        <v/>
      </c>
      <c r="F92" s="49"/>
      <c r="G92" s="38"/>
      <c r="H92" s="32"/>
    </row>
    <row r="93" customFormat="false" ht="15" hidden="false" customHeight="false" outlineLevel="0" collapsed="false">
      <c r="A93" s="50"/>
      <c r="B93" s="51"/>
      <c r="C93" s="38"/>
      <c r="D93" s="38"/>
      <c r="E93" s="52" t="str">
        <f aca="false">IF($B93="","",$B93+283)</f>
        <v/>
      </c>
      <c r="F93" s="49"/>
      <c r="G93" s="38"/>
      <c r="H93" s="32"/>
    </row>
    <row r="94" customFormat="false" ht="15" hidden="false" customHeight="false" outlineLevel="0" collapsed="false">
      <c r="A94" s="50"/>
      <c r="B94" s="51"/>
      <c r="C94" s="38"/>
      <c r="D94" s="38"/>
      <c r="E94" s="52" t="str">
        <f aca="false">IF($B94="","",$B94+283)</f>
        <v/>
      </c>
      <c r="F94" s="49"/>
      <c r="G94" s="38"/>
      <c r="H94" s="32"/>
    </row>
    <row r="95" customFormat="false" ht="15" hidden="false" customHeight="false" outlineLevel="0" collapsed="false">
      <c r="A95" s="50"/>
      <c r="B95" s="51"/>
      <c r="C95" s="38"/>
      <c r="D95" s="38"/>
      <c r="E95" s="52" t="str">
        <f aca="false">IF($B95="","",$B95+283)</f>
        <v/>
      </c>
      <c r="F95" s="49"/>
      <c r="G95" s="38"/>
      <c r="H95" s="32"/>
    </row>
    <row r="96" customFormat="false" ht="15" hidden="false" customHeight="false" outlineLevel="0" collapsed="false">
      <c r="A96" s="50"/>
      <c r="B96" s="51"/>
      <c r="C96" s="38"/>
      <c r="D96" s="38"/>
      <c r="E96" s="52" t="str">
        <f aca="false">IF($B96="","",$B96+283)</f>
        <v/>
      </c>
      <c r="F96" s="49"/>
      <c r="G96" s="38"/>
      <c r="H96" s="32"/>
    </row>
    <row r="97" customFormat="false" ht="15" hidden="false" customHeight="false" outlineLevel="0" collapsed="false">
      <c r="A97" s="50"/>
      <c r="B97" s="51"/>
      <c r="C97" s="38"/>
      <c r="D97" s="38"/>
      <c r="E97" s="52" t="str">
        <f aca="false">IF($B97="","",$B97+283)</f>
        <v/>
      </c>
      <c r="F97" s="49"/>
      <c r="G97" s="38"/>
      <c r="H97" s="32"/>
    </row>
    <row r="98" customFormat="false" ht="15" hidden="false" customHeight="false" outlineLevel="0" collapsed="false">
      <c r="A98" s="50"/>
      <c r="B98" s="51"/>
      <c r="C98" s="38"/>
      <c r="D98" s="38"/>
      <c r="E98" s="52" t="str">
        <f aca="false">IF($B98="","",$B98+283)</f>
        <v/>
      </c>
      <c r="F98" s="49"/>
      <c r="G98" s="38"/>
      <c r="H98" s="32"/>
    </row>
    <row r="99" customFormat="false" ht="15" hidden="false" customHeight="false" outlineLevel="0" collapsed="false">
      <c r="A99" s="50"/>
      <c r="B99" s="51"/>
      <c r="C99" s="38"/>
      <c r="D99" s="38"/>
      <c r="E99" s="52" t="str">
        <f aca="false">IF($B99="","",$B99+283)</f>
        <v/>
      </c>
      <c r="F99" s="49"/>
      <c r="G99" s="38"/>
      <c r="H99" s="32"/>
    </row>
    <row r="100" customFormat="false" ht="15" hidden="false" customHeight="false" outlineLevel="0" collapsed="false">
      <c r="A100" s="50"/>
      <c r="B100" s="51"/>
      <c r="C100" s="38"/>
      <c r="D100" s="38"/>
      <c r="E100" s="52" t="str">
        <f aca="false">IF($B100="","",$B100+283)</f>
        <v/>
      </c>
      <c r="F100" s="49"/>
      <c r="G100" s="38"/>
      <c r="H100" s="32"/>
    </row>
    <row r="101" customFormat="false" ht="15" hidden="false" customHeight="false" outlineLevel="0" collapsed="false">
      <c r="A101" s="50"/>
      <c r="B101" s="51"/>
      <c r="C101" s="38"/>
      <c r="D101" s="38"/>
      <c r="E101" s="52" t="str">
        <f aca="false">IF($B101="","",$B101+283)</f>
        <v/>
      </c>
      <c r="F101" s="49"/>
      <c r="G101" s="38"/>
      <c r="H101" s="32"/>
    </row>
    <row r="102" customFormat="false" ht="15" hidden="false" customHeight="false" outlineLevel="0" collapsed="false">
      <c r="A102" s="50"/>
      <c r="B102" s="51"/>
      <c r="C102" s="38"/>
      <c r="D102" s="38"/>
      <c r="E102" s="52" t="str">
        <f aca="false">IF($B102="","",$B102+283)</f>
        <v/>
      </c>
      <c r="F102" s="49"/>
      <c r="G102" s="38"/>
      <c r="H102" s="32"/>
    </row>
    <row r="103" customFormat="false" ht="15" hidden="false" customHeight="false" outlineLevel="0" collapsed="false">
      <c r="A103" s="50"/>
      <c r="B103" s="51"/>
      <c r="C103" s="38"/>
      <c r="D103" s="38"/>
      <c r="E103" s="52" t="str">
        <f aca="false">IF($B103="","",$B103+283)</f>
        <v/>
      </c>
      <c r="F103" s="49"/>
      <c r="G103" s="38"/>
      <c r="H103" s="32"/>
    </row>
    <row r="104" customFormat="false" ht="15" hidden="false" customHeight="false" outlineLevel="0" collapsed="false">
      <c r="A104" s="50"/>
      <c r="B104" s="51"/>
      <c r="C104" s="38"/>
      <c r="D104" s="38"/>
      <c r="E104" s="52" t="str">
        <f aca="false">IF($B104="","",$B104+283)</f>
        <v/>
      </c>
      <c r="F104" s="49"/>
      <c r="G104" s="38"/>
      <c r="H104" s="32"/>
    </row>
    <row r="105" customFormat="false" ht="15" hidden="false" customHeight="false" outlineLevel="0" collapsed="false">
      <c r="A105" s="50"/>
      <c r="B105" s="51"/>
      <c r="C105" s="38"/>
      <c r="D105" s="38"/>
      <c r="E105" s="52" t="str">
        <f aca="false">IF($B105="","",$B105+283)</f>
        <v/>
      </c>
      <c r="F105" s="49"/>
      <c r="G105" s="38"/>
      <c r="H105" s="32"/>
    </row>
    <row r="106" customFormat="false" ht="15" hidden="false" customHeight="false" outlineLevel="0" collapsed="false">
      <c r="A106" s="50"/>
      <c r="B106" s="51"/>
      <c r="C106" s="38"/>
      <c r="D106" s="38"/>
      <c r="E106" s="52" t="str">
        <f aca="false">IF($B106="","",$B106+283)</f>
        <v/>
      </c>
      <c r="F106" s="49"/>
      <c r="G106" s="38"/>
      <c r="H106" s="32"/>
    </row>
    <row r="107" customFormat="false" ht="15" hidden="false" customHeight="false" outlineLevel="0" collapsed="false">
      <c r="A107" s="50"/>
      <c r="B107" s="51"/>
      <c r="C107" s="38"/>
      <c r="D107" s="38"/>
      <c r="E107" s="52" t="str">
        <f aca="false">IF($B107="","",$B107+283)</f>
        <v/>
      </c>
      <c r="F107" s="49"/>
      <c r="G107" s="38"/>
      <c r="H107" s="32"/>
    </row>
    <row r="108" customFormat="false" ht="15" hidden="false" customHeight="false" outlineLevel="0" collapsed="false">
      <c r="A108" s="50"/>
      <c r="B108" s="51"/>
      <c r="C108" s="38"/>
      <c r="D108" s="38"/>
      <c r="E108" s="52" t="str">
        <f aca="false">IF($B108="","",$B108+283)</f>
        <v/>
      </c>
      <c r="F108" s="49"/>
      <c r="G108" s="38"/>
      <c r="H108" s="32"/>
    </row>
    <row r="109" customFormat="false" ht="15" hidden="false" customHeight="false" outlineLevel="0" collapsed="false">
      <c r="A109" s="50"/>
      <c r="B109" s="51"/>
      <c r="C109" s="38"/>
      <c r="D109" s="38"/>
      <c r="E109" s="52" t="str">
        <f aca="false">IF($B109="","",$B109+283)</f>
        <v/>
      </c>
      <c r="F109" s="49"/>
      <c r="G109" s="38"/>
      <c r="H109" s="32"/>
    </row>
    <row r="110" customFormat="false" ht="15" hidden="false" customHeight="false" outlineLevel="0" collapsed="false">
      <c r="A110" s="50"/>
      <c r="B110" s="51"/>
      <c r="C110" s="38"/>
      <c r="D110" s="38"/>
      <c r="E110" s="52" t="str">
        <f aca="false">IF($B110="","",$B110+283)</f>
        <v/>
      </c>
      <c r="F110" s="49"/>
      <c r="G110" s="38"/>
      <c r="H110" s="32"/>
    </row>
    <row r="111" customFormat="false" ht="15" hidden="false" customHeight="false" outlineLevel="0" collapsed="false">
      <c r="A111" s="50"/>
      <c r="B111" s="51"/>
      <c r="C111" s="38"/>
      <c r="D111" s="38"/>
      <c r="E111" s="52" t="str">
        <f aca="false">IF($B111="","",$B111+283)</f>
        <v/>
      </c>
      <c r="F111" s="49"/>
      <c r="G111" s="38"/>
      <c r="H111" s="32"/>
    </row>
    <row r="112" customFormat="false" ht="15" hidden="false" customHeight="false" outlineLevel="0" collapsed="false">
      <c r="A112" s="50"/>
      <c r="B112" s="51"/>
      <c r="C112" s="38"/>
      <c r="D112" s="38"/>
      <c r="E112" s="52" t="str">
        <f aca="false">IF($B112="","",$B112+283)</f>
        <v/>
      </c>
      <c r="F112" s="49"/>
      <c r="G112" s="38"/>
      <c r="H112" s="32"/>
    </row>
    <row r="113" customFormat="false" ht="15" hidden="false" customHeight="false" outlineLevel="0" collapsed="false">
      <c r="A113" s="50"/>
      <c r="B113" s="51"/>
      <c r="C113" s="38"/>
      <c r="D113" s="38"/>
      <c r="E113" s="52" t="str">
        <f aca="false">IF($B113="","",$B113+283)</f>
        <v/>
      </c>
      <c r="F113" s="49"/>
      <c r="G113" s="38"/>
      <c r="H113" s="32"/>
    </row>
    <row r="114" customFormat="false" ht="15" hidden="false" customHeight="false" outlineLevel="0" collapsed="false">
      <c r="A114" s="50"/>
      <c r="B114" s="51"/>
      <c r="C114" s="38"/>
      <c r="D114" s="38"/>
      <c r="E114" s="52" t="str">
        <f aca="false">IF($B114="","",$B114+283)</f>
        <v/>
      </c>
      <c r="F114" s="49"/>
      <c r="G114" s="38"/>
      <c r="H114" s="32"/>
    </row>
    <row r="115" customFormat="false" ht="15" hidden="false" customHeight="false" outlineLevel="0" collapsed="false">
      <c r="A115" s="50"/>
      <c r="B115" s="51"/>
      <c r="C115" s="38"/>
      <c r="D115" s="38"/>
      <c r="E115" s="52" t="str">
        <f aca="false">IF($B115="","",$B115+283)</f>
        <v/>
      </c>
      <c r="F115" s="49"/>
      <c r="G115" s="38"/>
      <c r="H115" s="32"/>
    </row>
    <row r="116" customFormat="false" ht="15" hidden="false" customHeight="false" outlineLevel="0" collapsed="false">
      <c r="A116" s="50"/>
      <c r="B116" s="51"/>
      <c r="C116" s="38"/>
      <c r="D116" s="38"/>
      <c r="E116" s="52" t="str">
        <f aca="false">IF($B116="","",$B116+283)</f>
        <v/>
      </c>
      <c r="F116" s="49"/>
      <c r="G116" s="38"/>
      <c r="H116" s="32"/>
    </row>
    <row r="117" customFormat="false" ht="15" hidden="false" customHeight="false" outlineLevel="0" collapsed="false">
      <c r="A117" s="50"/>
      <c r="B117" s="51"/>
      <c r="C117" s="38"/>
      <c r="D117" s="38"/>
      <c r="E117" s="52" t="str">
        <f aca="false">IF($B117="","",$B117+283)</f>
        <v/>
      </c>
      <c r="F117" s="49"/>
      <c r="G117" s="38"/>
      <c r="H117" s="32"/>
    </row>
    <row r="118" customFormat="false" ht="15" hidden="false" customHeight="false" outlineLevel="0" collapsed="false">
      <c r="A118" s="50"/>
      <c r="B118" s="51"/>
      <c r="C118" s="38"/>
      <c r="D118" s="38"/>
      <c r="E118" s="52" t="str">
        <f aca="false">IF($B118="","",$B118+283)</f>
        <v/>
      </c>
      <c r="F118" s="49"/>
      <c r="G118" s="38"/>
      <c r="H118" s="32"/>
    </row>
    <row r="119" customFormat="false" ht="15" hidden="false" customHeight="false" outlineLevel="0" collapsed="false">
      <c r="A119" s="50"/>
      <c r="B119" s="51"/>
      <c r="C119" s="38"/>
      <c r="D119" s="38"/>
      <c r="E119" s="52" t="str">
        <f aca="false">IF($B119="","",$B119+283)</f>
        <v/>
      </c>
      <c r="F119" s="49"/>
      <c r="G119" s="38"/>
      <c r="H119" s="32"/>
    </row>
    <row r="120" customFormat="false" ht="15" hidden="false" customHeight="false" outlineLevel="0" collapsed="false">
      <c r="A120" s="50"/>
      <c r="B120" s="51"/>
      <c r="C120" s="38"/>
      <c r="D120" s="38"/>
      <c r="E120" s="52" t="str">
        <f aca="false">IF($B120="","",$B120+283)</f>
        <v/>
      </c>
      <c r="F120" s="49"/>
      <c r="G120" s="38"/>
      <c r="H120" s="32"/>
    </row>
    <row r="121" customFormat="false" ht="15" hidden="false" customHeight="false" outlineLevel="0" collapsed="false">
      <c r="A121" s="50"/>
      <c r="B121" s="51"/>
      <c r="C121" s="38"/>
      <c r="D121" s="38"/>
      <c r="E121" s="52" t="str">
        <f aca="false">IF($B121="","",$B121+283)</f>
        <v/>
      </c>
      <c r="F121" s="49"/>
      <c r="G121" s="38"/>
      <c r="H121" s="32"/>
    </row>
    <row r="122" customFormat="false" ht="15" hidden="false" customHeight="false" outlineLevel="0" collapsed="false">
      <c r="A122" s="50"/>
      <c r="B122" s="51"/>
      <c r="C122" s="38"/>
      <c r="D122" s="38"/>
      <c r="E122" s="52" t="str">
        <f aca="false">IF($B122="","",$B122+283)</f>
        <v/>
      </c>
      <c r="F122" s="49"/>
      <c r="G122" s="38"/>
      <c r="H122" s="32"/>
    </row>
    <row r="123" customFormat="false" ht="15" hidden="false" customHeight="false" outlineLevel="0" collapsed="false">
      <c r="A123" s="50"/>
      <c r="B123" s="51"/>
      <c r="C123" s="38"/>
      <c r="D123" s="38"/>
      <c r="E123" s="52" t="str">
        <f aca="false">IF($B123="","",$B123+283)</f>
        <v/>
      </c>
      <c r="F123" s="49"/>
      <c r="G123" s="38"/>
      <c r="H123" s="32"/>
    </row>
    <row r="124" customFormat="false" ht="15" hidden="false" customHeight="false" outlineLevel="0" collapsed="false">
      <c r="A124" s="50"/>
      <c r="B124" s="51"/>
      <c r="C124" s="38"/>
      <c r="D124" s="38"/>
      <c r="E124" s="52" t="str">
        <f aca="false">IF($B124="","",$B124+283)</f>
        <v/>
      </c>
      <c r="F124" s="49"/>
      <c r="G124" s="38"/>
      <c r="H124" s="32"/>
    </row>
    <row r="125" customFormat="false" ht="15" hidden="false" customHeight="false" outlineLevel="0" collapsed="false">
      <c r="A125" s="50"/>
      <c r="B125" s="51"/>
      <c r="C125" s="38"/>
      <c r="D125" s="38"/>
      <c r="E125" s="52" t="str">
        <f aca="false">IF($B125="","",$B125+283)</f>
        <v/>
      </c>
      <c r="F125" s="49"/>
      <c r="G125" s="38"/>
      <c r="H125" s="32"/>
    </row>
    <row r="126" customFormat="false" ht="15" hidden="false" customHeight="false" outlineLevel="0" collapsed="false">
      <c r="A126" s="50"/>
      <c r="B126" s="51"/>
      <c r="C126" s="38"/>
      <c r="D126" s="38"/>
      <c r="E126" s="52" t="str">
        <f aca="false">IF($B126="","",$B126+283)</f>
        <v/>
      </c>
      <c r="F126" s="49"/>
      <c r="G126" s="38"/>
      <c r="H126" s="32"/>
    </row>
    <row r="127" customFormat="false" ht="15" hidden="false" customHeight="false" outlineLevel="0" collapsed="false">
      <c r="A127" s="50"/>
      <c r="B127" s="51"/>
      <c r="C127" s="38"/>
      <c r="D127" s="38"/>
      <c r="E127" s="52" t="str">
        <f aca="false">IF($B127="","",$B127+283)</f>
        <v/>
      </c>
      <c r="F127" s="49"/>
      <c r="G127" s="38"/>
      <c r="H127" s="32"/>
    </row>
    <row r="128" customFormat="false" ht="15" hidden="false" customHeight="false" outlineLevel="0" collapsed="false">
      <c r="A128" s="50"/>
      <c r="B128" s="51"/>
      <c r="C128" s="38"/>
      <c r="D128" s="38"/>
      <c r="E128" s="52" t="str">
        <f aca="false">IF($B128="","",$B128+283)</f>
        <v/>
      </c>
      <c r="F128" s="49"/>
      <c r="G128" s="38"/>
      <c r="H128" s="32"/>
    </row>
    <row r="129" customFormat="false" ht="15" hidden="false" customHeight="false" outlineLevel="0" collapsed="false">
      <c r="A129" s="50"/>
      <c r="B129" s="51"/>
      <c r="C129" s="38"/>
      <c r="D129" s="38"/>
      <c r="E129" s="52" t="str">
        <f aca="false">IF($B129="","",$B129+283)</f>
        <v/>
      </c>
      <c r="F129" s="49"/>
      <c r="G129" s="38"/>
      <c r="H129" s="32"/>
    </row>
    <row r="130" customFormat="false" ht="15" hidden="false" customHeight="false" outlineLevel="0" collapsed="false">
      <c r="A130" s="50"/>
      <c r="B130" s="51"/>
      <c r="C130" s="38"/>
      <c r="D130" s="38"/>
      <c r="E130" s="52" t="str">
        <f aca="false">IF($B130="","",$B130+283)</f>
        <v/>
      </c>
      <c r="F130" s="49"/>
      <c r="G130" s="38"/>
      <c r="H130" s="32"/>
    </row>
    <row r="131" customFormat="false" ht="15" hidden="false" customHeight="false" outlineLevel="0" collapsed="false">
      <c r="A131" s="50"/>
      <c r="B131" s="51"/>
      <c r="C131" s="38"/>
      <c r="D131" s="38"/>
      <c r="E131" s="52" t="str">
        <f aca="false">IF($B131="","",$B131+283)</f>
        <v/>
      </c>
      <c r="F131" s="49"/>
      <c r="G131" s="38"/>
      <c r="H131" s="32"/>
    </row>
    <row r="132" customFormat="false" ht="15" hidden="false" customHeight="false" outlineLevel="0" collapsed="false">
      <c r="A132" s="50"/>
      <c r="B132" s="51"/>
      <c r="C132" s="38"/>
      <c r="D132" s="38"/>
      <c r="E132" s="52" t="str">
        <f aca="false">IF($B132="","",$B132+283)</f>
        <v/>
      </c>
      <c r="F132" s="49"/>
      <c r="G132" s="38"/>
      <c r="H132" s="32"/>
    </row>
    <row r="133" customFormat="false" ht="15" hidden="false" customHeight="false" outlineLevel="0" collapsed="false">
      <c r="A133" s="50"/>
      <c r="B133" s="51"/>
      <c r="C133" s="38"/>
      <c r="D133" s="38"/>
      <c r="E133" s="52" t="str">
        <f aca="false">IF($B133="","",$B133+283)</f>
        <v/>
      </c>
      <c r="F133" s="49"/>
      <c r="G133" s="38"/>
      <c r="H133" s="32"/>
    </row>
    <row r="134" customFormat="false" ht="15" hidden="false" customHeight="false" outlineLevel="0" collapsed="false">
      <c r="A134" s="50"/>
      <c r="B134" s="51"/>
      <c r="C134" s="38"/>
      <c r="D134" s="38"/>
      <c r="E134" s="52" t="str">
        <f aca="false">IF($B134="","",$B134+283)</f>
        <v/>
      </c>
      <c r="F134" s="49"/>
      <c r="G134" s="38"/>
      <c r="H134" s="32"/>
    </row>
    <row r="135" customFormat="false" ht="15" hidden="false" customHeight="false" outlineLevel="0" collapsed="false">
      <c r="A135" s="50"/>
      <c r="B135" s="51"/>
      <c r="C135" s="38"/>
      <c r="D135" s="38"/>
      <c r="E135" s="52" t="str">
        <f aca="false">IF($B135="","",$B135+283)</f>
        <v/>
      </c>
      <c r="F135" s="49"/>
      <c r="G135" s="38"/>
      <c r="H135" s="32"/>
    </row>
    <row r="136" customFormat="false" ht="15" hidden="false" customHeight="false" outlineLevel="0" collapsed="false">
      <c r="A136" s="50"/>
      <c r="B136" s="51"/>
      <c r="C136" s="38"/>
      <c r="D136" s="38"/>
      <c r="E136" s="52" t="str">
        <f aca="false">IF($B136="","",$B136+283)</f>
        <v/>
      </c>
      <c r="F136" s="49"/>
      <c r="G136" s="38"/>
      <c r="H136" s="32"/>
    </row>
    <row r="137" customFormat="false" ht="15" hidden="false" customHeight="false" outlineLevel="0" collapsed="false">
      <c r="A137" s="50"/>
      <c r="B137" s="51"/>
      <c r="C137" s="38"/>
      <c r="D137" s="38"/>
      <c r="E137" s="52" t="str">
        <f aca="false">IF($B137="","",$B137+283)</f>
        <v/>
      </c>
      <c r="F137" s="49"/>
      <c r="G137" s="38"/>
      <c r="H137" s="32"/>
    </row>
    <row r="138" customFormat="false" ht="15" hidden="false" customHeight="false" outlineLevel="0" collapsed="false">
      <c r="A138" s="50"/>
      <c r="B138" s="51"/>
      <c r="C138" s="38"/>
      <c r="D138" s="38"/>
      <c r="E138" s="52" t="str">
        <f aca="false">IF($B138="","",$B138+283)</f>
        <v/>
      </c>
      <c r="F138" s="49"/>
      <c r="G138" s="38"/>
      <c r="H138" s="32"/>
    </row>
    <row r="139" customFormat="false" ht="15" hidden="false" customHeight="false" outlineLevel="0" collapsed="false">
      <c r="A139" s="50"/>
      <c r="B139" s="51"/>
      <c r="C139" s="38"/>
      <c r="D139" s="38"/>
      <c r="E139" s="52" t="str">
        <f aca="false">IF($B139="","",$B139+283)</f>
        <v/>
      </c>
      <c r="F139" s="49"/>
      <c r="G139" s="38"/>
      <c r="H139" s="32"/>
    </row>
    <row r="140" customFormat="false" ht="15" hidden="false" customHeight="false" outlineLevel="0" collapsed="false">
      <c r="A140" s="50"/>
      <c r="B140" s="51"/>
      <c r="C140" s="38"/>
      <c r="D140" s="38"/>
      <c r="E140" s="52" t="str">
        <f aca="false">IF($B140="","",$B140+283)</f>
        <v/>
      </c>
      <c r="F140" s="49"/>
      <c r="G140" s="38"/>
      <c r="H140" s="32"/>
    </row>
    <row r="141" customFormat="false" ht="15" hidden="false" customHeight="false" outlineLevel="0" collapsed="false">
      <c r="A141" s="50"/>
      <c r="B141" s="51"/>
      <c r="C141" s="38"/>
      <c r="D141" s="38"/>
      <c r="E141" s="52" t="str">
        <f aca="false">IF($B141="","",$B141+283)</f>
        <v/>
      </c>
      <c r="F141" s="49"/>
      <c r="G141" s="38"/>
      <c r="H141" s="32"/>
    </row>
    <row r="142" customFormat="false" ht="15" hidden="false" customHeight="false" outlineLevel="0" collapsed="false">
      <c r="A142" s="50"/>
      <c r="B142" s="51"/>
      <c r="C142" s="38"/>
      <c r="D142" s="38"/>
      <c r="E142" s="52" t="str">
        <f aca="false">IF($B142="","",$B142+283)</f>
        <v/>
      </c>
      <c r="F142" s="49"/>
      <c r="G142" s="38"/>
      <c r="H142" s="32"/>
    </row>
    <row r="143" customFormat="false" ht="15" hidden="false" customHeight="false" outlineLevel="0" collapsed="false">
      <c r="A143" s="50"/>
      <c r="B143" s="51"/>
      <c r="C143" s="38"/>
      <c r="D143" s="38"/>
      <c r="E143" s="52" t="str">
        <f aca="false">IF($B143="","",$B143+283)</f>
        <v/>
      </c>
      <c r="F143" s="49"/>
      <c r="G143" s="38"/>
      <c r="H143" s="32"/>
    </row>
    <row r="144" customFormat="false" ht="15" hidden="false" customHeight="false" outlineLevel="0" collapsed="false">
      <c r="A144" s="50"/>
      <c r="B144" s="51"/>
      <c r="C144" s="38"/>
      <c r="D144" s="38"/>
      <c r="E144" s="52" t="str">
        <f aca="false">IF($B144="","",$B144+283)</f>
        <v/>
      </c>
      <c r="F144" s="49"/>
      <c r="G144" s="38"/>
      <c r="H144" s="32"/>
    </row>
    <row r="145" customFormat="false" ht="15" hidden="false" customHeight="false" outlineLevel="0" collapsed="false">
      <c r="A145" s="50"/>
      <c r="B145" s="51"/>
      <c r="C145" s="38"/>
      <c r="D145" s="38"/>
      <c r="E145" s="52" t="str">
        <f aca="false">IF($B145="","",$B145+283)</f>
        <v/>
      </c>
      <c r="F145" s="49"/>
      <c r="G145" s="38"/>
      <c r="H145" s="32"/>
    </row>
    <row r="146" customFormat="false" ht="15" hidden="false" customHeight="false" outlineLevel="0" collapsed="false">
      <c r="A146" s="50"/>
      <c r="B146" s="51"/>
      <c r="C146" s="38"/>
      <c r="D146" s="38"/>
      <c r="E146" s="52" t="str">
        <f aca="false">IF($B146="","",$B146+283)</f>
        <v/>
      </c>
      <c r="F146" s="49"/>
      <c r="G146" s="38"/>
      <c r="H146" s="32"/>
    </row>
    <row r="147" customFormat="false" ht="15" hidden="false" customHeight="false" outlineLevel="0" collapsed="false">
      <c r="A147" s="50"/>
      <c r="B147" s="51"/>
      <c r="C147" s="38"/>
      <c r="D147" s="38"/>
      <c r="E147" s="52" t="str">
        <f aca="false">IF($B147="","",$B147+283)</f>
        <v/>
      </c>
      <c r="F147" s="49"/>
      <c r="G147" s="38"/>
      <c r="H147" s="32"/>
    </row>
    <row r="148" customFormat="false" ht="15" hidden="false" customHeight="false" outlineLevel="0" collapsed="false">
      <c r="A148" s="50"/>
      <c r="B148" s="51"/>
      <c r="C148" s="38"/>
      <c r="D148" s="38"/>
      <c r="E148" s="52" t="str">
        <f aca="false">IF($B148="","",$B148+283)</f>
        <v/>
      </c>
      <c r="F148" s="49"/>
      <c r="G148" s="38"/>
      <c r="H148" s="32"/>
    </row>
    <row r="149" customFormat="false" ht="15" hidden="false" customHeight="false" outlineLevel="0" collapsed="false">
      <c r="A149" s="50"/>
      <c r="B149" s="51"/>
      <c r="C149" s="38"/>
      <c r="D149" s="38"/>
      <c r="E149" s="52" t="str">
        <f aca="false">IF($B149="","",$B149+283)</f>
        <v/>
      </c>
      <c r="F149" s="49"/>
      <c r="G149" s="38"/>
      <c r="H149" s="32"/>
    </row>
    <row r="150" customFormat="false" ht="15" hidden="false" customHeight="false" outlineLevel="0" collapsed="false">
      <c r="A150" s="50"/>
      <c r="B150" s="51"/>
      <c r="C150" s="38"/>
      <c r="D150" s="38"/>
      <c r="E150" s="52" t="str">
        <f aca="false">IF($B150="","",$B150+283)</f>
        <v/>
      </c>
      <c r="F150" s="49"/>
      <c r="G150" s="38"/>
      <c r="H150" s="32"/>
    </row>
    <row r="151" customFormat="false" ht="15" hidden="false" customHeight="false" outlineLevel="0" collapsed="false">
      <c r="A151" s="50"/>
      <c r="B151" s="51"/>
      <c r="C151" s="38"/>
      <c r="D151" s="38"/>
      <c r="E151" s="52" t="str">
        <f aca="false">IF($B151="","",$B151+283)</f>
        <v/>
      </c>
      <c r="F151" s="49"/>
      <c r="G151" s="38"/>
      <c r="H151" s="32"/>
    </row>
    <row r="152" customFormat="false" ht="15" hidden="false" customHeight="false" outlineLevel="0" collapsed="false">
      <c r="A152" s="50"/>
      <c r="B152" s="51"/>
      <c r="C152" s="38"/>
      <c r="D152" s="38"/>
      <c r="E152" s="52" t="str">
        <f aca="false">IF($B152="","",$B152+283)</f>
        <v/>
      </c>
      <c r="F152" s="49"/>
      <c r="G152" s="38"/>
      <c r="H152" s="32"/>
    </row>
    <row r="153" customFormat="false" ht="15" hidden="false" customHeight="false" outlineLevel="0" collapsed="false">
      <c r="A153" s="50"/>
      <c r="B153" s="51"/>
      <c r="C153" s="38"/>
      <c r="D153" s="38"/>
      <c r="E153" s="52" t="str">
        <f aca="false">IF($B153="","",$B153+283)</f>
        <v/>
      </c>
      <c r="F153" s="49"/>
      <c r="G153" s="38"/>
      <c r="H153" s="32"/>
    </row>
    <row r="154" customFormat="false" ht="15" hidden="false" customHeight="false" outlineLevel="0" collapsed="false">
      <c r="A154" s="50"/>
      <c r="B154" s="51"/>
      <c r="C154" s="38"/>
      <c r="D154" s="38"/>
      <c r="E154" s="52" t="str">
        <f aca="false">IF($B154="","",$B154+283)</f>
        <v/>
      </c>
      <c r="F154" s="49"/>
      <c r="G154" s="38"/>
      <c r="H154" s="32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A5:A154" type="list">
      <formula1>'Animal Register'!$A$5:$A$74</formula1>
      <formula2>0</formula2>
    </dataValidation>
    <dataValidation allowBlank="true" errorStyle="stop" operator="between" showDropDown="false" showErrorMessage="false" showInputMessage="false" sqref="D5:D154" type="list">
      <formula1>"Natural,AI"</formula1>
      <formula2>0</formula2>
    </dataValidation>
    <dataValidation allowBlank="true" errorStyle="stop" operator="between" showDropDown="false" showErrorMessage="false" showInputMessage="false" sqref="G5:G154" type="list">
      <formula1>"Pending,Positive,Negative"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30" t="s">
        <v>316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48" t="s">
        <v>317</v>
      </c>
      <c r="B2" s="48"/>
      <c r="C2" s="48"/>
      <c r="D2" s="48"/>
      <c r="E2" s="48"/>
      <c r="F2" s="48"/>
      <c r="G2" s="48"/>
      <c r="H2" s="48"/>
    </row>
    <row r="4" customFormat="false" ht="26.85" hidden="false" customHeight="false" outlineLevel="0" collapsed="false">
      <c r="A4" s="31" t="s">
        <v>223</v>
      </c>
      <c r="B4" s="31" t="s">
        <v>318</v>
      </c>
      <c r="C4" s="31" t="s">
        <v>319</v>
      </c>
      <c r="D4" s="31" t="s">
        <v>320</v>
      </c>
      <c r="E4" s="31" t="s">
        <v>321</v>
      </c>
      <c r="F4" s="31" t="s">
        <v>322</v>
      </c>
      <c r="G4" s="31" t="s">
        <v>323</v>
      </c>
      <c r="H4" s="31" t="s">
        <v>232</v>
      </c>
    </row>
    <row r="5" customFormat="false" ht="15" hidden="false" customHeight="false" outlineLevel="0" collapsed="false">
      <c r="A5" s="50"/>
      <c r="B5" s="51"/>
      <c r="C5" s="50"/>
      <c r="D5" s="38"/>
      <c r="E5" s="64"/>
      <c r="F5" s="38"/>
      <c r="G5" s="38"/>
      <c r="H5" s="32"/>
    </row>
    <row r="6" customFormat="false" ht="15" hidden="false" customHeight="false" outlineLevel="0" collapsed="false">
      <c r="A6" s="50"/>
      <c r="B6" s="51"/>
      <c r="C6" s="50"/>
      <c r="D6" s="38"/>
      <c r="E6" s="64"/>
      <c r="F6" s="38"/>
      <c r="G6" s="38"/>
      <c r="H6" s="32"/>
    </row>
    <row r="7" customFormat="false" ht="15" hidden="false" customHeight="false" outlineLevel="0" collapsed="false">
      <c r="A7" s="50"/>
      <c r="B7" s="51"/>
      <c r="C7" s="50"/>
      <c r="D7" s="38"/>
      <c r="E7" s="64"/>
      <c r="F7" s="38"/>
      <c r="G7" s="38"/>
      <c r="H7" s="32"/>
    </row>
    <row r="8" customFormat="false" ht="15" hidden="false" customHeight="false" outlineLevel="0" collapsed="false">
      <c r="A8" s="50"/>
      <c r="B8" s="51"/>
      <c r="C8" s="50"/>
      <c r="D8" s="38"/>
      <c r="E8" s="64"/>
      <c r="F8" s="38"/>
      <c r="G8" s="38"/>
      <c r="H8" s="32"/>
    </row>
    <row r="9" customFormat="false" ht="15" hidden="false" customHeight="false" outlineLevel="0" collapsed="false">
      <c r="A9" s="50"/>
      <c r="B9" s="51"/>
      <c r="C9" s="50"/>
      <c r="D9" s="38"/>
      <c r="E9" s="64"/>
      <c r="F9" s="38"/>
      <c r="G9" s="38"/>
      <c r="H9" s="32"/>
    </row>
    <row r="10" customFormat="false" ht="15" hidden="false" customHeight="false" outlineLevel="0" collapsed="false">
      <c r="A10" s="50"/>
      <c r="B10" s="51"/>
      <c r="C10" s="50"/>
      <c r="D10" s="38"/>
      <c r="E10" s="64"/>
      <c r="F10" s="38"/>
      <c r="G10" s="38"/>
      <c r="H10" s="32"/>
    </row>
    <row r="11" customFormat="false" ht="15" hidden="false" customHeight="false" outlineLevel="0" collapsed="false">
      <c r="A11" s="50"/>
      <c r="B11" s="51"/>
      <c r="C11" s="50"/>
      <c r="D11" s="38"/>
      <c r="E11" s="64"/>
      <c r="F11" s="38"/>
      <c r="G11" s="38"/>
      <c r="H11" s="32"/>
    </row>
    <row r="12" customFormat="false" ht="15" hidden="false" customHeight="false" outlineLevel="0" collapsed="false">
      <c r="A12" s="50"/>
      <c r="B12" s="51"/>
      <c r="C12" s="50"/>
      <c r="D12" s="38"/>
      <c r="E12" s="64"/>
      <c r="F12" s="38"/>
      <c r="G12" s="38"/>
      <c r="H12" s="32"/>
    </row>
    <row r="13" customFormat="false" ht="15" hidden="false" customHeight="false" outlineLevel="0" collapsed="false">
      <c r="A13" s="50"/>
      <c r="B13" s="51"/>
      <c r="C13" s="50"/>
      <c r="D13" s="38"/>
      <c r="E13" s="64"/>
      <c r="F13" s="38"/>
      <c r="G13" s="38"/>
      <c r="H13" s="32"/>
    </row>
    <row r="14" customFormat="false" ht="15" hidden="false" customHeight="false" outlineLevel="0" collapsed="false">
      <c r="A14" s="50"/>
      <c r="B14" s="51"/>
      <c r="C14" s="50"/>
      <c r="D14" s="38"/>
      <c r="E14" s="64"/>
      <c r="F14" s="38"/>
      <c r="G14" s="38"/>
      <c r="H14" s="32"/>
    </row>
    <row r="15" customFormat="false" ht="15" hidden="false" customHeight="false" outlineLevel="0" collapsed="false">
      <c r="A15" s="50"/>
      <c r="B15" s="51"/>
      <c r="C15" s="50"/>
      <c r="D15" s="38"/>
      <c r="E15" s="64"/>
      <c r="F15" s="38"/>
      <c r="G15" s="38"/>
      <c r="H15" s="32"/>
    </row>
    <row r="16" customFormat="false" ht="15" hidden="false" customHeight="false" outlineLevel="0" collapsed="false">
      <c r="A16" s="50"/>
      <c r="B16" s="51"/>
      <c r="C16" s="50"/>
      <c r="D16" s="38"/>
      <c r="E16" s="64"/>
      <c r="F16" s="38"/>
      <c r="G16" s="38"/>
      <c r="H16" s="32"/>
    </row>
    <row r="17" customFormat="false" ht="15" hidden="false" customHeight="false" outlineLevel="0" collapsed="false">
      <c r="A17" s="50"/>
      <c r="B17" s="51"/>
      <c r="C17" s="50"/>
      <c r="D17" s="38"/>
      <c r="E17" s="64"/>
      <c r="F17" s="38"/>
      <c r="G17" s="38"/>
      <c r="H17" s="32"/>
    </row>
    <row r="18" customFormat="false" ht="15" hidden="false" customHeight="false" outlineLevel="0" collapsed="false">
      <c r="A18" s="50"/>
      <c r="B18" s="51"/>
      <c r="C18" s="50"/>
      <c r="D18" s="38"/>
      <c r="E18" s="64"/>
      <c r="F18" s="38"/>
      <c r="G18" s="38"/>
      <c r="H18" s="32"/>
    </row>
    <row r="19" customFormat="false" ht="15" hidden="false" customHeight="false" outlineLevel="0" collapsed="false">
      <c r="A19" s="50"/>
      <c r="B19" s="51"/>
      <c r="C19" s="50"/>
      <c r="D19" s="38"/>
      <c r="E19" s="64"/>
      <c r="F19" s="38"/>
      <c r="G19" s="38"/>
      <c r="H19" s="32"/>
    </row>
    <row r="20" customFormat="false" ht="15" hidden="false" customHeight="false" outlineLevel="0" collapsed="false">
      <c r="A20" s="50"/>
      <c r="B20" s="51"/>
      <c r="C20" s="50"/>
      <c r="D20" s="38"/>
      <c r="E20" s="64"/>
      <c r="F20" s="38"/>
      <c r="G20" s="38"/>
      <c r="H20" s="32"/>
    </row>
    <row r="21" customFormat="false" ht="15" hidden="false" customHeight="false" outlineLevel="0" collapsed="false">
      <c r="A21" s="50"/>
      <c r="B21" s="51"/>
      <c r="C21" s="50"/>
      <c r="D21" s="38"/>
      <c r="E21" s="64"/>
      <c r="F21" s="38"/>
      <c r="G21" s="38"/>
      <c r="H21" s="32"/>
    </row>
    <row r="22" customFormat="false" ht="15" hidden="false" customHeight="false" outlineLevel="0" collapsed="false">
      <c r="A22" s="50"/>
      <c r="B22" s="51"/>
      <c r="C22" s="50"/>
      <c r="D22" s="38"/>
      <c r="E22" s="64"/>
      <c r="F22" s="38"/>
      <c r="G22" s="38"/>
      <c r="H22" s="32"/>
    </row>
    <row r="23" customFormat="false" ht="15" hidden="false" customHeight="false" outlineLevel="0" collapsed="false">
      <c r="A23" s="50"/>
      <c r="B23" s="51"/>
      <c r="C23" s="50"/>
      <c r="D23" s="38"/>
      <c r="E23" s="64"/>
      <c r="F23" s="38"/>
      <c r="G23" s="38"/>
      <c r="H23" s="32"/>
    </row>
    <row r="24" customFormat="false" ht="15" hidden="false" customHeight="false" outlineLevel="0" collapsed="false">
      <c r="A24" s="50"/>
      <c r="B24" s="51"/>
      <c r="C24" s="50"/>
      <c r="D24" s="38"/>
      <c r="E24" s="64"/>
      <c r="F24" s="38"/>
      <c r="G24" s="38"/>
      <c r="H24" s="32"/>
    </row>
    <row r="25" customFormat="false" ht="15" hidden="false" customHeight="false" outlineLevel="0" collapsed="false">
      <c r="A25" s="50"/>
      <c r="B25" s="51"/>
      <c r="C25" s="50"/>
      <c r="D25" s="38"/>
      <c r="E25" s="64"/>
      <c r="F25" s="38"/>
      <c r="G25" s="38"/>
      <c r="H25" s="32"/>
    </row>
    <row r="26" customFormat="false" ht="15" hidden="false" customHeight="false" outlineLevel="0" collapsed="false">
      <c r="A26" s="50"/>
      <c r="B26" s="51"/>
      <c r="C26" s="50"/>
      <c r="D26" s="38"/>
      <c r="E26" s="64"/>
      <c r="F26" s="38"/>
      <c r="G26" s="38"/>
      <c r="H26" s="32"/>
    </row>
    <row r="27" customFormat="false" ht="15" hidden="false" customHeight="false" outlineLevel="0" collapsed="false">
      <c r="A27" s="50"/>
      <c r="B27" s="51"/>
      <c r="C27" s="50"/>
      <c r="D27" s="38"/>
      <c r="E27" s="64"/>
      <c r="F27" s="38"/>
      <c r="G27" s="38"/>
      <c r="H27" s="32"/>
    </row>
    <row r="28" customFormat="false" ht="15" hidden="false" customHeight="false" outlineLevel="0" collapsed="false">
      <c r="A28" s="50"/>
      <c r="B28" s="51"/>
      <c r="C28" s="50"/>
      <c r="D28" s="38"/>
      <c r="E28" s="64"/>
      <c r="F28" s="38"/>
      <c r="G28" s="38"/>
      <c r="H28" s="32"/>
    </row>
    <row r="29" customFormat="false" ht="15" hidden="false" customHeight="false" outlineLevel="0" collapsed="false">
      <c r="A29" s="50"/>
      <c r="B29" s="51"/>
      <c r="C29" s="50"/>
      <c r="D29" s="38"/>
      <c r="E29" s="64"/>
      <c r="F29" s="38"/>
      <c r="G29" s="38"/>
      <c r="H29" s="32"/>
    </row>
    <row r="30" customFormat="false" ht="15" hidden="false" customHeight="false" outlineLevel="0" collapsed="false">
      <c r="A30" s="50"/>
      <c r="B30" s="51"/>
      <c r="C30" s="50"/>
      <c r="D30" s="38"/>
      <c r="E30" s="64"/>
      <c r="F30" s="38"/>
      <c r="G30" s="38"/>
      <c r="H30" s="32"/>
    </row>
    <row r="31" customFormat="false" ht="15" hidden="false" customHeight="false" outlineLevel="0" collapsed="false">
      <c r="A31" s="50"/>
      <c r="B31" s="51"/>
      <c r="C31" s="50"/>
      <c r="D31" s="38"/>
      <c r="E31" s="64"/>
      <c r="F31" s="38"/>
      <c r="G31" s="38"/>
      <c r="H31" s="32"/>
    </row>
    <row r="32" customFormat="false" ht="15" hidden="false" customHeight="false" outlineLevel="0" collapsed="false">
      <c r="A32" s="50"/>
      <c r="B32" s="51"/>
      <c r="C32" s="50"/>
      <c r="D32" s="38"/>
      <c r="E32" s="64"/>
      <c r="F32" s="38"/>
      <c r="G32" s="38"/>
      <c r="H32" s="32"/>
    </row>
    <row r="33" customFormat="false" ht="15" hidden="false" customHeight="false" outlineLevel="0" collapsed="false">
      <c r="A33" s="50"/>
      <c r="B33" s="51"/>
      <c r="C33" s="50"/>
      <c r="D33" s="38"/>
      <c r="E33" s="64"/>
      <c r="F33" s="38"/>
      <c r="G33" s="38"/>
      <c r="H33" s="32"/>
    </row>
    <row r="34" customFormat="false" ht="15" hidden="false" customHeight="false" outlineLevel="0" collapsed="false">
      <c r="A34" s="50"/>
      <c r="B34" s="51"/>
      <c r="C34" s="50"/>
      <c r="D34" s="38"/>
      <c r="E34" s="64"/>
      <c r="F34" s="38"/>
      <c r="G34" s="38"/>
      <c r="H34" s="32"/>
    </row>
    <row r="35" customFormat="false" ht="15" hidden="false" customHeight="false" outlineLevel="0" collapsed="false">
      <c r="A35" s="50"/>
      <c r="B35" s="51"/>
      <c r="C35" s="50"/>
      <c r="D35" s="38"/>
      <c r="E35" s="64"/>
      <c r="F35" s="38"/>
      <c r="G35" s="38"/>
      <c r="H35" s="32"/>
    </row>
    <row r="36" customFormat="false" ht="15" hidden="false" customHeight="false" outlineLevel="0" collapsed="false">
      <c r="A36" s="50"/>
      <c r="B36" s="51"/>
      <c r="C36" s="50"/>
      <c r="D36" s="38"/>
      <c r="E36" s="64"/>
      <c r="F36" s="38"/>
      <c r="G36" s="38"/>
      <c r="H36" s="32"/>
    </row>
    <row r="37" customFormat="false" ht="15" hidden="false" customHeight="false" outlineLevel="0" collapsed="false">
      <c r="A37" s="50"/>
      <c r="B37" s="51"/>
      <c r="C37" s="50"/>
      <c r="D37" s="38"/>
      <c r="E37" s="64"/>
      <c r="F37" s="38"/>
      <c r="G37" s="38"/>
      <c r="H37" s="32"/>
    </row>
    <row r="38" customFormat="false" ht="15" hidden="false" customHeight="false" outlineLevel="0" collapsed="false">
      <c r="A38" s="50"/>
      <c r="B38" s="51"/>
      <c r="C38" s="50"/>
      <c r="D38" s="38"/>
      <c r="E38" s="64"/>
      <c r="F38" s="38"/>
      <c r="G38" s="38"/>
      <c r="H38" s="32"/>
    </row>
    <row r="39" customFormat="false" ht="15" hidden="false" customHeight="false" outlineLevel="0" collapsed="false">
      <c r="A39" s="50"/>
      <c r="B39" s="51"/>
      <c r="C39" s="50"/>
      <c r="D39" s="38"/>
      <c r="E39" s="64"/>
      <c r="F39" s="38"/>
      <c r="G39" s="38"/>
      <c r="H39" s="32"/>
    </row>
    <row r="40" customFormat="false" ht="15" hidden="false" customHeight="false" outlineLevel="0" collapsed="false">
      <c r="A40" s="50"/>
      <c r="B40" s="51"/>
      <c r="C40" s="50"/>
      <c r="D40" s="38"/>
      <c r="E40" s="64"/>
      <c r="F40" s="38"/>
      <c r="G40" s="38"/>
      <c r="H40" s="32"/>
    </row>
    <row r="41" customFormat="false" ht="15" hidden="false" customHeight="false" outlineLevel="0" collapsed="false">
      <c r="A41" s="50"/>
      <c r="B41" s="51"/>
      <c r="C41" s="50"/>
      <c r="D41" s="38"/>
      <c r="E41" s="64"/>
      <c r="F41" s="38"/>
      <c r="G41" s="38"/>
      <c r="H41" s="32"/>
    </row>
    <row r="42" customFormat="false" ht="15" hidden="false" customHeight="false" outlineLevel="0" collapsed="false">
      <c r="A42" s="50"/>
      <c r="B42" s="51"/>
      <c r="C42" s="50"/>
      <c r="D42" s="38"/>
      <c r="E42" s="64"/>
      <c r="F42" s="38"/>
      <c r="G42" s="38"/>
      <c r="H42" s="32"/>
    </row>
    <row r="43" customFormat="false" ht="15" hidden="false" customHeight="false" outlineLevel="0" collapsed="false">
      <c r="A43" s="50"/>
      <c r="B43" s="51"/>
      <c r="C43" s="50"/>
      <c r="D43" s="38"/>
      <c r="E43" s="64"/>
      <c r="F43" s="38"/>
      <c r="G43" s="38"/>
      <c r="H43" s="32"/>
    </row>
    <row r="44" customFormat="false" ht="15" hidden="false" customHeight="false" outlineLevel="0" collapsed="false">
      <c r="A44" s="50"/>
      <c r="B44" s="51"/>
      <c r="C44" s="50"/>
      <c r="D44" s="38"/>
      <c r="E44" s="64"/>
      <c r="F44" s="38"/>
      <c r="G44" s="38"/>
      <c r="H44" s="32"/>
    </row>
    <row r="45" customFormat="false" ht="15" hidden="false" customHeight="false" outlineLevel="0" collapsed="false">
      <c r="A45" s="50"/>
      <c r="B45" s="51"/>
      <c r="C45" s="50"/>
      <c r="D45" s="38"/>
      <c r="E45" s="64"/>
      <c r="F45" s="38"/>
      <c r="G45" s="38"/>
      <c r="H45" s="32"/>
    </row>
    <row r="46" customFormat="false" ht="15" hidden="false" customHeight="false" outlineLevel="0" collapsed="false">
      <c r="A46" s="50"/>
      <c r="B46" s="51"/>
      <c r="C46" s="50"/>
      <c r="D46" s="38"/>
      <c r="E46" s="64"/>
      <c r="F46" s="38"/>
      <c r="G46" s="38"/>
      <c r="H46" s="32"/>
    </row>
    <row r="47" customFormat="false" ht="15" hidden="false" customHeight="false" outlineLevel="0" collapsed="false">
      <c r="A47" s="50"/>
      <c r="B47" s="51"/>
      <c r="C47" s="50"/>
      <c r="D47" s="38"/>
      <c r="E47" s="64"/>
      <c r="F47" s="38"/>
      <c r="G47" s="38"/>
      <c r="H47" s="32"/>
    </row>
    <row r="48" customFormat="false" ht="15" hidden="false" customHeight="false" outlineLevel="0" collapsed="false">
      <c r="A48" s="50"/>
      <c r="B48" s="51"/>
      <c r="C48" s="50"/>
      <c r="D48" s="38"/>
      <c r="E48" s="64"/>
      <c r="F48" s="38"/>
      <c r="G48" s="38"/>
      <c r="H48" s="32"/>
    </row>
    <row r="49" customFormat="false" ht="15" hidden="false" customHeight="false" outlineLevel="0" collapsed="false">
      <c r="A49" s="50"/>
      <c r="B49" s="51"/>
      <c r="C49" s="50"/>
      <c r="D49" s="38"/>
      <c r="E49" s="64"/>
      <c r="F49" s="38"/>
      <c r="G49" s="38"/>
      <c r="H49" s="32"/>
    </row>
    <row r="50" customFormat="false" ht="15" hidden="false" customHeight="false" outlineLevel="0" collapsed="false">
      <c r="A50" s="50"/>
      <c r="B50" s="51"/>
      <c r="C50" s="50"/>
      <c r="D50" s="38"/>
      <c r="E50" s="64"/>
      <c r="F50" s="38"/>
      <c r="G50" s="38"/>
      <c r="H50" s="32"/>
    </row>
    <row r="51" customFormat="false" ht="15" hidden="false" customHeight="false" outlineLevel="0" collapsed="false">
      <c r="A51" s="50"/>
      <c r="B51" s="51"/>
      <c r="C51" s="50"/>
      <c r="D51" s="38"/>
      <c r="E51" s="64"/>
      <c r="F51" s="38"/>
      <c r="G51" s="38"/>
      <c r="H51" s="32"/>
    </row>
    <row r="52" customFormat="false" ht="15" hidden="false" customHeight="false" outlineLevel="0" collapsed="false">
      <c r="A52" s="50"/>
      <c r="B52" s="51"/>
      <c r="C52" s="50"/>
      <c r="D52" s="38"/>
      <c r="E52" s="64"/>
      <c r="F52" s="38"/>
      <c r="G52" s="38"/>
      <c r="H52" s="32"/>
    </row>
    <row r="53" customFormat="false" ht="15" hidden="false" customHeight="false" outlineLevel="0" collapsed="false">
      <c r="A53" s="50"/>
      <c r="B53" s="51"/>
      <c r="C53" s="50"/>
      <c r="D53" s="38"/>
      <c r="E53" s="64"/>
      <c r="F53" s="38"/>
      <c r="G53" s="38"/>
      <c r="H53" s="32"/>
    </row>
    <row r="54" customFormat="false" ht="15" hidden="false" customHeight="false" outlineLevel="0" collapsed="false">
      <c r="A54" s="50"/>
      <c r="B54" s="51"/>
      <c r="C54" s="50"/>
      <c r="D54" s="38"/>
      <c r="E54" s="64"/>
      <c r="F54" s="38"/>
      <c r="G54" s="38"/>
      <c r="H54" s="32"/>
    </row>
    <row r="55" customFormat="false" ht="15" hidden="false" customHeight="false" outlineLevel="0" collapsed="false">
      <c r="A55" s="50"/>
      <c r="B55" s="51"/>
      <c r="C55" s="50"/>
      <c r="D55" s="38"/>
      <c r="E55" s="64"/>
      <c r="F55" s="38"/>
      <c r="G55" s="38"/>
      <c r="H55" s="32"/>
    </row>
    <row r="56" customFormat="false" ht="15" hidden="false" customHeight="false" outlineLevel="0" collapsed="false">
      <c r="A56" s="50"/>
      <c r="B56" s="51"/>
      <c r="C56" s="50"/>
      <c r="D56" s="38"/>
      <c r="E56" s="64"/>
      <c r="F56" s="38"/>
      <c r="G56" s="38"/>
      <c r="H56" s="32"/>
    </row>
    <row r="57" customFormat="false" ht="15" hidden="false" customHeight="false" outlineLevel="0" collapsed="false">
      <c r="A57" s="50"/>
      <c r="B57" s="51"/>
      <c r="C57" s="50"/>
      <c r="D57" s="38"/>
      <c r="E57" s="64"/>
      <c r="F57" s="38"/>
      <c r="G57" s="38"/>
      <c r="H57" s="32"/>
    </row>
    <row r="58" customFormat="false" ht="15" hidden="false" customHeight="false" outlineLevel="0" collapsed="false">
      <c r="A58" s="50"/>
      <c r="B58" s="51"/>
      <c r="C58" s="50"/>
      <c r="D58" s="38"/>
      <c r="E58" s="64"/>
      <c r="F58" s="38"/>
      <c r="G58" s="38"/>
      <c r="H58" s="32"/>
    </row>
    <row r="59" customFormat="false" ht="15" hidden="false" customHeight="false" outlineLevel="0" collapsed="false">
      <c r="A59" s="50"/>
      <c r="B59" s="51"/>
      <c r="C59" s="50"/>
      <c r="D59" s="38"/>
      <c r="E59" s="64"/>
      <c r="F59" s="38"/>
      <c r="G59" s="38"/>
      <c r="H59" s="32"/>
    </row>
    <row r="60" customFormat="false" ht="15" hidden="false" customHeight="false" outlineLevel="0" collapsed="false">
      <c r="A60" s="50"/>
      <c r="B60" s="51"/>
      <c r="C60" s="50"/>
      <c r="D60" s="38"/>
      <c r="E60" s="64"/>
      <c r="F60" s="38"/>
      <c r="G60" s="38"/>
      <c r="H60" s="32"/>
    </row>
    <row r="61" customFormat="false" ht="15" hidden="false" customHeight="false" outlineLevel="0" collapsed="false">
      <c r="A61" s="50"/>
      <c r="B61" s="51"/>
      <c r="C61" s="50"/>
      <c r="D61" s="38"/>
      <c r="E61" s="64"/>
      <c r="F61" s="38"/>
      <c r="G61" s="38"/>
      <c r="H61" s="32"/>
    </row>
    <row r="62" customFormat="false" ht="15" hidden="false" customHeight="false" outlineLevel="0" collapsed="false">
      <c r="A62" s="50"/>
      <c r="B62" s="51"/>
      <c r="C62" s="50"/>
      <c r="D62" s="38"/>
      <c r="E62" s="64"/>
      <c r="F62" s="38"/>
      <c r="G62" s="38"/>
      <c r="H62" s="32"/>
    </row>
    <row r="63" customFormat="false" ht="15" hidden="false" customHeight="false" outlineLevel="0" collapsed="false">
      <c r="A63" s="50"/>
      <c r="B63" s="51"/>
      <c r="C63" s="50"/>
      <c r="D63" s="38"/>
      <c r="E63" s="64"/>
      <c r="F63" s="38"/>
      <c r="G63" s="38"/>
      <c r="H63" s="32"/>
    </row>
    <row r="64" customFormat="false" ht="15" hidden="false" customHeight="false" outlineLevel="0" collapsed="false">
      <c r="A64" s="50"/>
      <c r="B64" s="51"/>
      <c r="C64" s="50"/>
      <c r="D64" s="38"/>
      <c r="E64" s="64"/>
      <c r="F64" s="38"/>
      <c r="G64" s="38"/>
      <c r="H64" s="32"/>
    </row>
    <row r="65" customFormat="false" ht="15" hidden="false" customHeight="false" outlineLevel="0" collapsed="false">
      <c r="A65" s="50"/>
      <c r="B65" s="51"/>
      <c r="C65" s="50"/>
      <c r="D65" s="38"/>
      <c r="E65" s="64"/>
      <c r="F65" s="38"/>
      <c r="G65" s="38"/>
      <c r="H65" s="32"/>
    </row>
    <row r="66" customFormat="false" ht="15" hidden="false" customHeight="false" outlineLevel="0" collapsed="false">
      <c r="A66" s="50"/>
      <c r="B66" s="51"/>
      <c r="C66" s="50"/>
      <c r="D66" s="38"/>
      <c r="E66" s="64"/>
      <c r="F66" s="38"/>
      <c r="G66" s="38"/>
      <c r="H66" s="32"/>
    </row>
    <row r="67" customFormat="false" ht="15" hidden="false" customHeight="false" outlineLevel="0" collapsed="false">
      <c r="A67" s="50"/>
      <c r="B67" s="51"/>
      <c r="C67" s="50"/>
      <c r="D67" s="38"/>
      <c r="E67" s="64"/>
      <c r="F67" s="38"/>
      <c r="G67" s="38"/>
      <c r="H67" s="32"/>
    </row>
    <row r="68" customFormat="false" ht="15" hidden="false" customHeight="false" outlineLevel="0" collapsed="false">
      <c r="A68" s="50"/>
      <c r="B68" s="51"/>
      <c r="C68" s="50"/>
      <c r="D68" s="38"/>
      <c r="E68" s="64"/>
      <c r="F68" s="38"/>
      <c r="G68" s="38"/>
      <c r="H68" s="32"/>
    </row>
    <row r="69" customFormat="false" ht="15" hidden="false" customHeight="false" outlineLevel="0" collapsed="false">
      <c r="A69" s="50"/>
      <c r="B69" s="51"/>
      <c r="C69" s="50"/>
      <c r="D69" s="38"/>
      <c r="E69" s="64"/>
      <c r="F69" s="38"/>
      <c r="G69" s="38"/>
      <c r="H69" s="32"/>
    </row>
    <row r="70" customFormat="false" ht="15" hidden="false" customHeight="false" outlineLevel="0" collapsed="false">
      <c r="A70" s="50"/>
      <c r="B70" s="51"/>
      <c r="C70" s="50"/>
      <c r="D70" s="38"/>
      <c r="E70" s="64"/>
      <c r="F70" s="38"/>
      <c r="G70" s="38"/>
      <c r="H70" s="32"/>
    </row>
    <row r="71" customFormat="false" ht="15" hidden="false" customHeight="false" outlineLevel="0" collapsed="false">
      <c r="A71" s="50"/>
      <c r="B71" s="51"/>
      <c r="C71" s="50"/>
      <c r="D71" s="38"/>
      <c r="E71" s="64"/>
      <c r="F71" s="38"/>
      <c r="G71" s="38"/>
      <c r="H71" s="32"/>
    </row>
    <row r="72" customFormat="false" ht="15" hidden="false" customHeight="false" outlineLevel="0" collapsed="false">
      <c r="A72" s="50"/>
      <c r="B72" s="51"/>
      <c r="C72" s="50"/>
      <c r="D72" s="38"/>
      <c r="E72" s="64"/>
      <c r="F72" s="38"/>
      <c r="G72" s="38"/>
      <c r="H72" s="32"/>
    </row>
    <row r="73" customFormat="false" ht="15" hidden="false" customHeight="false" outlineLevel="0" collapsed="false">
      <c r="A73" s="50"/>
      <c r="B73" s="51"/>
      <c r="C73" s="50"/>
      <c r="D73" s="38"/>
      <c r="E73" s="64"/>
      <c r="F73" s="38"/>
      <c r="G73" s="38"/>
      <c r="H73" s="32"/>
    </row>
    <row r="74" customFormat="false" ht="15" hidden="false" customHeight="false" outlineLevel="0" collapsed="false">
      <c r="A74" s="50"/>
      <c r="B74" s="51"/>
      <c r="C74" s="50"/>
      <c r="D74" s="38"/>
      <c r="E74" s="64"/>
      <c r="F74" s="38"/>
      <c r="G74" s="38"/>
      <c r="H74" s="32"/>
    </row>
    <row r="75" customFormat="false" ht="15" hidden="false" customHeight="false" outlineLevel="0" collapsed="false">
      <c r="A75" s="50"/>
      <c r="B75" s="51"/>
      <c r="C75" s="50"/>
      <c r="D75" s="38"/>
      <c r="E75" s="64"/>
      <c r="F75" s="38"/>
      <c r="G75" s="38"/>
      <c r="H75" s="32"/>
    </row>
    <row r="76" customFormat="false" ht="15" hidden="false" customHeight="false" outlineLevel="0" collapsed="false">
      <c r="A76" s="50"/>
      <c r="B76" s="51"/>
      <c r="C76" s="50"/>
      <c r="D76" s="38"/>
      <c r="E76" s="64"/>
      <c r="F76" s="38"/>
      <c r="G76" s="38"/>
      <c r="H76" s="32"/>
    </row>
    <row r="77" customFormat="false" ht="15" hidden="false" customHeight="false" outlineLevel="0" collapsed="false">
      <c r="A77" s="50"/>
      <c r="B77" s="51"/>
      <c r="C77" s="50"/>
      <c r="D77" s="38"/>
      <c r="E77" s="64"/>
      <c r="F77" s="38"/>
      <c r="G77" s="38"/>
      <c r="H77" s="32"/>
    </row>
    <row r="78" customFormat="false" ht="15" hidden="false" customHeight="false" outlineLevel="0" collapsed="false">
      <c r="A78" s="50"/>
      <c r="B78" s="51"/>
      <c r="C78" s="50"/>
      <c r="D78" s="38"/>
      <c r="E78" s="64"/>
      <c r="F78" s="38"/>
      <c r="G78" s="38"/>
      <c r="H78" s="32"/>
    </row>
    <row r="79" customFormat="false" ht="15" hidden="false" customHeight="false" outlineLevel="0" collapsed="false">
      <c r="A79" s="50"/>
      <c r="B79" s="51"/>
      <c r="C79" s="50"/>
      <c r="D79" s="38"/>
      <c r="E79" s="64"/>
      <c r="F79" s="38"/>
      <c r="G79" s="38"/>
      <c r="H79" s="32"/>
    </row>
    <row r="80" customFormat="false" ht="15" hidden="false" customHeight="false" outlineLevel="0" collapsed="false">
      <c r="A80" s="50"/>
      <c r="B80" s="51"/>
      <c r="C80" s="50"/>
      <c r="D80" s="38"/>
      <c r="E80" s="64"/>
      <c r="F80" s="38"/>
      <c r="G80" s="38"/>
      <c r="H80" s="32"/>
    </row>
    <row r="81" customFormat="false" ht="15" hidden="false" customHeight="false" outlineLevel="0" collapsed="false">
      <c r="A81" s="50"/>
      <c r="B81" s="51"/>
      <c r="C81" s="50"/>
      <c r="D81" s="38"/>
      <c r="E81" s="64"/>
      <c r="F81" s="38"/>
      <c r="G81" s="38"/>
      <c r="H81" s="32"/>
    </row>
    <row r="82" customFormat="false" ht="15" hidden="false" customHeight="false" outlineLevel="0" collapsed="false">
      <c r="A82" s="50"/>
      <c r="B82" s="51"/>
      <c r="C82" s="50"/>
      <c r="D82" s="38"/>
      <c r="E82" s="64"/>
      <c r="F82" s="38"/>
      <c r="G82" s="38"/>
      <c r="H82" s="32"/>
    </row>
    <row r="83" customFormat="false" ht="15" hidden="false" customHeight="false" outlineLevel="0" collapsed="false">
      <c r="A83" s="50"/>
      <c r="B83" s="51"/>
      <c r="C83" s="50"/>
      <c r="D83" s="38"/>
      <c r="E83" s="64"/>
      <c r="F83" s="38"/>
      <c r="G83" s="38"/>
      <c r="H83" s="32"/>
    </row>
    <row r="84" customFormat="false" ht="15" hidden="false" customHeight="false" outlineLevel="0" collapsed="false">
      <c r="A84" s="50"/>
      <c r="B84" s="51"/>
      <c r="C84" s="50"/>
      <c r="D84" s="38"/>
      <c r="E84" s="64"/>
      <c r="F84" s="38"/>
      <c r="G84" s="38"/>
      <c r="H84" s="32"/>
    </row>
    <row r="85" customFormat="false" ht="15" hidden="false" customHeight="false" outlineLevel="0" collapsed="false">
      <c r="A85" s="50"/>
      <c r="B85" s="51"/>
      <c r="C85" s="50"/>
      <c r="D85" s="38"/>
      <c r="E85" s="64"/>
      <c r="F85" s="38"/>
      <c r="G85" s="38"/>
      <c r="H85" s="32"/>
    </row>
    <row r="86" customFormat="false" ht="15" hidden="false" customHeight="false" outlineLevel="0" collapsed="false">
      <c r="A86" s="50"/>
      <c r="B86" s="51"/>
      <c r="C86" s="50"/>
      <c r="D86" s="38"/>
      <c r="E86" s="64"/>
      <c r="F86" s="38"/>
      <c r="G86" s="38"/>
      <c r="H86" s="32"/>
    </row>
    <row r="87" customFormat="false" ht="15" hidden="false" customHeight="false" outlineLevel="0" collapsed="false">
      <c r="A87" s="50"/>
      <c r="B87" s="51"/>
      <c r="C87" s="50"/>
      <c r="D87" s="38"/>
      <c r="E87" s="64"/>
      <c r="F87" s="38"/>
      <c r="G87" s="38"/>
      <c r="H87" s="32"/>
    </row>
    <row r="88" customFormat="false" ht="15" hidden="false" customHeight="false" outlineLevel="0" collapsed="false">
      <c r="A88" s="50"/>
      <c r="B88" s="51"/>
      <c r="C88" s="50"/>
      <c r="D88" s="38"/>
      <c r="E88" s="64"/>
      <c r="F88" s="38"/>
      <c r="G88" s="38"/>
      <c r="H88" s="32"/>
    </row>
    <row r="89" customFormat="false" ht="15" hidden="false" customHeight="false" outlineLevel="0" collapsed="false">
      <c r="A89" s="50"/>
      <c r="B89" s="51"/>
      <c r="C89" s="50"/>
      <c r="D89" s="38"/>
      <c r="E89" s="64"/>
      <c r="F89" s="38"/>
      <c r="G89" s="38"/>
      <c r="H89" s="32"/>
    </row>
    <row r="90" customFormat="false" ht="15" hidden="false" customHeight="false" outlineLevel="0" collapsed="false">
      <c r="A90" s="50"/>
      <c r="B90" s="51"/>
      <c r="C90" s="50"/>
      <c r="D90" s="38"/>
      <c r="E90" s="64"/>
      <c r="F90" s="38"/>
      <c r="G90" s="38"/>
      <c r="H90" s="32"/>
    </row>
    <row r="91" customFormat="false" ht="15" hidden="false" customHeight="false" outlineLevel="0" collapsed="false">
      <c r="A91" s="50"/>
      <c r="B91" s="51"/>
      <c r="C91" s="50"/>
      <c r="D91" s="38"/>
      <c r="E91" s="64"/>
      <c r="F91" s="38"/>
      <c r="G91" s="38"/>
      <c r="H91" s="32"/>
    </row>
    <row r="92" customFormat="false" ht="15" hidden="false" customHeight="false" outlineLevel="0" collapsed="false">
      <c r="A92" s="50"/>
      <c r="B92" s="51"/>
      <c r="C92" s="50"/>
      <c r="D92" s="38"/>
      <c r="E92" s="64"/>
      <c r="F92" s="38"/>
      <c r="G92" s="38"/>
      <c r="H92" s="32"/>
    </row>
    <row r="93" customFormat="false" ht="15" hidden="false" customHeight="false" outlineLevel="0" collapsed="false">
      <c r="A93" s="50"/>
      <c r="B93" s="51"/>
      <c r="C93" s="50"/>
      <c r="D93" s="38"/>
      <c r="E93" s="64"/>
      <c r="F93" s="38"/>
      <c r="G93" s="38"/>
      <c r="H93" s="32"/>
    </row>
    <row r="94" customFormat="false" ht="15" hidden="false" customHeight="false" outlineLevel="0" collapsed="false">
      <c r="A94" s="50"/>
      <c r="B94" s="51"/>
      <c r="C94" s="50"/>
      <c r="D94" s="38"/>
      <c r="E94" s="64"/>
      <c r="F94" s="38"/>
      <c r="G94" s="38"/>
      <c r="H94" s="32"/>
    </row>
    <row r="95" customFormat="false" ht="15" hidden="false" customHeight="false" outlineLevel="0" collapsed="false">
      <c r="A95" s="50"/>
      <c r="B95" s="51"/>
      <c r="C95" s="50"/>
      <c r="D95" s="38"/>
      <c r="E95" s="64"/>
      <c r="F95" s="38"/>
      <c r="G95" s="38"/>
      <c r="H95" s="32"/>
    </row>
    <row r="96" customFormat="false" ht="15" hidden="false" customHeight="false" outlineLevel="0" collapsed="false">
      <c r="A96" s="50"/>
      <c r="B96" s="51"/>
      <c r="C96" s="50"/>
      <c r="D96" s="38"/>
      <c r="E96" s="64"/>
      <c r="F96" s="38"/>
      <c r="G96" s="38"/>
      <c r="H96" s="32"/>
    </row>
    <row r="97" customFormat="false" ht="15" hidden="false" customHeight="false" outlineLevel="0" collapsed="false">
      <c r="A97" s="50"/>
      <c r="B97" s="51"/>
      <c r="C97" s="50"/>
      <c r="D97" s="38"/>
      <c r="E97" s="64"/>
      <c r="F97" s="38"/>
      <c r="G97" s="38"/>
      <c r="H97" s="32"/>
    </row>
    <row r="98" customFormat="false" ht="15" hidden="false" customHeight="false" outlineLevel="0" collapsed="false">
      <c r="A98" s="50"/>
      <c r="B98" s="51"/>
      <c r="C98" s="50"/>
      <c r="D98" s="38"/>
      <c r="E98" s="64"/>
      <c r="F98" s="38"/>
      <c r="G98" s="38"/>
      <c r="H98" s="32"/>
    </row>
    <row r="99" customFormat="false" ht="15" hidden="false" customHeight="false" outlineLevel="0" collapsed="false">
      <c r="A99" s="50"/>
      <c r="B99" s="51"/>
      <c r="C99" s="50"/>
      <c r="D99" s="38"/>
      <c r="E99" s="64"/>
      <c r="F99" s="38"/>
      <c r="G99" s="38"/>
      <c r="H99" s="32"/>
    </row>
    <row r="100" customFormat="false" ht="15" hidden="false" customHeight="false" outlineLevel="0" collapsed="false">
      <c r="A100" s="50"/>
      <c r="B100" s="51"/>
      <c r="C100" s="50"/>
      <c r="D100" s="38"/>
      <c r="E100" s="64"/>
      <c r="F100" s="38"/>
      <c r="G100" s="38"/>
      <c r="H100" s="32"/>
    </row>
    <row r="101" customFormat="false" ht="15" hidden="false" customHeight="false" outlineLevel="0" collapsed="false">
      <c r="A101" s="50"/>
      <c r="B101" s="51"/>
      <c r="C101" s="50"/>
      <c r="D101" s="38"/>
      <c r="E101" s="64"/>
      <c r="F101" s="38"/>
      <c r="G101" s="38"/>
      <c r="H101" s="32"/>
    </row>
    <row r="102" customFormat="false" ht="15" hidden="false" customHeight="false" outlineLevel="0" collapsed="false">
      <c r="A102" s="50"/>
      <c r="B102" s="51"/>
      <c r="C102" s="50"/>
      <c r="D102" s="38"/>
      <c r="E102" s="64"/>
      <c r="F102" s="38"/>
      <c r="G102" s="38"/>
      <c r="H102" s="32"/>
    </row>
    <row r="103" customFormat="false" ht="15" hidden="false" customHeight="false" outlineLevel="0" collapsed="false">
      <c r="A103" s="50"/>
      <c r="B103" s="51"/>
      <c r="C103" s="50"/>
      <c r="D103" s="38"/>
      <c r="E103" s="64"/>
      <c r="F103" s="38"/>
      <c r="G103" s="38"/>
      <c r="H103" s="32"/>
    </row>
    <row r="104" customFormat="false" ht="15" hidden="false" customHeight="false" outlineLevel="0" collapsed="false">
      <c r="A104" s="50"/>
      <c r="B104" s="51"/>
      <c r="C104" s="50"/>
      <c r="D104" s="38"/>
      <c r="E104" s="64"/>
      <c r="F104" s="38"/>
      <c r="G104" s="38"/>
      <c r="H104" s="32"/>
    </row>
    <row r="105" customFormat="false" ht="15" hidden="false" customHeight="false" outlineLevel="0" collapsed="false">
      <c r="A105" s="50"/>
      <c r="B105" s="51"/>
      <c r="C105" s="50"/>
      <c r="D105" s="38"/>
      <c r="E105" s="64"/>
      <c r="F105" s="38"/>
      <c r="G105" s="38"/>
      <c r="H105" s="32"/>
    </row>
    <row r="106" customFormat="false" ht="15" hidden="false" customHeight="false" outlineLevel="0" collapsed="false">
      <c r="A106" s="50"/>
      <c r="B106" s="51"/>
      <c r="C106" s="50"/>
      <c r="D106" s="38"/>
      <c r="E106" s="64"/>
      <c r="F106" s="38"/>
      <c r="G106" s="38"/>
      <c r="H106" s="32"/>
    </row>
    <row r="107" customFormat="false" ht="15" hidden="false" customHeight="false" outlineLevel="0" collapsed="false">
      <c r="A107" s="50"/>
      <c r="B107" s="51"/>
      <c r="C107" s="50"/>
      <c r="D107" s="38"/>
      <c r="E107" s="64"/>
      <c r="F107" s="38"/>
      <c r="G107" s="38"/>
      <c r="H107" s="32"/>
    </row>
    <row r="108" customFormat="false" ht="15" hidden="false" customHeight="false" outlineLevel="0" collapsed="false">
      <c r="A108" s="50"/>
      <c r="B108" s="51"/>
      <c r="C108" s="50"/>
      <c r="D108" s="38"/>
      <c r="E108" s="64"/>
      <c r="F108" s="38"/>
      <c r="G108" s="38"/>
      <c r="H108" s="32"/>
    </row>
    <row r="109" customFormat="false" ht="15" hidden="false" customHeight="false" outlineLevel="0" collapsed="false">
      <c r="A109" s="50"/>
      <c r="B109" s="51"/>
      <c r="C109" s="50"/>
      <c r="D109" s="38"/>
      <c r="E109" s="64"/>
      <c r="F109" s="38"/>
      <c r="G109" s="38"/>
      <c r="H109" s="32"/>
    </row>
    <row r="110" customFormat="false" ht="15" hidden="false" customHeight="false" outlineLevel="0" collapsed="false">
      <c r="A110" s="50"/>
      <c r="B110" s="51"/>
      <c r="C110" s="50"/>
      <c r="D110" s="38"/>
      <c r="E110" s="64"/>
      <c r="F110" s="38"/>
      <c r="G110" s="38"/>
      <c r="H110" s="32"/>
    </row>
    <row r="111" customFormat="false" ht="15" hidden="false" customHeight="false" outlineLevel="0" collapsed="false">
      <c r="A111" s="50"/>
      <c r="B111" s="51"/>
      <c r="C111" s="50"/>
      <c r="D111" s="38"/>
      <c r="E111" s="64"/>
      <c r="F111" s="38"/>
      <c r="G111" s="38"/>
      <c r="H111" s="32"/>
    </row>
    <row r="112" customFormat="false" ht="15" hidden="false" customHeight="false" outlineLevel="0" collapsed="false">
      <c r="A112" s="50"/>
      <c r="B112" s="51"/>
      <c r="C112" s="50"/>
      <c r="D112" s="38"/>
      <c r="E112" s="64"/>
      <c r="F112" s="38"/>
      <c r="G112" s="38"/>
      <c r="H112" s="32"/>
    </row>
    <row r="113" customFormat="false" ht="15" hidden="false" customHeight="false" outlineLevel="0" collapsed="false">
      <c r="A113" s="50"/>
      <c r="B113" s="51"/>
      <c r="C113" s="50"/>
      <c r="D113" s="38"/>
      <c r="E113" s="64"/>
      <c r="F113" s="38"/>
      <c r="G113" s="38"/>
      <c r="H113" s="32"/>
    </row>
    <row r="114" customFormat="false" ht="15" hidden="false" customHeight="false" outlineLevel="0" collapsed="false">
      <c r="A114" s="50"/>
      <c r="B114" s="51"/>
      <c r="C114" s="50"/>
      <c r="D114" s="38"/>
      <c r="E114" s="64"/>
      <c r="F114" s="38"/>
      <c r="G114" s="38"/>
      <c r="H114" s="32"/>
    </row>
    <row r="115" customFormat="false" ht="15" hidden="false" customHeight="false" outlineLevel="0" collapsed="false">
      <c r="A115" s="50"/>
      <c r="B115" s="51"/>
      <c r="C115" s="50"/>
      <c r="D115" s="38"/>
      <c r="E115" s="64"/>
      <c r="F115" s="38"/>
      <c r="G115" s="38"/>
      <c r="H115" s="32"/>
    </row>
    <row r="116" customFormat="false" ht="15" hidden="false" customHeight="false" outlineLevel="0" collapsed="false">
      <c r="A116" s="50"/>
      <c r="B116" s="51"/>
      <c r="C116" s="50"/>
      <c r="D116" s="38"/>
      <c r="E116" s="64"/>
      <c r="F116" s="38"/>
      <c r="G116" s="38"/>
      <c r="H116" s="32"/>
    </row>
    <row r="117" customFormat="false" ht="15" hidden="false" customHeight="false" outlineLevel="0" collapsed="false">
      <c r="A117" s="50"/>
      <c r="B117" s="51"/>
      <c r="C117" s="50"/>
      <c r="D117" s="38"/>
      <c r="E117" s="64"/>
      <c r="F117" s="38"/>
      <c r="G117" s="38"/>
      <c r="H117" s="32"/>
    </row>
    <row r="118" customFormat="false" ht="15" hidden="false" customHeight="false" outlineLevel="0" collapsed="false">
      <c r="A118" s="50"/>
      <c r="B118" s="51"/>
      <c r="C118" s="50"/>
      <c r="D118" s="38"/>
      <c r="E118" s="64"/>
      <c r="F118" s="38"/>
      <c r="G118" s="38"/>
      <c r="H118" s="32"/>
    </row>
    <row r="119" customFormat="false" ht="15" hidden="false" customHeight="false" outlineLevel="0" collapsed="false">
      <c r="A119" s="50"/>
      <c r="B119" s="51"/>
      <c r="C119" s="50"/>
      <c r="D119" s="38"/>
      <c r="E119" s="64"/>
      <c r="F119" s="38"/>
      <c r="G119" s="38"/>
      <c r="H119" s="32"/>
    </row>
    <row r="120" customFormat="false" ht="15" hidden="false" customHeight="false" outlineLevel="0" collapsed="false">
      <c r="A120" s="50"/>
      <c r="B120" s="51"/>
      <c r="C120" s="50"/>
      <c r="D120" s="38"/>
      <c r="E120" s="64"/>
      <c r="F120" s="38"/>
      <c r="G120" s="38"/>
      <c r="H120" s="32"/>
    </row>
    <row r="121" customFormat="false" ht="15" hidden="false" customHeight="false" outlineLevel="0" collapsed="false">
      <c r="A121" s="50"/>
      <c r="B121" s="51"/>
      <c r="C121" s="50"/>
      <c r="D121" s="38"/>
      <c r="E121" s="64"/>
      <c r="F121" s="38"/>
      <c r="G121" s="38"/>
      <c r="H121" s="32"/>
    </row>
    <row r="122" customFormat="false" ht="15" hidden="false" customHeight="false" outlineLevel="0" collapsed="false">
      <c r="A122" s="50"/>
      <c r="B122" s="51"/>
      <c r="C122" s="50"/>
      <c r="D122" s="38"/>
      <c r="E122" s="64"/>
      <c r="F122" s="38"/>
      <c r="G122" s="38"/>
      <c r="H122" s="32"/>
    </row>
    <row r="123" customFormat="false" ht="15" hidden="false" customHeight="false" outlineLevel="0" collapsed="false">
      <c r="A123" s="50"/>
      <c r="B123" s="51"/>
      <c r="C123" s="50"/>
      <c r="D123" s="38"/>
      <c r="E123" s="64"/>
      <c r="F123" s="38"/>
      <c r="G123" s="38"/>
      <c r="H123" s="32"/>
    </row>
    <row r="124" customFormat="false" ht="15" hidden="false" customHeight="false" outlineLevel="0" collapsed="false">
      <c r="A124" s="50"/>
      <c r="B124" s="51"/>
      <c r="C124" s="50"/>
      <c r="D124" s="38"/>
      <c r="E124" s="64"/>
      <c r="F124" s="38"/>
      <c r="G124" s="38"/>
      <c r="H124" s="32"/>
    </row>
    <row r="125" customFormat="false" ht="15" hidden="false" customHeight="false" outlineLevel="0" collapsed="false">
      <c r="A125" s="50"/>
      <c r="B125" s="51"/>
      <c r="C125" s="50"/>
      <c r="D125" s="38"/>
      <c r="E125" s="64"/>
      <c r="F125" s="38"/>
      <c r="G125" s="38"/>
      <c r="H125" s="32"/>
    </row>
    <row r="126" customFormat="false" ht="15" hidden="false" customHeight="false" outlineLevel="0" collapsed="false">
      <c r="A126" s="50"/>
      <c r="B126" s="51"/>
      <c r="C126" s="50"/>
      <c r="D126" s="38"/>
      <c r="E126" s="64"/>
      <c r="F126" s="38"/>
      <c r="G126" s="38"/>
      <c r="H126" s="32"/>
    </row>
    <row r="127" customFormat="false" ht="15" hidden="false" customHeight="false" outlineLevel="0" collapsed="false">
      <c r="A127" s="50"/>
      <c r="B127" s="51"/>
      <c r="C127" s="50"/>
      <c r="D127" s="38"/>
      <c r="E127" s="64"/>
      <c r="F127" s="38"/>
      <c r="G127" s="38"/>
      <c r="H127" s="32"/>
    </row>
    <row r="128" customFormat="false" ht="15" hidden="false" customHeight="false" outlineLevel="0" collapsed="false">
      <c r="A128" s="50"/>
      <c r="B128" s="51"/>
      <c r="C128" s="50"/>
      <c r="D128" s="38"/>
      <c r="E128" s="64"/>
      <c r="F128" s="38"/>
      <c r="G128" s="38"/>
      <c r="H128" s="32"/>
    </row>
    <row r="129" customFormat="false" ht="15" hidden="false" customHeight="false" outlineLevel="0" collapsed="false">
      <c r="A129" s="50"/>
      <c r="B129" s="51"/>
      <c r="C129" s="50"/>
      <c r="D129" s="38"/>
      <c r="E129" s="64"/>
      <c r="F129" s="38"/>
      <c r="G129" s="38"/>
      <c r="H129" s="32"/>
    </row>
    <row r="130" customFormat="false" ht="15" hidden="false" customHeight="false" outlineLevel="0" collapsed="false">
      <c r="A130" s="50"/>
      <c r="B130" s="51"/>
      <c r="C130" s="50"/>
      <c r="D130" s="38"/>
      <c r="E130" s="64"/>
      <c r="F130" s="38"/>
      <c r="G130" s="38"/>
      <c r="H130" s="32"/>
    </row>
    <row r="131" customFormat="false" ht="15" hidden="false" customHeight="false" outlineLevel="0" collapsed="false">
      <c r="A131" s="50"/>
      <c r="B131" s="51"/>
      <c r="C131" s="50"/>
      <c r="D131" s="38"/>
      <c r="E131" s="64"/>
      <c r="F131" s="38"/>
      <c r="G131" s="38"/>
      <c r="H131" s="32"/>
    </row>
    <row r="132" customFormat="false" ht="15" hidden="false" customHeight="false" outlineLevel="0" collapsed="false">
      <c r="A132" s="50"/>
      <c r="B132" s="51"/>
      <c r="C132" s="50"/>
      <c r="D132" s="38"/>
      <c r="E132" s="64"/>
      <c r="F132" s="38"/>
      <c r="G132" s="38"/>
      <c r="H132" s="32"/>
    </row>
    <row r="133" customFormat="false" ht="15" hidden="false" customHeight="false" outlineLevel="0" collapsed="false">
      <c r="A133" s="50"/>
      <c r="B133" s="51"/>
      <c r="C133" s="50"/>
      <c r="D133" s="38"/>
      <c r="E133" s="64"/>
      <c r="F133" s="38"/>
      <c r="G133" s="38"/>
      <c r="H133" s="32"/>
    </row>
    <row r="134" customFormat="false" ht="15" hidden="false" customHeight="false" outlineLevel="0" collapsed="false">
      <c r="A134" s="50"/>
      <c r="B134" s="51"/>
      <c r="C134" s="50"/>
      <c r="D134" s="38"/>
      <c r="E134" s="64"/>
      <c r="F134" s="38"/>
      <c r="G134" s="38"/>
      <c r="H134" s="32"/>
    </row>
    <row r="135" customFormat="false" ht="15" hidden="false" customHeight="false" outlineLevel="0" collapsed="false">
      <c r="A135" s="50"/>
      <c r="B135" s="51"/>
      <c r="C135" s="50"/>
      <c r="D135" s="38"/>
      <c r="E135" s="64"/>
      <c r="F135" s="38"/>
      <c r="G135" s="38"/>
      <c r="H135" s="32"/>
    </row>
    <row r="136" customFormat="false" ht="15" hidden="false" customHeight="false" outlineLevel="0" collapsed="false">
      <c r="A136" s="50"/>
      <c r="B136" s="51"/>
      <c r="C136" s="50"/>
      <c r="D136" s="38"/>
      <c r="E136" s="64"/>
      <c r="F136" s="38"/>
      <c r="G136" s="38"/>
      <c r="H136" s="32"/>
    </row>
    <row r="137" customFormat="false" ht="15" hidden="false" customHeight="false" outlineLevel="0" collapsed="false">
      <c r="A137" s="50"/>
      <c r="B137" s="51"/>
      <c r="C137" s="50"/>
      <c r="D137" s="38"/>
      <c r="E137" s="64"/>
      <c r="F137" s="38"/>
      <c r="G137" s="38"/>
      <c r="H137" s="32"/>
    </row>
    <row r="138" customFormat="false" ht="15" hidden="false" customHeight="false" outlineLevel="0" collapsed="false">
      <c r="A138" s="50"/>
      <c r="B138" s="51"/>
      <c r="C138" s="50"/>
      <c r="D138" s="38"/>
      <c r="E138" s="64"/>
      <c r="F138" s="38"/>
      <c r="G138" s="38"/>
      <c r="H138" s="32"/>
    </row>
    <row r="139" customFormat="false" ht="15" hidden="false" customHeight="false" outlineLevel="0" collapsed="false">
      <c r="A139" s="50"/>
      <c r="B139" s="51"/>
      <c r="C139" s="50"/>
      <c r="D139" s="38"/>
      <c r="E139" s="64"/>
      <c r="F139" s="38"/>
      <c r="G139" s="38"/>
      <c r="H139" s="32"/>
    </row>
    <row r="140" customFormat="false" ht="15" hidden="false" customHeight="false" outlineLevel="0" collapsed="false">
      <c r="A140" s="50"/>
      <c r="B140" s="51"/>
      <c r="C140" s="50"/>
      <c r="D140" s="38"/>
      <c r="E140" s="64"/>
      <c r="F140" s="38"/>
      <c r="G140" s="38"/>
      <c r="H140" s="32"/>
    </row>
    <row r="141" customFormat="false" ht="15" hidden="false" customHeight="false" outlineLevel="0" collapsed="false">
      <c r="A141" s="50"/>
      <c r="B141" s="51"/>
      <c r="C141" s="50"/>
      <c r="D141" s="38"/>
      <c r="E141" s="64"/>
      <c r="F141" s="38"/>
      <c r="G141" s="38"/>
      <c r="H141" s="32"/>
    </row>
    <row r="142" customFormat="false" ht="15" hidden="false" customHeight="false" outlineLevel="0" collapsed="false">
      <c r="A142" s="50"/>
      <c r="B142" s="51"/>
      <c r="C142" s="50"/>
      <c r="D142" s="38"/>
      <c r="E142" s="64"/>
      <c r="F142" s="38"/>
      <c r="G142" s="38"/>
      <c r="H142" s="32"/>
    </row>
    <row r="143" customFormat="false" ht="15" hidden="false" customHeight="false" outlineLevel="0" collapsed="false">
      <c r="A143" s="50"/>
      <c r="B143" s="51"/>
      <c r="C143" s="50"/>
      <c r="D143" s="38"/>
      <c r="E143" s="64"/>
      <c r="F143" s="38"/>
      <c r="G143" s="38"/>
      <c r="H143" s="32"/>
    </row>
    <row r="144" customFormat="false" ht="15" hidden="false" customHeight="false" outlineLevel="0" collapsed="false">
      <c r="A144" s="50"/>
      <c r="B144" s="51"/>
      <c r="C144" s="50"/>
      <c r="D144" s="38"/>
      <c r="E144" s="64"/>
      <c r="F144" s="38"/>
      <c r="G144" s="38"/>
      <c r="H144" s="32"/>
    </row>
    <row r="145" customFormat="false" ht="15" hidden="false" customHeight="false" outlineLevel="0" collapsed="false">
      <c r="A145" s="50"/>
      <c r="B145" s="51"/>
      <c r="C145" s="50"/>
      <c r="D145" s="38"/>
      <c r="E145" s="64"/>
      <c r="F145" s="38"/>
      <c r="G145" s="38"/>
      <c r="H145" s="32"/>
    </row>
    <row r="146" customFormat="false" ht="15" hidden="false" customHeight="false" outlineLevel="0" collapsed="false">
      <c r="A146" s="50"/>
      <c r="B146" s="51"/>
      <c r="C146" s="50"/>
      <c r="D146" s="38"/>
      <c r="E146" s="64"/>
      <c r="F146" s="38"/>
      <c r="G146" s="38"/>
      <c r="H146" s="32"/>
    </row>
    <row r="147" customFormat="false" ht="15" hidden="false" customHeight="false" outlineLevel="0" collapsed="false">
      <c r="A147" s="50"/>
      <c r="B147" s="51"/>
      <c r="C147" s="50"/>
      <c r="D147" s="38"/>
      <c r="E147" s="64"/>
      <c r="F147" s="38"/>
      <c r="G147" s="38"/>
      <c r="H147" s="32"/>
    </row>
    <row r="148" customFormat="false" ht="15" hidden="false" customHeight="false" outlineLevel="0" collapsed="false">
      <c r="A148" s="50"/>
      <c r="B148" s="51"/>
      <c r="C148" s="50"/>
      <c r="D148" s="38"/>
      <c r="E148" s="64"/>
      <c r="F148" s="38"/>
      <c r="G148" s="38"/>
      <c r="H148" s="32"/>
    </row>
    <row r="149" customFormat="false" ht="15" hidden="false" customHeight="false" outlineLevel="0" collapsed="false">
      <c r="A149" s="50"/>
      <c r="B149" s="51"/>
      <c r="C149" s="50"/>
      <c r="D149" s="38"/>
      <c r="E149" s="64"/>
      <c r="F149" s="38"/>
      <c r="G149" s="38"/>
      <c r="H149" s="32"/>
    </row>
    <row r="150" customFormat="false" ht="15" hidden="false" customHeight="false" outlineLevel="0" collapsed="false">
      <c r="A150" s="50"/>
      <c r="B150" s="51"/>
      <c r="C150" s="50"/>
      <c r="D150" s="38"/>
      <c r="E150" s="64"/>
      <c r="F150" s="38"/>
      <c r="G150" s="38"/>
      <c r="H150" s="32"/>
    </row>
    <row r="151" customFormat="false" ht="15" hidden="false" customHeight="false" outlineLevel="0" collapsed="false">
      <c r="A151" s="50"/>
      <c r="B151" s="51"/>
      <c r="C151" s="50"/>
      <c r="D151" s="38"/>
      <c r="E151" s="64"/>
      <c r="F151" s="38"/>
      <c r="G151" s="38"/>
      <c r="H151" s="32"/>
    </row>
    <row r="152" customFormat="false" ht="15" hidden="false" customHeight="false" outlineLevel="0" collapsed="false">
      <c r="A152" s="50"/>
      <c r="B152" s="51"/>
      <c r="C152" s="50"/>
      <c r="D152" s="38"/>
      <c r="E152" s="64"/>
      <c r="F152" s="38"/>
      <c r="G152" s="38"/>
      <c r="H152" s="32"/>
    </row>
    <row r="153" customFormat="false" ht="15" hidden="false" customHeight="false" outlineLevel="0" collapsed="false">
      <c r="A153" s="50"/>
      <c r="B153" s="51"/>
      <c r="C153" s="50"/>
      <c r="D153" s="38"/>
      <c r="E153" s="64"/>
      <c r="F153" s="38"/>
      <c r="G153" s="38"/>
      <c r="H153" s="32"/>
    </row>
    <row r="154" customFormat="false" ht="15" hidden="false" customHeight="false" outlineLevel="0" collapsed="false">
      <c r="A154" s="50"/>
      <c r="B154" s="51"/>
      <c r="C154" s="50"/>
      <c r="D154" s="38"/>
      <c r="E154" s="64"/>
      <c r="F154" s="38"/>
      <c r="G154" s="38"/>
      <c r="H154" s="32"/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A5:A154" type="list">
      <formula1>'Animal Register'!$A$5:$A$74</formula1>
      <formula2>0</formula2>
    </dataValidation>
    <dataValidation allowBlank="true" errorStyle="stop" operator="between" showDropDown="false" showErrorMessage="false" showInputMessage="false" sqref="D5:D154" type="list">
      <formula1>"Male,Female"</formula1>
      <formula2>0</formula2>
    </dataValidation>
    <dataValidation allowBlank="true" errorStyle="stop" operator="between" showDropDown="false" showErrorMessage="false" showInputMessage="false" sqref="F5:F154" type="list">
      <formula1>"Normal,Assisted,Difficult"</formula1>
      <formula2>0</formula2>
    </dataValidation>
    <dataValidation allowBlank="true" errorStyle="stop" operator="between" showDropDown="false" showErrorMessage="false" showInputMessage="false" sqref="G5:G15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30" t="s">
        <v>324</v>
      </c>
      <c r="B1" s="30"/>
      <c r="C1" s="30"/>
      <c r="D1" s="30"/>
      <c r="E1" s="30"/>
      <c r="F1" s="30"/>
    </row>
    <row r="4" customFormat="false" ht="26.85" hidden="false" customHeight="false" outlineLevel="0" collapsed="false">
      <c r="A4" s="31" t="s">
        <v>325</v>
      </c>
      <c r="B4" s="31" t="s">
        <v>326</v>
      </c>
      <c r="C4" s="31" t="s">
        <v>327</v>
      </c>
      <c r="D4" s="31" t="s">
        <v>328</v>
      </c>
      <c r="E4" s="31" t="s">
        <v>232</v>
      </c>
    </row>
    <row r="5" customFormat="false" ht="15" hidden="false" customHeight="false" outlineLevel="0" collapsed="false">
      <c r="A5" s="50"/>
      <c r="B5" s="51"/>
      <c r="C5" s="62"/>
      <c r="D5" s="47" t="str">
        <f aca="false">IF($A5="","",IFERROR($B5-INDEX('Animal Register'!$F:$F,MATCH($A5,'Animal Register'!$A:$A,0)),"-"))</f>
        <v/>
      </c>
      <c r="E5" s="32"/>
    </row>
    <row r="6" customFormat="false" ht="15" hidden="false" customHeight="false" outlineLevel="0" collapsed="false">
      <c r="A6" s="50"/>
      <c r="B6" s="51"/>
      <c r="C6" s="62"/>
      <c r="D6" s="47" t="str">
        <f aca="false">IF($A6="","",IFERROR($B6-INDEX('Animal Register'!$F:$F,MATCH($A6,'Animal Register'!$A:$A,0)),"-"))</f>
        <v/>
      </c>
      <c r="E6" s="32"/>
    </row>
    <row r="7" customFormat="false" ht="15" hidden="false" customHeight="false" outlineLevel="0" collapsed="false">
      <c r="A7" s="50"/>
      <c r="B7" s="51"/>
      <c r="C7" s="62"/>
      <c r="D7" s="47" t="str">
        <f aca="false">IF($A7="","",IFERROR($B7-INDEX('Animal Register'!$F:$F,MATCH($A7,'Animal Register'!$A:$A,0)),"-"))</f>
        <v/>
      </c>
      <c r="E7" s="32"/>
    </row>
    <row r="8" customFormat="false" ht="15" hidden="false" customHeight="false" outlineLevel="0" collapsed="false">
      <c r="A8" s="50"/>
      <c r="B8" s="51"/>
      <c r="C8" s="62"/>
      <c r="D8" s="47" t="str">
        <f aca="false">IF($A8="","",IFERROR($B8-INDEX('Animal Register'!$F:$F,MATCH($A8,'Animal Register'!$A:$A,0)),"-"))</f>
        <v/>
      </c>
      <c r="E8" s="32"/>
    </row>
    <row r="9" customFormat="false" ht="15" hidden="false" customHeight="false" outlineLevel="0" collapsed="false">
      <c r="A9" s="50"/>
      <c r="B9" s="51"/>
      <c r="C9" s="62"/>
      <c r="D9" s="47" t="str">
        <f aca="false">IF($A9="","",IFERROR($B9-INDEX('Animal Register'!$F:$F,MATCH($A9,'Animal Register'!$A:$A,0)),"-"))</f>
        <v/>
      </c>
      <c r="E9" s="32"/>
    </row>
    <row r="10" customFormat="false" ht="15" hidden="false" customHeight="false" outlineLevel="0" collapsed="false">
      <c r="A10" s="50"/>
      <c r="B10" s="51"/>
      <c r="C10" s="62"/>
      <c r="D10" s="47" t="str">
        <f aca="false">IF($A10="","",IFERROR($B10-INDEX('Animal Register'!$F:$F,MATCH($A10,'Animal Register'!$A:$A,0)),"-"))</f>
        <v/>
      </c>
      <c r="E10" s="32"/>
    </row>
    <row r="11" customFormat="false" ht="15" hidden="false" customHeight="false" outlineLevel="0" collapsed="false">
      <c r="A11" s="50"/>
      <c r="B11" s="51"/>
      <c r="C11" s="62"/>
      <c r="D11" s="47" t="str">
        <f aca="false">IF($A11="","",IFERROR($B11-INDEX('Animal Register'!$F:$F,MATCH($A11,'Animal Register'!$A:$A,0)),"-"))</f>
        <v/>
      </c>
      <c r="E11" s="32"/>
    </row>
    <row r="12" customFormat="false" ht="15" hidden="false" customHeight="false" outlineLevel="0" collapsed="false">
      <c r="A12" s="50"/>
      <c r="B12" s="51"/>
      <c r="C12" s="62"/>
      <c r="D12" s="47" t="str">
        <f aca="false">IF($A12="","",IFERROR($B12-INDEX('Animal Register'!$F:$F,MATCH($A12,'Animal Register'!$A:$A,0)),"-"))</f>
        <v/>
      </c>
      <c r="E12" s="32"/>
    </row>
    <row r="13" customFormat="false" ht="15" hidden="false" customHeight="false" outlineLevel="0" collapsed="false">
      <c r="A13" s="50"/>
      <c r="B13" s="51"/>
      <c r="C13" s="62"/>
      <c r="D13" s="47" t="str">
        <f aca="false">IF($A13="","",IFERROR($B13-INDEX('Animal Register'!$F:$F,MATCH($A13,'Animal Register'!$A:$A,0)),"-"))</f>
        <v/>
      </c>
      <c r="E13" s="32"/>
    </row>
    <row r="14" customFormat="false" ht="15" hidden="false" customHeight="false" outlineLevel="0" collapsed="false">
      <c r="A14" s="50"/>
      <c r="B14" s="51"/>
      <c r="C14" s="62"/>
      <c r="D14" s="47" t="str">
        <f aca="false">IF($A14="","",IFERROR($B14-INDEX('Animal Register'!$F:$F,MATCH($A14,'Animal Register'!$A:$A,0)),"-"))</f>
        <v/>
      </c>
      <c r="E14" s="32"/>
    </row>
    <row r="15" customFormat="false" ht="15" hidden="false" customHeight="false" outlineLevel="0" collapsed="false">
      <c r="A15" s="50"/>
      <c r="B15" s="51"/>
      <c r="C15" s="62"/>
      <c r="D15" s="47" t="str">
        <f aca="false">IF($A15="","",IFERROR($B15-INDEX('Animal Register'!$F:$F,MATCH($A15,'Animal Register'!$A:$A,0)),"-"))</f>
        <v/>
      </c>
      <c r="E15" s="32"/>
    </row>
    <row r="16" customFormat="false" ht="15" hidden="false" customHeight="false" outlineLevel="0" collapsed="false">
      <c r="A16" s="50"/>
      <c r="B16" s="51"/>
      <c r="C16" s="62"/>
      <c r="D16" s="47" t="str">
        <f aca="false">IF($A16="","",IFERROR($B16-INDEX('Animal Register'!$F:$F,MATCH($A16,'Animal Register'!$A:$A,0)),"-"))</f>
        <v/>
      </c>
      <c r="E16" s="32"/>
    </row>
    <row r="17" customFormat="false" ht="15" hidden="false" customHeight="false" outlineLevel="0" collapsed="false">
      <c r="A17" s="50"/>
      <c r="B17" s="51"/>
      <c r="C17" s="62"/>
      <c r="D17" s="47" t="str">
        <f aca="false">IF($A17="","",IFERROR($B17-INDEX('Animal Register'!$F:$F,MATCH($A17,'Animal Register'!$A:$A,0)),"-"))</f>
        <v/>
      </c>
      <c r="E17" s="32"/>
    </row>
    <row r="18" customFormat="false" ht="15" hidden="false" customHeight="false" outlineLevel="0" collapsed="false">
      <c r="A18" s="50"/>
      <c r="B18" s="51"/>
      <c r="C18" s="62"/>
      <c r="D18" s="47" t="str">
        <f aca="false">IF($A18="","",IFERROR($B18-INDEX('Animal Register'!$F:$F,MATCH($A18,'Animal Register'!$A:$A,0)),"-"))</f>
        <v/>
      </c>
      <c r="E18" s="32"/>
    </row>
    <row r="19" customFormat="false" ht="15" hidden="false" customHeight="false" outlineLevel="0" collapsed="false">
      <c r="A19" s="50"/>
      <c r="B19" s="51"/>
      <c r="C19" s="62"/>
      <c r="D19" s="47" t="str">
        <f aca="false">IF($A19="","",IFERROR($B19-INDEX('Animal Register'!$F:$F,MATCH($A19,'Animal Register'!$A:$A,0)),"-"))</f>
        <v/>
      </c>
      <c r="E19" s="32"/>
    </row>
    <row r="20" customFormat="false" ht="15" hidden="false" customHeight="false" outlineLevel="0" collapsed="false">
      <c r="A20" s="50"/>
      <c r="B20" s="51"/>
      <c r="C20" s="62"/>
      <c r="D20" s="47" t="str">
        <f aca="false">IF($A20="","",IFERROR($B20-INDEX('Animal Register'!$F:$F,MATCH($A20,'Animal Register'!$A:$A,0)),"-"))</f>
        <v/>
      </c>
      <c r="E20" s="32"/>
    </row>
    <row r="21" customFormat="false" ht="15" hidden="false" customHeight="false" outlineLevel="0" collapsed="false">
      <c r="A21" s="50"/>
      <c r="B21" s="51"/>
      <c r="C21" s="62"/>
      <c r="D21" s="47" t="str">
        <f aca="false">IF($A21="","",IFERROR($B21-INDEX('Animal Register'!$F:$F,MATCH($A21,'Animal Register'!$A:$A,0)),"-"))</f>
        <v/>
      </c>
      <c r="E21" s="32"/>
    </row>
    <row r="22" customFormat="false" ht="15" hidden="false" customHeight="false" outlineLevel="0" collapsed="false">
      <c r="A22" s="50"/>
      <c r="B22" s="51"/>
      <c r="C22" s="62"/>
      <c r="D22" s="47" t="str">
        <f aca="false">IF($A22="","",IFERROR($B22-INDEX('Animal Register'!$F:$F,MATCH($A22,'Animal Register'!$A:$A,0)),"-"))</f>
        <v/>
      </c>
      <c r="E22" s="32"/>
    </row>
    <row r="23" customFormat="false" ht="15" hidden="false" customHeight="false" outlineLevel="0" collapsed="false">
      <c r="A23" s="50"/>
      <c r="B23" s="51"/>
      <c r="C23" s="62"/>
      <c r="D23" s="47" t="str">
        <f aca="false">IF($A23="","",IFERROR($B23-INDEX('Animal Register'!$F:$F,MATCH($A23,'Animal Register'!$A:$A,0)),"-"))</f>
        <v/>
      </c>
      <c r="E23" s="32"/>
    </row>
    <row r="24" customFormat="false" ht="15" hidden="false" customHeight="false" outlineLevel="0" collapsed="false">
      <c r="A24" s="50"/>
      <c r="B24" s="51"/>
      <c r="C24" s="62"/>
      <c r="D24" s="47" t="str">
        <f aca="false">IF($A24="","",IFERROR($B24-INDEX('Animal Register'!$F:$F,MATCH($A24,'Animal Register'!$A:$A,0)),"-"))</f>
        <v/>
      </c>
      <c r="E24" s="32"/>
    </row>
    <row r="25" customFormat="false" ht="15" hidden="false" customHeight="false" outlineLevel="0" collapsed="false">
      <c r="A25" s="50"/>
      <c r="B25" s="51"/>
      <c r="C25" s="62"/>
      <c r="D25" s="47" t="str">
        <f aca="false">IF($A25="","",IFERROR($B25-INDEX('Animal Register'!$F:$F,MATCH($A25,'Animal Register'!$A:$A,0)),"-"))</f>
        <v/>
      </c>
      <c r="E25" s="32"/>
    </row>
    <row r="26" customFormat="false" ht="15" hidden="false" customHeight="false" outlineLevel="0" collapsed="false">
      <c r="A26" s="50"/>
      <c r="B26" s="51"/>
      <c r="C26" s="62"/>
      <c r="D26" s="47" t="str">
        <f aca="false">IF($A26="","",IFERROR($B26-INDEX('Animal Register'!$F:$F,MATCH($A26,'Animal Register'!$A:$A,0)),"-"))</f>
        <v/>
      </c>
      <c r="E26" s="32"/>
    </row>
    <row r="27" customFormat="false" ht="15" hidden="false" customHeight="false" outlineLevel="0" collapsed="false">
      <c r="A27" s="50"/>
      <c r="B27" s="51"/>
      <c r="C27" s="62"/>
      <c r="D27" s="47" t="str">
        <f aca="false">IF($A27="","",IFERROR($B27-INDEX('Animal Register'!$F:$F,MATCH($A27,'Animal Register'!$A:$A,0)),"-"))</f>
        <v/>
      </c>
      <c r="E27" s="32"/>
    </row>
    <row r="28" customFormat="false" ht="15" hidden="false" customHeight="false" outlineLevel="0" collapsed="false">
      <c r="A28" s="50"/>
      <c r="B28" s="51"/>
      <c r="C28" s="62"/>
      <c r="D28" s="47" t="str">
        <f aca="false">IF($A28="","",IFERROR($B28-INDEX('Animal Register'!$F:$F,MATCH($A28,'Animal Register'!$A:$A,0)),"-"))</f>
        <v/>
      </c>
      <c r="E28" s="32"/>
    </row>
    <row r="29" customFormat="false" ht="15" hidden="false" customHeight="false" outlineLevel="0" collapsed="false">
      <c r="A29" s="50"/>
      <c r="B29" s="51"/>
      <c r="C29" s="62"/>
      <c r="D29" s="47" t="str">
        <f aca="false">IF($A29="","",IFERROR($B29-INDEX('Animal Register'!$F:$F,MATCH($A29,'Animal Register'!$A:$A,0)),"-"))</f>
        <v/>
      </c>
      <c r="E29" s="32"/>
    </row>
    <row r="30" customFormat="false" ht="15" hidden="false" customHeight="false" outlineLevel="0" collapsed="false">
      <c r="A30" s="50"/>
      <c r="B30" s="51"/>
      <c r="C30" s="62"/>
      <c r="D30" s="47" t="str">
        <f aca="false">IF($A30="","",IFERROR($B30-INDEX('Animal Register'!$F:$F,MATCH($A30,'Animal Register'!$A:$A,0)),"-"))</f>
        <v/>
      </c>
      <c r="E30" s="32"/>
    </row>
    <row r="31" customFormat="false" ht="15" hidden="false" customHeight="false" outlineLevel="0" collapsed="false">
      <c r="A31" s="50"/>
      <c r="B31" s="51"/>
      <c r="C31" s="62"/>
      <c r="D31" s="47" t="str">
        <f aca="false">IF($A31="","",IFERROR($B31-INDEX('Animal Register'!$F:$F,MATCH($A31,'Animal Register'!$A:$A,0)),"-"))</f>
        <v/>
      </c>
      <c r="E31" s="32"/>
    </row>
    <row r="32" customFormat="false" ht="15" hidden="false" customHeight="false" outlineLevel="0" collapsed="false">
      <c r="A32" s="50"/>
      <c r="B32" s="51"/>
      <c r="C32" s="62"/>
      <c r="D32" s="47" t="str">
        <f aca="false">IF($A32="","",IFERROR($B32-INDEX('Animal Register'!$F:$F,MATCH($A32,'Animal Register'!$A:$A,0)),"-"))</f>
        <v/>
      </c>
      <c r="E32" s="32"/>
    </row>
    <row r="33" customFormat="false" ht="15" hidden="false" customHeight="false" outlineLevel="0" collapsed="false">
      <c r="A33" s="50"/>
      <c r="B33" s="51"/>
      <c r="C33" s="62"/>
      <c r="D33" s="47" t="str">
        <f aca="false">IF($A33="","",IFERROR($B33-INDEX('Animal Register'!$F:$F,MATCH($A33,'Animal Register'!$A:$A,0)),"-"))</f>
        <v/>
      </c>
      <c r="E33" s="32"/>
    </row>
    <row r="34" customFormat="false" ht="15" hidden="false" customHeight="false" outlineLevel="0" collapsed="false">
      <c r="A34" s="50"/>
      <c r="B34" s="51"/>
      <c r="C34" s="62"/>
      <c r="D34" s="47" t="str">
        <f aca="false">IF($A34="","",IFERROR($B34-INDEX('Animal Register'!$F:$F,MATCH($A34,'Animal Register'!$A:$A,0)),"-"))</f>
        <v/>
      </c>
      <c r="E34" s="32"/>
    </row>
    <row r="35" customFormat="false" ht="15" hidden="false" customHeight="false" outlineLevel="0" collapsed="false">
      <c r="A35" s="50"/>
      <c r="B35" s="51"/>
      <c r="C35" s="62"/>
      <c r="D35" s="47" t="str">
        <f aca="false">IF($A35="","",IFERROR($B35-INDEX('Animal Register'!$F:$F,MATCH($A35,'Animal Register'!$A:$A,0)),"-"))</f>
        <v/>
      </c>
      <c r="E35" s="32"/>
    </row>
    <row r="36" customFormat="false" ht="15" hidden="false" customHeight="false" outlineLevel="0" collapsed="false">
      <c r="A36" s="50"/>
      <c r="B36" s="51"/>
      <c r="C36" s="62"/>
      <c r="D36" s="47" t="str">
        <f aca="false">IF($A36="","",IFERROR($B36-INDEX('Animal Register'!$F:$F,MATCH($A36,'Animal Register'!$A:$A,0)),"-"))</f>
        <v/>
      </c>
      <c r="E36" s="32"/>
    </row>
    <row r="37" customFormat="false" ht="15" hidden="false" customHeight="false" outlineLevel="0" collapsed="false">
      <c r="A37" s="50"/>
      <c r="B37" s="51"/>
      <c r="C37" s="62"/>
      <c r="D37" s="47" t="str">
        <f aca="false">IF($A37="","",IFERROR($B37-INDEX('Animal Register'!$F:$F,MATCH($A37,'Animal Register'!$A:$A,0)),"-"))</f>
        <v/>
      </c>
      <c r="E37" s="32"/>
    </row>
    <row r="38" customFormat="false" ht="15" hidden="false" customHeight="false" outlineLevel="0" collapsed="false">
      <c r="A38" s="50"/>
      <c r="B38" s="51"/>
      <c r="C38" s="62"/>
      <c r="D38" s="47" t="str">
        <f aca="false">IF($A38="","",IFERROR($B38-INDEX('Animal Register'!$F:$F,MATCH($A38,'Animal Register'!$A:$A,0)),"-"))</f>
        <v/>
      </c>
      <c r="E38" s="32"/>
    </row>
    <row r="39" customFormat="false" ht="15" hidden="false" customHeight="false" outlineLevel="0" collapsed="false">
      <c r="A39" s="50"/>
      <c r="B39" s="51"/>
      <c r="C39" s="62"/>
      <c r="D39" s="47" t="str">
        <f aca="false">IF($A39="","",IFERROR($B39-INDEX('Animal Register'!$F:$F,MATCH($A39,'Animal Register'!$A:$A,0)),"-"))</f>
        <v/>
      </c>
      <c r="E39" s="32"/>
    </row>
    <row r="40" customFormat="false" ht="15" hidden="false" customHeight="false" outlineLevel="0" collapsed="false">
      <c r="A40" s="50"/>
      <c r="B40" s="51"/>
      <c r="C40" s="62"/>
      <c r="D40" s="47" t="str">
        <f aca="false">IF($A40="","",IFERROR($B40-INDEX('Animal Register'!$F:$F,MATCH($A40,'Animal Register'!$A:$A,0)),"-"))</f>
        <v/>
      </c>
      <c r="E40" s="32"/>
    </row>
    <row r="41" customFormat="false" ht="15" hidden="false" customHeight="false" outlineLevel="0" collapsed="false">
      <c r="A41" s="50"/>
      <c r="B41" s="51"/>
      <c r="C41" s="62"/>
      <c r="D41" s="47" t="str">
        <f aca="false">IF($A41="","",IFERROR($B41-INDEX('Animal Register'!$F:$F,MATCH($A41,'Animal Register'!$A:$A,0)),"-"))</f>
        <v/>
      </c>
      <c r="E41" s="32"/>
    </row>
    <row r="42" customFormat="false" ht="15" hidden="false" customHeight="false" outlineLevel="0" collapsed="false">
      <c r="A42" s="50"/>
      <c r="B42" s="51"/>
      <c r="C42" s="62"/>
      <c r="D42" s="47" t="str">
        <f aca="false">IF($A42="","",IFERROR($B42-INDEX('Animal Register'!$F:$F,MATCH($A42,'Animal Register'!$A:$A,0)),"-"))</f>
        <v/>
      </c>
      <c r="E42" s="32"/>
    </row>
    <row r="43" customFormat="false" ht="15" hidden="false" customHeight="false" outlineLevel="0" collapsed="false">
      <c r="A43" s="50"/>
      <c r="B43" s="51"/>
      <c r="C43" s="62"/>
      <c r="D43" s="47" t="str">
        <f aca="false">IF($A43="","",IFERROR($B43-INDEX('Animal Register'!$F:$F,MATCH($A43,'Animal Register'!$A:$A,0)),"-"))</f>
        <v/>
      </c>
      <c r="E43" s="32"/>
    </row>
    <row r="44" customFormat="false" ht="15" hidden="false" customHeight="false" outlineLevel="0" collapsed="false">
      <c r="A44" s="50"/>
      <c r="B44" s="51"/>
      <c r="C44" s="62"/>
      <c r="D44" s="47" t="str">
        <f aca="false">IF($A44="","",IFERROR($B44-INDEX('Animal Register'!$F:$F,MATCH($A44,'Animal Register'!$A:$A,0)),"-"))</f>
        <v/>
      </c>
      <c r="E44" s="32"/>
    </row>
    <row r="45" customFormat="false" ht="15" hidden="false" customHeight="false" outlineLevel="0" collapsed="false">
      <c r="A45" s="50"/>
      <c r="B45" s="51"/>
      <c r="C45" s="62"/>
      <c r="D45" s="47" t="str">
        <f aca="false">IF($A45="","",IFERROR($B45-INDEX('Animal Register'!$F:$F,MATCH($A45,'Animal Register'!$A:$A,0)),"-"))</f>
        <v/>
      </c>
      <c r="E45" s="32"/>
    </row>
    <row r="46" customFormat="false" ht="15" hidden="false" customHeight="false" outlineLevel="0" collapsed="false">
      <c r="A46" s="50"/>
      <c r="B46" s="51"/>
      <c r="C46" s="62"/>
      <c r="D46" s="47" t="str">
        <f aca="false">IF($A46="","",IFERROR($B46-INDEX('Animal Register'!$F:$F,MATCH($A46,'Animal Register'!$A:$A,0)),"-"))</f>
        <v/>
      </c>
      <c r="E46" s="32"/>
    </row>
    <row r="47" customFormat="false" ht="15" hidden="false" customHeight="false" outlineLevel="0" collapsed="false">
      <c r="A47" s="50"/>
      <c r="B47" s="51"/>
      <c r="C47" s="62"/>
      <c r="D47" s="47" t="str">
        <f aca="false">IF($A47="","",IFERROR($B47-INDEX('Animal Register'!$F:$F,MATCH($A47,'Animal Register'!$A:$A,0)),"-"))</f>
        <v/>
      </c>
      <c r="E47" s="32"/>
    </row>
    <row r="48" customFormat="false" ht="15" hidden="false" customHeight="false" outlineLevel="0" collapsed="false">
      <c r="A48" s="50"/>
      <c r="B48" s="51"/>
      <c r="C48" s="62"/>
      <c r="D48" s="47" t="str">
        <f aca="false">IF($A48="","",IFERROR($B48-INDEX('Animal Register'!$F:$F,MATCH($A48,'Animal Register'!$A:$A,0)),"-"))</f>
        <v/>
      </c>
      <c r="E48" s="32"/>
    </row>
    <row r="49" customFormat="false" ht="15" hidden="false" customHeight="false" outlineLevel="0" collapsed="false">
      <c r="A49" s="50"/>
      <c r="B49" s="51"/>
      <c r="C49" s="62"/>
      <c r="D49" s="47" t="str">
        <f aca="false">IF($A49="","",IFERROR($B49-INDEX('Animal Register'!$F:$F,MATCH($A49,'Animal Register'!$A:$A,0)),"-"))</f>
        <v/>
      </c>
      <c r="E49" s="32"/>
    </row>
    <row r="50" customFormat="false" ht="15" hidden="false" customHeight="false" outlineLevel="0" collapsed="false">
      <c r="A50" s="50"/>
      <c r="B50" s="51"/>
      <c r="C50" s="62"/>
      <c r="D50" s="47" t="str">
        <f aca="false">IF($A50="","",IFERROR($B50-INDEX('Animal Register'!$F:$F,MATCH($A50,'Animal Register'!$A:$A,0)),"-"))</f>
        <v/>
      </c>
      <c r="E50" s="32"/>
    </row>
    <row r="51" customFormat="false" ht="15" hidden="false" customHeight="false" outlineLevel="0" collapsed="false">
      <c r="A51" s="50"/>
      <c r="B51" s="51"/>
      <c r="C51" s="62"/>
      <c r="D51" s="47" t="str">
        <f aca="false">IF($A51="","",IFERROR($B51-INDEX('Animal Register'!$F:$F,MATCH($A51,'Animal Register'!$A:$A,0)),"-"))</f>
        <v/>
      </c>
      <c r="E51" s="32"/>
    </row>
    <row r="52" customFormat="false" ht="15" hidden="false" customHeight="false" outlineLevel="0" collapsed="false">
      <c r="A52" s="50"/>
      <c r="B52" s="51"/>
      <c r="C52" s="62"/>
      <c r="D52" s="47" t="str">
        <f aca="false">IF($A52="","",IFERROR($B52-INDEX('Animal Register'!$F:$F,MATCH($A52,'Animal Register'!$A:$A,0)),"-"))</f>
        <v/>
      </c>
      <c r="E52" s="32"/>
    </row>
    <row r="53" customFormat="false" ht="15" hidden="false" customHeight="false" outlineLevel="0" collapsed="false">
      <c r="A53" s="50"/>
      <c r="B53" s="51"/>
      <c r="C53" s="62"/>
      <c r="D53" s="47" t="str">
        <f aca="false">IF($A53="","",IFERROR($B53-INDEX('Animal Register'!$F:$F,MATCH($A53,'Animal Register'!$A:$A,0)),"-"))</f>
        <v/>
      </c>
      <c r="E53" s="32"/>
    </row>
    <row r="54" customFormat="false" ht="15" hidden="false" customHeight="false" outlineLevel="0" collapsed="false">
      <c r="A54" s="50"/>
      <c r="B54" s="51"/>
      <c r="C54" s="62"/>
      <c r="D54" s="47" t="str">
        <f aca="false">IF($A54="","",IFERROR($B54-INDEX('Animal Register'!$F:$F,MATCH($A54,'Animal Register'!$A:$A,0)),"-"))</f>
        <v/>
      </c>
      <c r="E54" s="32"/>
    </row>
    <row r="55" customFormat="false" ht="15" hidden="false" customHeight="false" outlineLevel="0" collapsed="false">
      <c r="A55" s="50"/>
      <c r="B55" s="51"/>
      <c r="C55" s="62"/>
      <c r="D55" s="47" t="str">
        <f aca="false">IF($A55="","",IFERROR($B55-INDEX('Animal Register'!$F:$F,MATCH($A55,'Animal Register'!$A:$A,0)),"-"))</f>
        <v/>
      </c>
      <c r="E55" s="32"/>
    </row>
    <row r="56" customFormat="false" ht="15" hidden="false" customHeight="false" outlineLevel="0" collapsed="false">
      <c r="A56" s="50"/>
      <c r="B56" s="51"/>
      <c r="C56" s="62"/>
      <c r="D56" s="47" t="str">
        <f aca="false">IF($A56="","",IFERROR($B56-INDEX('Animal Register'!$F:$F,MATCH($A56,'Animal Register'!$A:$A,0)),"-"))</f>
        <v/>
      </c>
      <c r="E56" s="32"/>
    </row>
    <row r="57" customFormat="false" ht="15" hidden="false" customHeight="false" outlineLevel="0" collapsed="false">
      <c r="A57" s="50"/>
      <c r="B57" s="51"/>
      <c r="C57" s="62"/>
      <c r="D57" s="47" t="str">
        <f aca="false">IF($A57="","",IFERROR($B57-INDEX('Animal Register'!$F:$F,MATCH($A57,'Animal Register'!$A:$A,0)),"-"))</f>
        <v/>
      </c>
      <c r="E57" s="32"/>
    </row>
    <row r="58" customFormat="false" ht="15" hidden="false" customHeight="false" outlineLevel="0" collapsed="false">
      <c r="A58" s="50"/>
      <c r="B58" s="51"/>
      <c r="C58" s="62"/>
      <c r="D58" s="47" t="str">
        <f aca="false">IF($A58="","",IFERROR($B58-INDEX('Animal Register'!$F:$F,MATCH($A58,'Animal Register'!$A:$A,0)),"-"))</f>
        <v/>
      </c>
      <c r="E58" s="32"/>
    </row>
    <row r="59" customFormat="false" ht="15" hidden="false" customHeight="false" outlineLevel="0" collapsed="false">
      <c r="A59" s="50"/>
      <c r="B59" s="51"/>
      <c r="C59" s="62"/>
      <c r="D59" s="47" t="str">
        <f aca="false">IF($A59="","",IFERROR($B59-INDEX('Animal Register'!$F:$F,MATCH($A59,'Animal Register'!$A:$A,0)),"-"))</f>
        <v/>
      </c>
      <c r="E59" s="32"/>
    </row>
    <row r="60" customFormat="false" ht="15" hidden="false" customHeight="false" outlineLevel="0" collapsed="false">
      <c r="A60" s="50"/>
      <c r="B60" s="51"/>
      <c r="C60" s="62"/>
      <c r="D60" s="47" t="str">
        <f aca="false">IF($A60="","",IFERROR($B60-INDEX('Animal Register'!$F:$F,MATCH($A60,'Animal Register'!$A:$A,0)),"-"))</f>
        <v/>
      </c>
      <c r="E60" s="32"/>
    </row>
    <row r="61" customFormat="false" ht="15" hidden="false" customHeight="false" outlineLevel="0" collapsed="false">
      <c r="A61" s="50"/>
      <c r="B61" s="51"/>
      <c r="C61" s="62"/>
      <c r="D61" s="47" t="str">
        <f aca="false">IF($A61="","",IFERROR($B61-INDEX('Animal Register'!$F:$F,MATCH($A61,'Animal Register'!$A:$A,0)),"-"))</f>
        <v/>
      </c>
      <c r="E61" s="32"/>
    </row>
    <row r="62" customFormat="false" ht="15" hidden="false" customHeight="false" outlineLevel="0" collapsed="false">
      <c r="A62" s="50"/>
      <c r="B62" s="51"/>
      <c r="C62" s="62"/>
      <c r="D62" s="47" t="str">
        <f aca="false">IF($A62="","",IFERROR($B62-INDEX('Animal Register'!$F:$F,MATCH($A62,'Animal Register'!$A:$A,0)),"-"))</f>
        <v/>
      </c>
      <c r="E62" s="32"/>
    </row>
    <row r="63" customFormat="false" ht="15" hidden="false" customHeight="false" outlineLevel="0" collapsed="false">
      <c r="A63" s="50"/>
      <c r="B63" s="51"/>
      <c r="C63" s="62"/>
      <c r="D63" s="47" t="str">
        <f aca="false">IF($A63="","",IFERROR($B63-INDEX('Animal Register'!$F:$F,MATCH($A63,'Animal Register'!$A:$A,0)),"-"))</f>
        <v/>
      </c>
      <c r="E63" s="32"/>
    </row>
    <row r="64" customFormat="false" ht="15" hidden="false" customHeight="false" outlineLevel="0" collapsed="false">
      <c r="A64" s="50"/>
      <c r="B64" s="51"/>
      <c r="C64" s="62"/>
      <c r="D64" s="47" t="str">
        <f aca="false">IF($A64="","",IFERROR($B64-INDEX('Animal Register'!$F:$F,MATCH($A64,'Animal Register'!$A:$A,0)),"-"))</f>
        <v/>
      </c>
      <c r="E64" s="32"/>
    </row>
    <row r="65" customFormat="false" ht="15" hidden="false" customHeight="false" outlineLevel="0" collapsed="false">
      <c r="A65" s="50"/>
      <c r="B65" s="51"/>
      <c r="C65" s="62"/>
      <c r="D65" s="47" t="str">
        <f aca="false">IF($A65="","",IFERROR($B65-INDEX('Animal Register'!$F:$F,MATCH($A65,'Animal Register'!$A:$A,0)),"-"))</f>
        <v/>
      </c>
      <c r="E65" s="32"/>
    </row>
    <row r="66" customFormat="false" ht="15" hidden="false" customHeight="false" outlineLevel="0" collapsed="false">
      <c r="A66" s="50"/>
      <c r="B66" s="51"/>
      <c r="C66" s="62"/>
      <c r="D66" s="47" t="str">
        <f aca="false">IF($A66="","",IFERROR($B66-INDEX('Animal Register'!$F:$F,MATCH($A66,'Animal Register'!$A:$A,0)),"-"))</f>
        <v/>
      </c>
      <c r="E66" s="32"/>
    </row>
    <row r="67" customFormat="false" ht="15" hidden="false" customHeight="false" outlineLevel="0" collapsed="false">
      <c r="A67" s="50"/>
      <c r="B67" s="51"/>
      <c r="C67" s="62"/>
      <c r="D67" s="47" t="str">
        <f aca="false">IF($A67="","",IFERROR($B67-INDEX('Animal Register'!$F:$F,MATCH($A67,'Animal Register'!$A:$A,0)),"-"))</f>
        <v/>
      </c>
      <c r="E67" s="32"/>
    </row>
    <row r="68" customFormat="false" ht="15" hidden="false" customHeight="false" outlineLevel="0" collapsed="false">
      <c r="A68" s="50"/>
      <c r="B68" s="51"/>
      <c r="C68" s="62"/>
      <c r="D68" s="47" t="str">
        <f aca="false">IF($A68="","",IFERROR($B68-INDEX('Animal Register'!$F:$F,MATCH($A68,'Animal Register'!$A:$A,0)),"-"))</f>
        <v/>
      </c>
      <c r="E68" s="32"/>
    </row>
    <row r="69" customFormat="false" ht="15" hidden="false" customHeight="false" outlineLevel="0" collapsed="false">
      <c r="A69" s="50"/>
      <c r="B69" s="51"/>
      <c r="C69" s="62"/>
      <c r="D69" s="47" t="str">
        <f aca="false">IF($A69="","",IFERROR($B69-INDEX('Animal Register'!$F:$F,MATCH($A69,'Animal Register'!$A:$A,0)),"-"))</f>
        <v/>
      </c>
      <c r="E69" s="32"/>
    </row>
    <row r="70" customFormat="false" ht="15" hidden="false" customHeight="false" outlineLevel="0" collapsed="false">
      <c r="A70" s="50"/>
      <c r="B70" s="51"/>
      <c r="C70" s="62"/>
      <c r="D70" s="47" t="str">
        <f aca="false">IF($A70="","",IFERROR($B70-INDEX('Animal Register'!$F:$F,MATCH($A70,'Animal Register'!$A:$A,0)),"-"))</f>
        <v/>
      </c>
      <c r="E70" s="32"/>
    </row>
    <row r="71" customFormat="false" ht="15" hidden="false" customHeight="false" outlineLevel="0" collapsed="false">
      <c r="A71" s="50"/>
      <c r="B71" s="51"/>
      <c r="C71" s="62"/>
      <c r="D71" s="47" t="str">
        <f aca="false">IF($A71="","",IFERROR($B71-INDEX('Animal Register'!$F:$F,MATCH($A71,'Animal Register'!$A:$A,0)),"-"))</f>
        <v/>
      </c>
      <c r="E71" s="32"/>
    </row>
    <row r="72" customFormat="false" ht="15" hidden="false" customHeight="false" outlineLevel="0" collapsed="false">
      <c r="A72" s="50"/>
      <c r="B72" s="51"/>
      <c r="C72" s="62"/>
      <c r="D72" s="47" t="str">
        <f aca="false">IF($A72="","",IFERROR($B72-INDEX('Animal Register'!$F:$F,MATCH($A72,'Animal Register'!$A:$A,0)),"-"))</f>
        <v/>
      </c>
      <c r="E72" s="32"/>
    </row>
    <row r="73" customFormat="false" ht="15" hidden="false" customHeight="false" outlineLevel="0" collapsed="false">
      <c r="A73" s="50"/>
      <c r="B73" s="51"/>
      <c r="C73" s="62"/>
      <c r="D73" s="47" t="str">
        <f aca="false">IF($A73="","",IFERROR($B73-INDEX('Animal Register'!$F:$F,MATCH($A73,'Animal Register'!$A:$A,0)),"-"))</f>
        <v/>
      </c>
      <c r="E73" s="32"/>
    </row>
    <row r="74" customFormat="false" ht="15" hidden="false" customHeight="false" outlineLevel="0" collapsed="false">
      <c r="A74" s="50"/>
      <c r="B74" s="51"/>
      <c r="C74" s="62"/>
      <c r="D74" s="47" t="str">
        <f aca="false">IF($A74="","",IFERROR($B74-INDEX('Animal Register'!$F:$F,MATCH($A74,'Animal Register'!$A:$A,0)),"-"))</f>
        <v/>
      </c>
      <c r="E74" s="32"/>
    </row>
    <row r="75" customFormat="false" ht="15" hidden="false" customHeight="false" outlineLevel="0" collapsed="false">
      <c r="A75" s="50"/>
      <c r="B75" s="51"/>
      <c r="C75" s="62"/>
      <c r="D75" s="47" t="str">
        <f aca="false">IF($A75="","",IFERROR($B75-INDEX('Animal Register'!$F:$F,MATCH($A75,'Animal Register'!$A:$A,0)),"-"))</f>
        <v/>
      </c>
      <c r="E75" s="32"/>
    </row>
    <row r="76" customFormat="false" ht="15" hidden="false" customHeight="false" outlineLevel="0" collapsed="false">
      <c r="A76" s="50"/>
      <c r="B76" s="51"/>
      <c r="C76" s="62"/>
      <c r="D76" s="47" t="str">
        <f aca="false">IF($A76="","",IFERROR($B76-INDEX('Animal Register'!$F:$F,MATCH($A76,'Animal Register'!$A:$A,0)),"-"))</f>
        <v/>
      </c>
      <c r="E76" s="32"/>
    </row>
    <row r="77" customFormat="false" ht="15" hidden="false" customHeight="false" outlineLevel="0" collapsed="false">
      <c r="A77" s="50"/>
      <c r="B77" s="51"/>
      <c r="C77" s="62"/>
      <c r="D77" s="47" t="str">
        <f aca="false">IF($A77="","",IFERROR($B77-INDEX('Animal Register'!$F:$F,MATCH($A77,'Animal Register'!$A:$A,0)),"-"))</f>
        <v/>
      </c>
      <c r="E77" s="32"/>
    </row>
    <row r="78" customFormat="false" ht="15" hidden="false" customHeight="false" outlineLevel="0" collapsed="false">
      <c r="A78" s="50"/>
      <c r="B78" s="51"/>
      <c r="C78" s="62"/>
      <c r="D78" s="47" t="str">
        <f aca="false">IF($A78="","",IFERROR($B78-INDEX('Animal Register'!$F:$F,MATCH($A78,'Animal Register'!$A:$A,0)),"-"))</f>
        <v/>
      </c>
      <c r="E78" s="32"/>
    </row>
    <row r="79" customFormat="false" ht="15" hidden="false" customHeight="false" outlineLevel="0" collapsed="false">
      <c r="A79" s="50"/>
      <c r="B79" s="51"/>
      <c r="C79" s="62"/>
      <c r="D79" s="47" t="str">
        <f aca="false">IF($A79="","",IFERROR($B79-INDEX('Animal Register'!$F:$F,MATCH($A79,'Animal Register'!$A:$A,0)),"-"))</f>
        <v/>
      </c>
      <c r="E79" s="32"/>
    </row>
    <row r="80" customFormat="false" ht="15" hidden="false" customHeight="false" outlineLevel="0" collapsed="false">
      <c r="A80" s="50"/>
      <c r="B80" s="51"/>
      <c r="C80" s="62"/>
      <c r="D80" s="47" t="str">
        <f aca="false">IF($A80="","",IFERROR($B80-INDEX('Animal Register'!$F:$F,MATCH($A80,'Animal Register'!$A:$A,0)),"-"))</f>
        <v/>
      </c>
      <c r="E80" s="32"/>
    </row>
    <row r="81" customFormat="false" ht="15" hidden="false" customHeight="false" outlineLevel="0" collapsed="false">
      <c r="A81" s="50"/>
      <c r="B81" s="51"/>
      <c r="C81" s="62"/>
      <c r="D81" s="47" t="str">
        <f aca="false">IF($A81="","",IFERROR($B81-INDEX('Animal Register'!$F:$F,MATCH($A81,'Animal Register'!$A:$A,0)),"-"))</f>
        <v/>
      </c>
      <c r="E81" s="32"/>
    </row>
    <row r="82" customFormat="false" ht="15" hidden="false" customHeight="false" outlineLevel="0" collapsed="false">
      <c r="A82" s="50"/>
      <c r="B82" s="51"/>
      <c r="C82" s="62"/>
      <c r="D82" s="47" t="str">
        <f aca="false">IF($A82="","",IFERROR($B82-INDEX('Animal Register'!$F:$F,MATCH($A82,'Animal Register'!$A:$A,0)),"-"))</f>
        <v/>
      </c>
      <c r="E82" s="32"/>
    </row>
    <row r="83" customFormat="false" ht="15" hidden="false" customHeight="false" outlineLevel="0" collapsed="false">
      <c r="A83" s="50"/>
      <c r="B83" s="51"/>
      <c r="C83" s="62"/>
      <c r="D83" s="47" t="str">
        <f aca="false">IF($A83="","",IFERROR($B83-INDEX('Animal Register'!$F:$F,MATCH($A83,'Animal Register'!$A:$A,0)),"-"))</f>
        <v/>
      </c>
      <c r="E83" s="32"/>
    </row>
    <row r="84" customFormat="false" ht="15" hidden="false" customHeight="false" outlineLevel="0" collapsed="false">
      <c r="A84" s="50"/>
      <c r="B84" s="51"/>
      <c r="C84" s="62"/>
      <c r="D84" s="47" t="str">
        <f aca="false">IF($A84="","",IFERROR($B84-INDEX('Animal Register'!$F:$F,MATCH($A84,'Animal Register'!$A:$A,0)),"-"))</f>
        <v/>
      </c>
      <c r="E84" s="32"/>
    </row>
    <row r="85" customFormat="false" ht="15" hidden="false" customHeight="false" outlineLevel="0" collapsed="false">
      <c r="A85" s="50"/>
      <c r="B85" s="51"/>
      <c r="C85" s="62"/>
      <c r="D85" s="47" t="str">
        <f aca="false">IF($A85="","",IFERROR($B85-INDEX('Animal Register'!$F:$F,MATCH($A85,'Animal Register'!$A:$A,0)),"-"))</f>
        <v/>
      </c>
      <c r="E85" s="32"/>
    </row>
    <row r="86" customFormat="false" ht="15" hidden="false" customHeight="false" outlineLevel="0" collapsed="false">
      <c r="A86" s="50"/>
      <c r="B86" s="51"/>
      <c r="C86" s="62"/>
      <c r="D86" s="47" t="str">
        <f aca="false">IF($A86="","",IFERROR($B86-INDEX('Animal Register'!$F:$F,MATCH($A86,'Animal Register'!$A:$A,0)),"-"))</f>
        <v/>
      </c>
      <c r="E86" s="32"/>
    </row>
    <row r="87" customFormat="false" ht="15" hidden="false" customHeight="false" outlineLevel="0" collapsed="false">
      <c r="A87" s="50"/>
      <c r="B87" s="51"/>
      <c r="C87" s="62"/>
      <c r="D87" s="47" t="str">
        <f aca="false">IF($A87="","",IFERROR($B87-INDEX('Animal Register'!$F:$F,MATCH($A87,'Animal Register'!$A:$A,0)),"-"))</f>
        <v/>
      </c>
      <c r="E87" s="32"/>
    </row>
    <row r="88" customFormat="false" ht="15" hidden="false" customHeight="false" outlineLevel="0" collapsed="false">
      <c r="A88" s="50"/>
      <c r="B88" s="51"/>
      <c r="C88" s="62"/>
      <c r="D88" s="47" t="str">
        <f aca="false">IF($A88="","",IFERROR($B88-INDEX('Animal Register'!$F:$F,MATCH($A88,'Animal Register'!$A:$A,0)),"-"))</f>
        <v/>
      </c>
      <c r="E88" s="32"/>
    </row>
    <row r="89" customFormat="false" ht="15" hidden="false" customHeight="false" outlineLevel="0" collapsed="false">
      <c r="A89" s="50"/>
      <c r="B89" s="51"/>
      <c r="C89" s="62"/>
      <c r="D89" s="47" t="str">
        <f aca="false">IF($A89="","",IFERROR($B89-INDEX('Animal Register'!$F:$F,MATCH($A89,'Animal Register'!$A:$A,0)),"-"))</f>
        <v/>
      </c>
      <c r="E89" s="32"/>
    </row>
    <row r="90" customFormat="false" ht="15" hidden="false" customHeight="false" outlineLevel="0" collapsed="false">
      <c r="A90" s="50"/>
      <c r="B90" s="51"/>
      <c r="C90" s="62"/>
      <c r="D90" s="47" t="str">
        <f aca="false">IF($A90="","",IFERROR($B90-INDEX('Animal Register'!$F:$F,MATCH($A90,'Animal Register'!$A:$A,0)),"-"))</f>
        <v/>
      </c>
      <c r="E90" s="32"/>
    </row>
    <row r="91" customFormat="false" ht="15" hidden="false" customHeight="false" outlineLevel="0" collapsed="false">
      <c r="A91" s="50"/>
      <c r="B91" s="51"/>
      <c r="C91" s="62"/>
      <c r="D91" s="47" t="str">
        <f aca="false">IF($A91="","",IFERROR($B91-INDEX('Animal Register'!$F:$F,MATCH($A91,'Animal Register'!$A:$A,0)),"-"))</f>
        <v/>
      </c>
      <c r="E91" s="32"/>
    </row>
    <row r="92" customFormat="false" ht="15" hidden="false" customHeight="false" outlineLevel="0" collapsed="false">
      <c r="A92" s="50"/>
      <c r="B92" s="51"/>
      <c r="C92" s="62"/>
      <c r="D92" s="47" t="str">
        <f aca="false">IF($A92="","",IFERROR($B92-INDEX('Animal Register'!$F:$F,MATCH($A92,'Animal Register'!$A:$A,0)),"-"))</f>
        <v/>
      </c>
      <c r="E92" s="32"/>
    </row>
    <row r="93" customFormat="false" ht="15" hidden="false" customHeight="false" outlineLevel="0" collapsed="false">
      <c r="A93" s="50"/>
      <c r="B93" s="51"/>
      <c r="C93" s="62"/>
      <c r="D93" s="47" t="str">
        <f aca="false">IF($A93="","",IFERROR($B93-INDEX('Animal Register'!$F:$F,MATCH($A93,'Animal Register'!$A:$A,0)),"-"))</f>
        <v/>
      </c>
      <c r="E93" s="32"/>
    </row>
    <row r="94" customFormat="false" ht="15" hidden="false" customHeight="false" outlineLevel="0" collapsed="false">
      <c r="A94" s="50"/>
      <c r="B94" s="51"/>
      <c r="C94" s="62"/>
      <c r="D94" s="47" t="str">
        <f aca="false">IF($A94="","",IFERROR($B94-INDEX('Animal Register'!$F:$F,MATCH($A94,'Animal Register'!$A:$A,0)),"-"))</f>
        <v/>
      </c>
      <c r="E94" s="32"/>
    </row>
    <row r="95" customFormat="false" ht="15" hidden="false" customHeight="false" outlineLevel="0" collapsed="false">
      <c r="A95" s="50"/>
      <c r="B95" s="51"/>
      <c r="C95" s="62"/>
      <c r="D95" s="47" t="str">
        <f aca="false">IF($A95="","",IFERROR($B95-INDEX('Animal Register'!$F:$F,MATCH($A95,'Animal Register'!$A:$A,0)),"-"))</f>
        <v/>
      </c>
      <c r="E95" s="32"/>
    </row>
    <row r="96" customFormat="false" ht="15" hidden="false" customHeight="false" outlineLevel="0" collapsed="false">
      <c r="A96" s="50"/>
      <c r="B96" s="51"/>
      <c r="C96" s="62"/>
      <c r="D96" s="47" t="str">
        <f aca="false">IF($A96="","",IFERROR($B96-INDEX('Animal Register'!$F:$F,MATCH($A96,'Animal Register'!$A:$A,0)),"-"))</f>
        <v/>
      </c>
      <c r="E96" s="32"/>
    </row>
    <row r="97" customFormat="false" ht="15" hidden="false" customHeight="false" outlineLevel="0" collapsed="false">
      <c r="A97" s="50"/>
      <c r="B97" s="51"/>
      <c r="C97" s="62"/>
      <c r="D97" s="47" t="str">
        <f aca="false">IF($A97="","",IFERROR($B97-INDEX('Animal Register'!$F:$F,MATCH($A97,'Animal Register'!$A:$A,0)),"-"))</f>
        <v/>
      </c>
      <c r="E97" s="32"/>
    </row>
    <row r="98" customFormat="false" ht="15" hidden="false" customHeight="false" outlineLevel="0" collapsed="false">
      <c r="A98" s="50"/>
      <c r="B98" s="51"/>
      <c r="C98" s="62"/>
      <c r="D98" s="47" t="str">
        <f aca="false">IF($A98="","",IFERROR($B98-INDEX('Animal Register'!$F:$F,MATCH($A98,'Animal Register'!$A:$A,0)),"-"))</f>
        <v/>
      </c>
      <c r="E98" s="32"/>
    </row>
    <row r="99" customFormat="false" ht="15" hidden="false" customHeight="false" outlineLevel="0" collapsed="false">
      <c r="A99" s="50"/>
      <c r="B99" s="51"/>
      <c r="C99" s="62"/>
      <c r="D99" s="47" t="str">
        <f aca="false">IF($A99="","",IFERROR($B99-INDEX('Animal Register'!$F:$F,MATCH($A99,'Animal Register'!$A:$A,0)),"-"))</f>
        <v/>
      </c>
      <c r="E99" s="32"/>
    </row>
    <row r="100" customFormat="false" ht="15" hidden="false" customHeight="false" outlineLevel="0" collapsed="false">
      <c r="A100" s="50"/>
      <c r="B100" s="51"/>
      <c r="C100" s="62"/>
      <c r="D100" s="47" t="str">
        <f aca="false">IF($A100="","",IFERROR($B100-INDEX('Animal Register'!$F:$F,MATCH($A100,'Animal Register'!$A:$A,0)),"-"))</f>
        <v/>
      </c>
      <c r="E100" s="32"/>
    </row>
    <row r="101" customFormat="false" ht="15" hidden="false" customHeight="false" outlineLevel="0" collapsed="false">
      <c r="A101" s="50"/>
      <c r="B101" s="51"/>
      <c r="C101" s="62"/>
      <c r="D101" s="47" t="str">
        <f aca="false">IF($A101="","",IFERROR($B101-INDEX('Animal Register'!$F:$F,MATCH($A101,'Animal Register'!$A:$A,0)),"-"))</f>
        <v/>
      </c>
      <c r="E101" s="32"/>
    </row>
    <row r="102" customFormat="false" ht="15" hidden="false" customHeight="false" outlineLevel="0" collapsed="false">
      <c r="A102" s="50"/>
      <c r="B102" s="51"/>
      <c r="C102" s="62"/>
      <c r="D102" s="47" t="str">
        <f aca="false">IF($A102="","",IFERROR($B102-INDEX('Animal Register'!$F:$F,MATCH($A102,'Animal Register'!$A:$A,0)),"-"))</f>
        <v/>
      </c>
      <c r="E102" s="32"/>
    </row>
    <row r="103" customFormat="false" ht="15" hidden="false" customHeight="false" outlineLevel="0" collapsed="false">
      <c r="A103" s="50"/>
      <c r="B103" s="51"/>
      <c r="C103" s="62"/>
      <c r="D103" s="47" t="str">
        <f aca="false">IF($A103="","",IFERROR($B103-INDEX('Animal Register'!$F:$F,MATCH($A103,'Animal Register'!$A:$A,0)),"-"))</f>
        <v/>
      </c>
      <c r="E103" s="32"/>
    </row>
    <row r="104" customFormat="false" ht="15" hidden="false" customHeight="false" outlineLevel="0" collapsed="false">
      <c r="A104" s="50"/>
      <c r="B104" s="51"/>
      <c r="C104" s="62"/>
      <c r="D104" s="47" t="str">
        <f aca="false">IF($A104="","",IFERROR($B104-INDEX('Animal Register'!$F:$F,MATCH($A104,'Animal Register'!$A:$A,0)),"-"))</f>
        <v/>
      </c>
      <c r="E104" s="32"/>
    </row>
    <row r="105" customFormat="false" ht="15" hidden="false" customHeight="false" outlineLevel="0" collapsed="false">
      <c r="A105" s="50"/>
      <c r="B105" s="51"/>
      <c r="C105" s="62"/>
      <c r="D105" s="47" t="str">
        <f aca="false">IF($A105="","",IFERROR($B105-INDEX('Animal Register'!$F:$F,MATCH($A105,'Animal Register'!$A:$A,0)),"-"))</f>
        <v/>
      </c>
      <c r="E105" s="32"/>
    </row>
    <row r="106" customFormat="false" ht="15" hidden="false" customHeight="false" outlineLevel="0" collapsed="false">
      <c r="A106" s="50"/>
      <c r="B106" s="51"/>
      <c r="C106" s="62"/>
      <c r="D106" s="47" t="str">
        <f aca="false">IF($A106="","",IFERROR($B106-INDEX('Animal Register'!$F:$F,MATCH($A106,'Animal Register'!$A:$A,0)),"-"))</f>
        <v/>
      </c>
      <c r="E106" s="32"/>
    </row>
    <row r="107" customFormat="false" ht="15" hidden="false" customHeight="false" outlineLevel="0" collapsed="false">
      <c r="A107" s="50"/>
      <c r="B107" s="51"/>
      <c r="C107" s="62"/>
      <c r="D107" s="47" t="str">
        <f aca="false">IF($A107="","",IFERROR($B107-INDEX('Animal Register'!$F:$F,MATCH($A107,'Animal Register'!$A:$A,0)),"-"))</f>
        <v/>
      </c>
      <c r="E107" s="32"/>
    </row>
    <row r="108" customFormat="false" ht="15" hidden="false" customHeight="false" outlineLevel="0" collapsed="false">
      <c r="A108" s="50"/>
      <c r="B108" s="51"/>
      <c r="C108" s="62"/>
      <c r="D108" s="47" t="str">
        <f aca="false">IF($A108="","",IFERROR($B108-INDEX('Animal Register'!$F:$F,MATCH($A108,'Animal Register'!$A:$A,0)),"-"))</f>
        <v/>
      </c>
      <c r="E108" s="32"/>
    </row>
    <row r="109" customFormat="false" ht="15" hidden="false" customHeight="false" outlineLevel="0" collapsed="false">
      <c r="A109" s="50"/>
      <c r="B109" s="51"/>
      <c r="C109" s="62"/>
      <c r="D109" s="47" t="str">
        <f aca="false">IF($A109="","",IFERROR($B109-INDEX('Animal Register'!$F:$F,MATCH($A109,'Animal Register'!$A:$A,0)),"-"))</f>
        <v/>
      </c>
      <c r="E109" s="32"/>
    </row>
    <row r="110" customFormat="false" ht="15" hidden="false" customHeight="false" outlineLevel="0" collapsed="false">
      <c r="A110" s="50"/>
      <c r="B110" s="51"/>
      <c r="C110" s="62"/>
      <c r="D110" s="47" t="str">
        <f aca="false">IF($A110="","",IFERROR($B110-INDEX('Animal Register'!$F:$F,MATCH($A110,'Animal Register'!$A:$A,0)),"-"))</f>
        <v/>
      </c>
      <c r="E110" s="32"/>
    </row>
    <row r="111" customFormat="false" ht="15" hidden="false" customHeight="false" outlineLevel="0" collapsed="false">
      <c r="A111" s="50"/>
      <c r="B111" s="51"/>
      <c r="C111" s="62"/>
      <c r="D111" s="47" t="str">
        <f aca="false">IF($A111="","",IFERROR($B111-INDEX('Animal Register'!$F:$F,MATCH($A111,'Animal Register'!$A:$A,0)),"-"))</f>
        <v/>
      </c>
      <c r="E111" s="32"/>
    </row>
    <row r="112" customFormat="false" ht="15" hidden="false" customHeight="false" outlineLevel="0" collapsed="false">
      <c r="A112" s="50"/>
      <c r="B112" s="51"/>
      <c r="C112" s="62"/>
      <c r="D112" s="47" t="str">
        <f aca="false">IF($A112="","",IFERROR($B112-INDEX('Animal Register'!$F:$F,MATCH($A112,'Animal Register'!$A:$A,0)),"-"))</f>
        <v/>
      </c>
      <c r="E112" s="32"/>
    </row>
    <row r="113" customFormat="false" ht="15" hidden="false" customHeight="false" outlineLevel="0" collapsed="false">
      <c r="A113" s="50"/>
      <c r="B113" s="51"/>
      <c r="C113" s="62"/>
      <c r="D113" s="47" t="str">
        <f aca="false">IF($A113="","",IFERROR($B113-INDEX('Animal Register'!$F:$F,MATCH($A113,'Animal Register'!$A:$A,0)),"-"))</f>
        <v/>
      </c>
      <c r="E113" s="32"/>
    </row>
    <row r="114" customFormat="false" ht="15" hidden="false" customHeight="false" outlineLevel="0" collapsed="false">
      <c r="A114" s="50"/>
      <c r="B114" s="51"/>
      <c r="C114" s="62"/>
      <c r="D114" s="47" t="str">
        <f aca="false">IF($A114="","",IFERROR($B114-INDEX('Animal Register'!$F:$F,MATCH($A114,'Animal Register'!$A:$A,0)),"-"))</f>
        <v/>
      </c>
      <c r="E114" s="32"/>
    </row>
    <row r="115" customFormat="false" ht="15" hidden="false" customHeight="false" outlineLevel="0" collapsed="false">
      <c r="A115" s="50"/>
      <c r="B115" s="51"/>
      <c r="C115" s="62"/>
      <c r="D115" s="47" t="str">
        <f aca="false">IF($A115="","",IFERROR($B115-INDEX('Animal Register'!$F:$F,MATCH($A115,'Animal Register'!$A:$A,0)),"-"))</f>
        <v/>
      </c>
      <c r="E115" s="32"/>
    </row>
    <row r="116" customFormat="false" ht="15" hidden="false" customHeight="false" outlineLevel="0" collapsed="false">
      <c r="A116" s="50"/>
      <c r="B116" s="51"/>
      <c r="C116" s="62"/>
      <c r="D116" s="47" t="str">
        <f aca="false">IF($A116="","",IFERROR($B116-INDEX('Animal Register'!$F:$F,MATCH($A116,'Animal Register'!$A:$A,0)),"-"))</f>
        <v/>
      </c>
      <c r="E116" s="32"/>
    </row>
    <row r="117" customFormat="false" ht="15" hidden="false" customHeight="false" outlineLevel="0" collapsed="false">
      <c r="A117" s="50"/>
      <c r="B117" s="51"/>
      <c r="C117" s="62"/>
      <c r="D117" s="47" t="str">
        <f aca="false">IF($A117="","",IFERROR($B117-INDEX('Animal Register'!$F:$F,MATCH($A117,'Animal Register'!$A:$A,0)),"-"))</f>
        <v/>
      </c>
      <c r="E117" s="32"/>
    </row>
    <row r="118" customFormat="false" ht="15" hidden="false" customHeight="false" outlineLevel="0" collapsed="false">
      <c r="A118" s="50"/>
      <c r="B118" s="51"/>
      <c r="C118" s="62"/>
      <c r="D118" s="47" t="str">
        <f aca="false">IF($A118="","",IFERROR($B118-INDEX('Animal Register'!$F:$F,MATCH($A118,'Animal Register'!$A:$A,0)),"-"))</f>
        <v/>
      </c>
      <c r="E118" s="32"/>
    </row>
    <row r="119" customFormat="false" ht="15" hidden="false" customHeight="false" outlineLevel="0" collapsed="false">
      <c r="A119" s="50"/>
      <c r="B119" s="51"/>
      <c r="C119" s="62"/>
      <c r="D119" s="47" t="str">
        <f aca="false">IF($A119="","",IFERROR($B119-INDEX('Animal Register'!$F:$F,MATCH($A119,'Animal Register'!$A:$A,0)),"-"))</f>
        <v/>
      </c>
      <c r="E119" s="32"/>
    </row>
    <row r="120" customFormat="false" ht="15" hidden="false" customHeight="false" outlineLevel="0" collapsed="false">
      <c r="A120" s="50"/>
      <c r="B120" s="51"/>
      <c r="C120" s="62"/>
      <c r="D120" s="47" t="str">
        <f aca="false">IF($A120="","",IFERROR($B120-INDEX('Animal Register'!$F:$F,MATCH($A120,'Animal Register'!$A:$A,0)),"-"))</f>
        <v/>
      </c>
      <c r="E120" s="32"/>
    </row>
    <row r="121" customFormat="false" ht="15" hidden="false" customHeight="false" outlineLevel="0" collapsed="false">
      <c r="A121" s="50"/>
      <c r="B121" s="51"/>
      <c r="C121" s="62"/>
      <c r="D121" s="47" t="str">
        <f aca="false">IF($A121="","",IFERROR($B121-INDEX('Animal Register'!$F:$F,MATCH($A121,'Animal Register'!$A:$A,0)),"-"))</f>
        <v/>
      </c>
      <c r="E121" s="32"/>
    </row>
    <row r="122" customFormat="false" ht="15" hidden="false" customHeight="false" outlineLevel="0" collapsed="false">
      <c r="A122" s="50"/>
      <c r="B122" s="51"/>
      <c r="C122" s="62"/>
      <c r="D122" s="47" t="str">
        <f aca="false">IF($A122="","",IFERROR($B122-INDEX('Animal Register'!$F:$F,MATCH($A122,'Animal Register'!$A:$A,0)),"-"))</f>
        <v/>
      </c>
      <c r="E122" s="32"/>
    </row>
    <row r="123" customFormat="false" ht="15" hidden="false" customHeight="false" outlineLevel="0" collapsed="false">
      <c r="A123" s="50"/>
      <c r="B123" s="51"/>
      <c r="C123" s="62"/>
      <c r="D123" s="47" t="str">
        <f aca="false">IF($A123="","",IFERROR($B123-INDEX('Animal Register'!$F:$F,MATCH($A123,'Animal Register'!$A:$A,0)),"-"))</f>
        <v/>
      </c>
      <c r="E123" s="32"/>
    </row>
    <row r="124" customFormat="false" ht="15" hidden="false" customHeight="false" outlineLevel="0" collapsed="false">
      <c r="A124" s="50"/>
      <c r="B124" s="51"/>
      <c r="C124" s="62"/>
      <c r="D124" s="47" t="str">
        <f aca="false">IF($A124="","",IFERROR($B124-INDEX('Animal Register'!$F:$F,MATCH($A124,'Animal Register'!$A:$A,0)),"-"))</f>
        <v/>
      </c>
      <c r="E124" s="32"/>
    </row>
    <row r="125" customFormat="false" ht="15" hidden="false" customHeight="false" outlineLevel="0" collapsed="false">
      <c r="A125" s="50"/>
      <c r="B125" s="51"/>
      <c r="C125" s="62"/>
      <c r="D125" s="47" t="str">
        <f aca="false">IF($A125="","",IFERROR($B125-INDEX('Animal Register'!$F:$F,MATCH($A125,'Animal Register'!$A:$A,0)),"-"))</f>
        <v/>
      </c>
      <c r="E125" s="32"/>
    </row>
    <row r="126" customFormat="false" ht="15" hidden="false" customHeight="false" outlineLevel="0" collapsed="false">
      <c r="A126" s="50"/>
      <c r="B126" s="51"/>
      <c r="C126" s="62"/>
      <c r="D126" s="47" t="str">
        <f aca="false">IF($A126="","",IFERROR($B126-INDEX('Animal Register'!$F:$F,MATCH($A126,'Animal Register'!$A:$A,0)),"-"))</f>
        <v/>
      </c>
      <c r="E126" s="32"/>
    </row>
    <row r="127" customFormat="false" ht="15" hidden="false" customHeight="false" outlineLevel="0" collapsed="false">
      <c r="A127" s="50"/>
      <c r="B127" s="51"/>
      <c r="C127" s="62"/>
      <c r="D127" s="47" t="str">
        <f aca="false">IF($A127="","",IFERROR($B127-INDEX('Animal Register'!$F:$F,MATCH($A127,'Animal Register'!$A:$A,0)),"-"))</f>
        <v/>
      </c>
      <c r="E127" s="32"/>
    </row>
    <row r="128" customFormat="false" ht="15" hidden="false" customHeight="false" outlineLevel="0" collapsed="false">
      <c r="A128" s="50"/>
      <c r="B128" s="51"/>
      <c r="C128" s="62"/>
      <c r="D128" s="47" t="str">
        <f aca="false">IF($A128="","",IFERROR($B128-INDEX('Animal Register'!$F:$F,MATCH($A128,'Animal Register'!$A:$A,0)),"-"))</f>
        <v/>
      </c>
      <c r="E128" s="32"/>
    </row>
    <row r="129" customFormat="false" ht="15" hidden="false" customHeight="false" outlineLevel="0" collapsed="false">
      <c r="A129" s="50"/>
      <c r="B129" s="51"/>
      <c r="C129" s="62"/>
      <c r="D129" s="47" t="str">
        <f aca="false">IF($A129="","",IFERROR($B129-INDEX('Animal Register'!$F:$F,MATCH($A129,'Animal Register'!$A:$A,0)),"-"))</f>
        <v/>
      </c>
      <c r="E129" s="32"/>
    </row>
    <row r="130" customFormat="false" ht="15" hidden="false" customHeight="false" outlineLevel="0" collapsed="false">
      <c r="A130" s="50"/>
      <c r="B130" s="51"/>
      <c r="C130" s="62"/>
      <c r="D130" s="47" t="str">
        <f aca="false">IF($A130="","",IFERROR($B130-INDEX('Animal Register'!$F:$F,MATCH($A130,'Animal Register'!$A:$A,0)),"-"))</f>
        <v/>
      </c>
      <c r="E130" s="32"/>
    </row>
    <row r="131" customFormat="false" ht="15" hidden="false" customHeight="false" outlineLevel="0" collapsed="false">
      <c r="A131" s="50"/>
      <c r="B131" s="51"/>
      <c r="C131" s="62"/>
      <c r="D131" s="47" t="str">
        <f aca="false">IF($A131="","",IFERROR($B131-INDEX('Animal Register'!$F:$F,MATCH($A131,'Animal Register'!$A:$A,0)),"-"))</f>
        <v/>
      </c>
      <c r="E131" s="32"/>
    </row>
    <row r="132" customFormat="false" ht="15" hidden="false" customHeight="false" outlineLevel="0" collapsed="false">
      <c r="A132" s="50"/>
      <c r="B132" s="51"/>
      <c r="C132" s="62"/>
      <c r="D132" s="47" t="str">
        <f aca="false">IF($A132="","",IFERROR($B132-INDEX('Animal Register'!$F:$F,MATCH($A132,'Animal Register'!$A:$A,0)),"-"))</f>
        <v/>
      </c>
      <c r="E132" s="32"/>
    </row>
    <row r="133" customFormat="false" ht="15" hidden="false" customHeight="false" outlineLevel="0" collapsed="false">
      <c r="A133" s="50"/>
      <c r="B133" s="51"/>
      <c r="C133" s="62"/>
      <c r="D133" s="47" t="str">
        <f aca="false">IF($A133="","",IFERROR($B133-INDEX('Animal Register'!$F:$F,MATCH($A133,'Animal Register'!$A:$A,0)),"-"))</f>
        <v/>
      </c>
      <c r="E133" s="32"/>
    </row>
    <row r="134" customFormat="false" ht="15" hidden="false" customHeight="false" outlineLevel="0" collapsed="false">
      <c r="A134" s="50"/>
      <c r="B134" s="51"/>
      <c r="C134" s="62"/>
      <c r="D134" s="47" t="str">
        <f aca="false">IF($A134="","",IFERROR($B134-INDEX('Animal Register'!$F:$F,MATCH($A134,'Animal Register'!$A:$A,0)),"-"))</f>
        <v/>
      </c>
      <c r="E134" s="32"/>
    </row>
    <row r="135" customFormat="false" ht="15" hidden="false" customHeight="false" outlineLevel="0" collapsed="false">
      <c r="A135" s="50"/>
      <c r="B135" s="51"/>
      <c r="C135" s="62"/>
      <c r="D135" s="47" t="str">
        <f aca="false">IF($A135="","",IFERROR($B135-INDEX('Animal Register'!$F:$F,MATCH($A135,'Animal Register'!$A:$A,0)),"-"))</f>
        <v/>
      </c>
      <c r="E135" s="32"/>
    </row>
    <row r="136" customFormat="false" ht="15" hidden="false" customHeight="false" outlineLevel="0" collapsed="false">
      <c r="A136" s="50"/>
      <c r="B136" s="51"/>
      <c r="C136" s="62"/>
      <c r="D136" s="47" t="str">
        <f aca="false">IF($A136="","",IFERROR($B136-INDEX('Animal Register'!$F:$F,MATCH($A136,'Animal Register'!$A:$A,0)),"-"))</f>
        <v/>
      </c>
      <c r="E136" s="32"/>
    </row>
    <row r="137" customFormat="false" ht="15" hidden="false" customHeight="false" outlineLevel="0" collapsed="false">
      <c r="A137" s="50"/>
      <c r="B137" s="51"/>
      <c r="C137" s="62"/>
      <c r="D137" s="47" t="str">
        <f aca="false">IF($A137="","",IFERROR($B137-INDEX('Animal Register'!$F:$F,MATCH($A137,'Animal Register'!$A:$A,0)),"-"))</f>
        <v/>
      </c>
      <c r="E137" s="32"/>
    </row>
    <row r="138" customFormat="false" ht="15" hidden="false" customHeight="false" outlineLevel="0" collapsed="false">
      <c r="A138" s="50"/>
      <c r="B138" s="51"/>
      <c r="C138" s="62"/>
      <c r="D138" s="47" t="str">
        <f aca="false">IF($A138="","",IFERROR($B138-INDEX('Animal Register'!$F:$F,MATCH($A138,'Animal Register'!$A:$A,0)),"-"))</f>
        <v/>
      </c>
      <c r="E138" s="32"/>
    </row>
    <row r="139" customFormat="false" ht="15" hidden="false" customHeight="false" outlineLevel="0" collapsed="false">
      <c r="A139" s="50"/>
      <c r="B139" s="51"/>
      <c r="C139" s="62"/>
      <c r="D139" s="47" t="str">
        <f aca="false">IF($A139="","",IFERROR($B139-INDEX('Animal Register'!$F:$F,MATCH($A139,'Animal Register'!$A:$A,0)),"-"))</f>
        <v/>
      </c>
      <c r="E139" s="32"/>
    </row>
    <row r="140" customFormat="false" ht="15" hidden="false" customHeight="false" outlineLevel="0" collapsed="false">
      <c r="A140" s="50"/>
      <c r="B140" s="51"/>
      <c r="C140" s="62"/>
      <c r="D140" s="47" t="str">
        <f aca="false">IF($A140="","",IFERROR($B140-INDEX('Animal Register'!$F:$F,MATCH($A140,'Animal Register'!$A:$A,0)),"-"))</f>
        <v/>
      </c>
      <c r="E140" s="32"/>
    </row>
    <row r="141" customFormat="false" ht="15" hidden="false" customHeight="false" outlineLevel="0" collapsed="false">
      <c r="A141" s="50"/>
      <c r="B141" s="51"/>
      <c r="C141" s="62"/>
      <c r="D141" s="47" t="str">
        <f aca="false">IF($A141="","",IFERROR($B141-INDEX('Animal Register'!$F:$F,MATCH($A141,'Animal Register'!$A:$A,0)),"-"))</f>
        <v/>
      </c>
      <c r="E141" s="32"/>
    </row>
    <row r="142" customFormat="false" ht="15" hidden="false" customHeight="false" outlineLevel="0" collapsed="false">
      <c r="A142" s="50"/>
      <c r="B142" s="51"/>
      <c r="C142" s="62"/>
      <c r="D142" s="47" t="str">
        <f aca="false">IF($A142="","",IFERROR($B142-INDEX('Animal Register'!$F:$F,MATCH($A142,'Animal Register'!$A:$A,0)),"-"))</f>
        <v/>
      </c>
      <c r="E142" s="32"/>
    </row>
    <row r="143" customFormat="false" ht="15" hidden="false" customHeight="false" outlineLevel="0" collapsed="false">
      <c r="A143" s="50"/>
      <c r="B143" s="51"/>
      <c r="C143" s="62"/>
      <c r="D143" s="47" t="str">
        <f aca="false">IF($A143="","",IFERROR($B143-INDEX('Animal Register'!$F:$F,MATCH($A143,'Animal Register'!$A:$A,0)),"-"))</f>
        <v/>
      </c>
      <c r="E143" s="32"/>
    </row>
    <row r="144" customFormat="false" ht="15" hidden="false" customHeight="false" outlineLevel="0" collapsed="false">
      <c r="A144" s="50"/>
      <c r="B144" s="51"/>
      <c r="C144" s="62"/>
      <c r="D144" s="47" t="str">
        <f aca="false">IF($A144="","",IFERROR($B144-INDEX('Animal Register'!$F:$F,MATCH($A144,'Animal Register'!$A:$A,0)),"-"))</f>
        <v/>
      </c>
      <c r="E144" s="32"/>
    </row>
    <row r="145" customFormat="false" ht="15" hidden="false" customHeight="false" outlineLevel="0" collapsed="false">
      <c r="A145" s="50"/>
      <c r="B145" s="51"/>
      <c r="C145" s="62"/>
      <c r="D145" s="47" t="str">
        <f aca="false">IF($A145="","",IFERROR($B145-INDEX('Animal Register'!$F:$F,MATCH($A145,'Animal Register'!$A:$A,0)),"-"))</f>
        <v/>
      </c>
      <c r="E145" s="32"/>
    </row>
    <row r="146" customFormat="false" ht="15" hidden="false" customHeight="false" outlineLevel="0" collapsed="false">
      <c r="A146" s="50"/>
      <c r="B146" s="51"/>
      <c r="C146" s="62"/>
      <c r="D146" s="47" t="str">
        <f aca="false">IF($A146="","",IFERROR($B146-INDEX('Animal Register'!$F:$F,MATCH($A146,'Animal Register'!$A:$A,0)),"-"))</f>
        <v/>
      </c>
      <c r="E146" s="32"/>
    </row>
    <row r="147" customFormat="false" ht="15" hidden="false" customHeight="false" outlineLevel="0" collapsed="false">
      <c r="A147" s="50"/>
      <c r="B147" s="51"/>
      <c r="C147" s="62"/>
      <c r="D147" s="47" t="str">
        <f aca="false">IF($A147="","",IFERROR($B147-INDEX('Animal Register'!$F:$F,MATCH($A147,'Animal Register'!$A:$A,0)),"-"))</f>
        <v/>
      </c>
      <c r="E147" s="32"/>
    </row>
    <row r="148" customFormat="false" ht="15" hidden="false" customHeight="false" outlineLevel="0" collapsed="false">
      <c r="A148" s="50"/>
      <c r="B148" s="51"/>
      <c r="C148" s="62"/>
      <c r="D148" s="47" t="str">
        <f aca="false">IF($A148="","",IFERROR($B148-INDEX('Animal Register'!$F:$F,MATCH($A148,'Animal Register'!$A:$A,0)),"-"))</f>
        <v/>
      </c>
      <c r="E148" s="32"/>
    </row>
    <row r="149" customFormat="false" ht="15" hidden="false" customHeight="false" outlineLevel="0" collapsed="false">
      <c r="A149" s="50"/>
      <c r="B149" s="51"/>
      <c r="C149" s="62"/>
      <c r="D149" s="47" t="str">
        <f aca="false">IF($A149="","",IFERROR($B149-INDEX('Animal Register'!$F:$F,MATCH($A149,'Animal Register'!$A:$A,0)),"-"))</f>
        <v/>
      </c>
      <c r="E149" s="32"/>
    </row>
    <row r="150" customFormat="false" ht="15" hidden="false" customHeight="false" outlineLevel="0" collapsed="false">
      <c r="A150" s="50"/>
      <c r="B150" s="51"/>
      <c r="C150" s="62"/>
      <c r="D150" s="47" t="str">
        <f aca="false">IF($A150="","",IFERROR($B150-INDEX('Animal Register'!$F:$F,MATCH($A150,'Animal Register'!$A:$A,0)),"-"))</f>
        <v/>
      </c>
      <c r="E150" s="32"/>
    </row>
    <row r="151" customFormat="false" ht="15" hidden="false" customHeight="false" outlineLevel="0" collapsed="false">
      <c r="A151" s="50"/>
      <c r="B151" s="51"/>
      <c r="C151" s="62"/>
      <c r="D151" s="47" t="str">
        <f aca="false">IF($A151="","",IFERROR($B151-INDEX('Animal Register'!$F:$F,MATCH($A151,'Animal Register'!$A:$A,0)),"-"))</f>
        <v/>
      </c>
      <c r="E151" s="32"/>
    </row>
    <row r="152" customFormat="false" ht="15" hidden="false" customHeight="false" outlineLevel="0" collapsed="false">
      <c r="A152" s="50"/>
      <c r="B152" s="51"/>
      <c r="C152" s="62"/>
      <c r="D152" s="47" t="str">
        <f aca="false">IF($A152="","",IFERROR($B152-INDEX('Animal Register'!$F:$F,MATCH($A152,'Animal Register'!$A:$A,0)),"-"))</f>
        <v/>
      </c>
      <c r="E152" s="32"/>
    </row>
    <row r="153" customFormat="false" ht="15" hidden="false" customHeight="false" outlineLevel="0" collapsed="false">
      <c r="A153" s="50"/>
      <c r="B153" s="51"/>
      <c r="C153" s="62"/>
      <c r="D153" s="47" t="str">
        <f aca="false">IF($A153="","",IFERROR($B153-INDEX('Animal Register'!$F:$F,MATCH($A153,'Animal Register'!$A:$A,0)),"-"))</f>
        <v/>
      </c>
      <c r="E153" s="32"/>
    </row>
    <row r="154" customFormat="false" ht="15" hidden="false" customHeight="false" outlineLevel="0" collapsed="false">
      <c r="A154" s="50"/>
      <c r="B154" s="51"/>
      <c r="C154" s="62"/>
      <c r="D154" s="47" t="str">
        <f aca="false">IF($A154="","",IFERROR($B154-INDEX('Animal Register'!$F:$F,MATCH($A154,'Animal Register'!$A:$A,0)),"-"))</f>
        <v/>
      </c>
      <c r="E154" s="32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A5:A154" type="list">
      <formula1>'Animal Register'!$A$5:$A$74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30" t="s">
        <v>329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customFormat="false" ht="15" hidden="false" customHeight="false" outlineLevel="0" collapsed="false">
      <c r="A2" s="48" t="s">
        <v>330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customFormat="false" ht="39.55" hidden="false" customHeight="false" outlineLevel="0" collapsed="false">
      <c r="A4" s="31" t="s">
        <v>286</v>
      </c>
      <c r="B4" s="31" t="s">
        <v>216</v>
      </c>
      <c r="C4" s="31" t="s">
        <v>230</v>
      </c>
      <c r="D4" s="31" t="s">
        <v>179</v>
      </c>
      <c r="E4" s="31" t="s">
        <v>233</v>
      </c>
      <c r="F4" s="31" t="s">
        <v>331</v>
      </c>
      <c r="G4" s="31" t="s">
        <v>332</v>
      </c>
      <c r="H4" s="31" t="s">
        <v>333</v>
      </c>
      <c r="I4" s="31" t="s">
        <v>334</v>
      </c>
      <c r="J4" s="31" t="s">
        <v>335</v>
      </c>
      <c r="K4" s="31" t="s">
        <v>336</v>
      </c>
      <c r="L4" s="31" t="s">
        <v>337</v>
      </c>
      <c r="M4" s="31" t="s">
        <v>338</v>
      </c>
      <c r="N4" s="31" t="s">
        <v>339</v>
      </c>
    </row>
    <row r="5" customFormat="false" ht="15" hidden="false" customHeight="false" outlineLevel="0" collapsed="false">
      <c r="A5" s="51" t="n">
        <v>46240</v>
      </c>
      <c r="B5" s="50" t="s">
        <v>238</v>
      </c>
      <c r="C5" s="47" t="n">
        <f aca="false">IF($B5="","",$A5-INDEX('Animal Register'!$K:$K,MATCH($B5,'Animal Register'!$A:$A,0)))</f>
        <v>0</v>
      </c>
      <c r="D5" s="47" t="str">
        <f aca="false">IF($B5="","",IF(C5&lt;=INDEX('Animal Register'!$L:$L,MATCH($B5,'Animal Register'!$A:$A,0))*0.33,"Phase 1 - Adaptation",IF(C5&lt;=INDEX('Animal Register'!$L:$L,MATCH($B5,'Animal Register'!$A:$A,0))*0.66,"Phase 2 - Growth","Phase 3 - Finishing")))</f>
        <v>Phase 1 - Adaptation</v>
      </c>
      <c r="E5" s="34" t="n">
        <f aca="false">IF($B5="","",IF(SUMPRODUCT(MAX(('Weight Log'!$A$5:$A$154=$B5)*('Weight Log'!$C$5:$C$154)))=0,INDEX('Animal Register'!$I:$I,MATCH($B5,'Animal Register'!$A:$A,0)),SUMPRODUCT(MAX(('Weight Log'!$A$5:$A$154=$B5)*('Weight Log'!$C$5:$C$154)))))</f>
        <v>212</v>
      </c>
      <c r="F5" s="34" t="n">
        <f aca="false">IF($B5="","",E5*0.03)</f>
        <v>6.36</v>
      </c>
      <c r="G5" s="46" t="n">
        <f aca="false">IF($B5="","",INDEX('Ration Formulator'!$D:$D,MATCH($D5,'Ration Formulator'!$A:$A,0)))</f>
        <v>0.45</v>
      </c>
      <c r="H5" s="46" t="n">
        <f aca="false">IF($B5="","",INDEX('Ration Formulator'!$E:$E,MATCH($D5,'Ration Formulator'!$A:$A,0)))</f>
        <v>0.55</v>
      </c>
      <c r="I5" s="34" t="n">
        <f aca="false">IF($B5="","",F5*G5)</f>
        <v>2.862</v>
      </c>
      <c r="J5" s="34" t="n">
        <f aca="false">IF($B5="","",F5*H5)</f>
        <v>3.498</v>
      </c>
      <c r="K5" s="34" t="n">
        <f aca="false">IF($B5="","",I5/'Ration Formulator'!$E$21)</f>
        <v>3.23462929475588</v>
      </c>
      <c r="L5" s="34" t="n">
        <f aca="false">IF($B5="","",J5/INDEX('Ration Formulator'!$D$56:$D$58,MATCH($D5,'Ration Formulator'!$A$56:$A$58,0)))</f>
        <v>5.7344262295082</v>
      </c>
      <c r="M5" s="34" t="n">
        <f aca="false">IF($B5="","",I5*'Ration Formulator'!$F$21+J5*INDEX('Ration Formulator'!$E$56:$E$58,MATCH($D5,'Ration Formulator'!$A$56:$A$58,0)))</f>
        <v>13.044422328</v>
      </c>
      <c r="N5" s="32" t="s">
        <v>340</v>
      </c>
    </row>
    <row r="6" customFormat="false" ht="15" hidden="false" customHeight="false" outlineLevel="0" collapsed="false">
      <c r="A6" s="51"/>
      <c r="B6" s="50"/>
      <c r="C6" s="47" t="str">
        <f aca="false">IF($B6="","",$A6-INDEX('Animal Register'!$K:$K,MATCH($B6,'Animal Register'!$A:$A,0)))</f>
        <v/>
      </c>
      <c r="D6" s="47" t="str">
        <f aca="false">IF($B6="","",IF(C6&lt;=INDEX('Animal Register'!$L:$L,MATCH($B6,'Animal Register'!$A:$A,0))*0.33,"Phase 1 - Adaptation",IF(C6&lt;=INDEX('Animal Register'!$L:$L,MATCH($B6,'Animal Register'!$A:$A,0))*0.66,"Phase 2 - Growth","Phase 3 - Finishing")))</f>
        <v/>
      </c>
      <c r="E6" s="34" t="str">
        <f aca="false">IF($B6="","",IF(SUMPRODUCT(MAX(('Weight Log'!$A$5:$A$154=$B6)*('Weight Log'!$C$5:$C$154)))=0,INDEX('Animal Register'!$I:$I,MATCH($B6,'Animal Register'!$A:$A,0)),SUMPRODUCT(MAX(('Weight Log'!$A$5:$A$154=$B6)*('Weight Log'!$C$5:$C$154)))))</f>
        <v/>
      </c>
      <c r="F6" s="34" t="str">
        <f aca="false">IF($B6="","",E6*0.03)</f>
        <v/>
      </c>
      <c r="G6" s="46" t="str">
        <f aca="false">IF($B6="","",INDEX('Ration Formulator'!$D:$D,MATCH($D6,'Ration Formulator'!$A:$A,0)))</f>
        <v/>
      </c>
      <c r="H6" s="46" t="str">
        <f aca="false">IF($B6="","",INDEX('Ration Formulator'!$E:$E,MATCH($D6,'Ration Formulator'!$A:$A,0)))</f>
        <v/>
      </c>
      <c r="I6" s="34" t="str">
        <f aca="false">IF($B6="","",F6*G6)</f>
        <v/>
      </c>
      <c r="J6" s="34" t="str">
        <f aca="false">IF($B6="","",F6*H6)</f>
        <v/>
      </c>
      <c r="K6" s="34" t="str">
        <f aca="false">IF($B6="","",I6/'Ration Formulator'!$E$21)</f>
        <v/>
      </c>
      <c r="L6" s="34" t="str">
        <f aca="false">IF($B6="","",J6/INDEX('Ration Formulator'!$D$56:$D$58,MATCH($D6,'Ration Formulator'!$A$56:$A$58,0)))</f>
        <v/>
      </c>
      <c r="M6" s="34" t="str">
        <f aca="false">IF($B6="","",I6*'Ration Formulator'!$F$21+J6*INDEX('Ration Formulator'!$E$56:$E$58,MATCH($D6,'Ration Formulator'!$A$56:$A$58,0)))</f>
        <v/>
      </c>
      <c r="N6" s="32"/>
    </row>
    <row r="7" customFormat="false" ht="15" hidden="false" customHeight="false" outlineLevel="0" collapsed="false">
      <c r="A7" s="51"/>
      <c r="B7" s="50"/>
      <c r="C7" s="47" t="str">
        <f aca="false">IF($B7="","",$A7-INDEX('Animal Register'!$K:$K,MATCH($B7,'Animal Register'!$A:$A,0)))</f>
        <v/>
      </c>
      <c r="D7" s="47" t="str">
        <f aca="false">IF($B7="","",IF(C7&lt;=INDEX('Animal Register'!$L:$L,MATCH($B7,'Animal Register'!$A:$A,0))*0.33,"Phase 1 - Adaptation",IF(C7&lt;=INDEX('Animal Register'!$L:$L,MATCH($B7,'Animal Register'!$A:$A,0))*0.66,"Phase 2 - Growth","Phase 3 - Finishing")))</f>
        <v/>
      </c>
      <c r="E7" s="34" t="str">
        <f aca="false">IF($B7="","",IF(SUMPRODUCT(MAX(('Weight Log'!$A$5:$A$154=$B7)*('Weight Log'!$C$5:$C$154)))=0,INDEX('Animal Register'!$I:$I,MATCH($B7,'Animal Register'!$A:$A,0)),SUMPRODUCT(MAX(('Weight Log'!$A$5:$A$154=$B7)*('Weight Log'!$C$5:$C$154)))))</f>
        <v/>
      </c>
      <c r="F7" s="34" t="str">
        <f aca="false">IF($B7="","",E7*0.03)</f>
        <v/>
      </c>
      <c r="G7" s="46" t="str">
        <f aca="false">IF($B7="","",INDEX('Ration Formulator'!$D:$D,MATCH($D7,'Ration Formulator'!$A:$A,0)))</f>
        <v/>
      </c>
      <c r="H7" s="46" t="str">
        <f aca="false">IF($B7="","",INDEX('Ration Formulator'!$E:$E,MATCH($D7,'Ration Formulator'!$A:$A,0)))</f>
        <v/>
      </c>
      <c r="I7" s="34" t="str">
        <f aca="false">IF($B7="","",F7*G7)</f>
        <v/>
      </c>
      <c r="J7" s="34" t="str">
        <f aca="false">IF($B7="","",F7*H7)</f>
        <v/>
      </c>
      <c r="K7" s="34" t="str">
        <f aca="false">IF($B7="","",I7/'Ration Formulator'!$E$21)</f>
        <v/>
      </c>
      <c r="L7" s="34" t="str">
        <f aca="false">IF($B7="","",J7/INDEX('Ration Formulator'!$D$56:$D$58,MATCH($D7,'Ration Formulator'!$A$56:$A$58,0)))</f>
        <v/>
      </c>
      <c r="M7" s="34" t="str">
        <f aca="false">IF($B7="","",I7*'Ration Formulator'!$F$21+J7*INDEX('Ration Formulator'!$E$56:$E$58,MATCH($D7,'Ration Formulator'!$A$56:$A$58,0)))</f>
        <v/>
      </c>
      <c r="N7" s="32"/>
    </row>
    <row r="8" customFormat="false" ht="15" hidden="false" customHeight="false" outlineLevel="0" collapsed="false">
      <c r="A8" s="51"/>
      <c r="B8" s="50"/>
      <c r="C8" s="47" t="str">
        <f aca="false">IF($B8="","",$A8-INDEX('Animal Register'!$K:$K,MATCH($B8,'Animal Register'!$A:$A,0)))</f>
        <v/>
      </c>
      <c r="D8" s="47" t="str">
        <f aca="false">IF($B8="","",IF(C8&lt;=INDEX('Animal Register'!$L:$L,MATCH($B8,'Animal Register'!$A:$A,0))*0.33,"Phase 1 - Adaptation",IF(C8&lt;=INDEX('Animal Register'!$L:$L,MATCH($B8,'Animal Register'!$A:$A,0))*0.66,"Phase 2 - Growth","Phase 3 - Finishing")))</f>
        <v/>
      </c>
      <c r="E8" s="34" t="str">
        <f aca="false">IF($B8="","",IF(SUMPRODUCT(MAX(('Weight Log'!$A$5:$A$154=$B8)*('Weight Log'!$C$5:$C$154)))=0,INDEX('Animal Register'!$I:$I,MATCH($B8,'Animal Register'!$A:$A,0)),SUMPRODUCT(MAX(('Weight Log'!$A$5:$A$154=$B8)*('Weight Log'!$C$5:$C$154)))))</f>
        <v/>
      </c>
      <c r="F8" s="34" t="str">
        <f aca="false">IF($B8="","",E8*0.03)</f>
        <v/>
      </c>
      <c r="G8" s="46" t="str">
        <f aca="false">IF($B8="","",INDEX('Ration Formulator'!$D:$D,MATCH($D8,'Ration Formulator'!$A:$A,0)))</f>
        <v/>
      </c>
      <c r="H8" s="46" t="str">
        <f aca="false">IF($B8="","",INDEX('Ration Formulator'!$E:$E,MATCH($D8,'Ration Formulator'!$A:$A,0)))</f>
        <v/>
      </c>
      <c r="I8" s="34" t="str">
        <f aca="false">IF($B8="","",F8*G8)</f>
        <v/>
      </c>
      <c r="J8" s="34" t="str">
        <f aca="false">IF($B8="","",F8*H8)</f>
        <v/>
      </c>
      <c r="K8" s="34" t="str">
        <f aca="false">IF($B8="","",I8/'Ration Formulator'!$E$21)</f>
        <v/>
      </c>
      <c r="L8" s="34" t="str">
        <f aca="false">IF($B8="","",J8/INDEX('Ration Formulator'!$D$56:$D$58,MATCH($D8,'Ration Formulator'!$A$56:$A$58,0)))</f>
        <v/>
      </c>
      <c r="M8" s="34" t="str">
        <f aca="false">IF($B8="","",I8*'Ration Formulator'!$F$21+J8*INDEX('Ration Formulator'!$E$56:$E$58,MATCH($D8,'Ration Formulator'!$A$56:$A$58,0)))</f>
        <v/>
      </c>
      <c r="N8" s="32"/>
    </row>
    <row r="9" customFormat="false" ht="15" hidden="false" customHeight="false" outlineLevel="0" collapsed="false">
      <c r="A9" s="51"/>
      <c r="B9" s="50"/>
      <c r="C9" s="47" t="str">
        <f aca="false">IF($B9="","",$A9-INDEX('Animal Register'!$K:$K,MATCH($B9,'Animal Register'!$A:$A,0)))</f>
        <v/>
      </c>
      <c r="D9" s="47" t="str">
        <f aca="false">IF($B9="","",IF(C9&lt;=INDEX('Animal Register'!$L:$L,MATCH($B9,'Animal Register'!$A:$A,0))*0.33,"Phase 1 - Adaptation",IF(C9&lt;=INDEX('Animal Register'!$L:$L,MATCH($B9,'Animal Register'!$A:$A,0))*0.66,"Phase 2 - Growth","Phase 3 - Finishing")))</f>
        <v/>
      </c>
      <c r="E9" s="34" t="str">
        <f aca="false">IF($B9="","",IF(SUMPRODUCT(MAX(('Weight Log'!$A$5:$A$154=$B9)*('Weight Log'!$C$5:$C$154)))=0,INDEX('Animal Register'!$I:$I,MATCH($B9,'Animal Register'!$A:$A,0)),SUMPRODUCT(MAX(('Weight Log'!$A$5:$A$154=$B9)*('Weight Log'!$C$5:$C$154)))))</f>
        <v/>
      </c>
      <c r="F9" s="34" t="str">
        <f aca="false">IF($B9="","",E9*0.03)</f>
        <v/>
      </c>
      <c r="G9" s="46" t="str">
        <f aca="false">IF($B9="","",INDEX('Ration Formulator'!$D:$D,MATCH($D9,'Ration Formulator'!$A:$A,0)))</f>
        <v/>
      </c>
      <c r="H9" s="46" t="str">
        <f aca="false">IF($B9="","",INDEX('Ration Formulator'!$E:$E,MATCH($D9,'Ration Formulator'!$A:$A,0)))</f>
        <v/>
      </c>
      <c r="I9" s="34" t="str">
        <f aca="false">IF($B9="","",F9*G9)</f>
        <v/>
      </c>
      <c r="J9" s="34" t="str">
        <f aca="false">IF($B9="","",F9*H9)</f>
        <v/>
      </c>
      <c r="K9" s="34" t="str">
        <f aca="false">IF($B9="","",I9/'Ration Formulator'!$E$21)</f>
        <v/>
      </c>
      <c r="L9" s="34" t="str">
        <f aca="false">IF($B9="","",J9/INDEX('Ration Formulator'!$D$56:$D$58,MATCH($D9,'Ration Formulator'!$A$56:$A$58,0)))</f>
        <v/>
      </c>
      <c r="M9" s="34" t="str">
        <f aca="false">IF($B9="","",I9*'Ration Formulator'!$F$21+J9*INDEX('Ration Formulator'!$E$56:$E$58,MATCH($D9,'Ration Formulator'!$A$56:$A$58,0)))</f>
        <v/>
      </c>
      <c r="N9" s="32"/>
    </row>
    <row r="10" customFormat="false" ht="15" hidden="false" customHeight="false" outlineLevel="0" collapsed="false">
      <c r="A10" s="51"/>
      <c r="B10" s="50"/>
      <c r="C10" s="47" t="str">
        <f aca="false">IF($B10="","",$A10-INDEX('Animal Register'!$K:$K,MATCH($B10,'Animal Register'!$A:$A,0)))</f>
        <v/>
      </c>
      <c r="D10" s="47" t="str">
        <f aca="false">IF($B10="","",IF(C10&lt;=INDEX('Animal Register'!$L:$L,MATCH($B10,'Animal Register'!$A:$A,0))*0.33,"Phase 1 - Adaptation",IF(C10&lt;=INDEX('Animal Register'!$L:$L,MATCH($B10,'Animal Register'!$A:$A,0))*0.66,"Phase 2 - Growth","Phase 3 - Finishing")))</f>
        <v/>
      </c>
      <c r="E10" s="34" t="str">
        <f aca="false">IF($B10="","",IF(SUMPRODUCT(MAX(('Weight Log'!$A$5:$A$154=$B10)*('Weight Log'!$C$5:$C$154)))=0,INDEX('Animal Register'!$I:$I,MATCH($B10,'Animal Register'!$A:$A,0)),SUMPRODUCT(MAX(('Weight Log'!$A$5:$A$154=$B10)*('Weight Log'!$C$5:$C$154)))))</f>
        <v/>
      </c>
      <c r="F10" s="34" t="str">
        <f aca="false">IF($B10="","",E10*0.03)</f>
        <v/>
      </c>
      <c r="G10" s="46" t="str">
        <f aca="false">IF($B10="","",INDEX('Ration Formulator'!$D:$D,MATCH($D10,'Ration Formulator'!$A:$A,0)))</f>
        <v/>
      </c>
      <c r="H10" s="46" t="str">
        <f aca="false">IF($B10="","",INDEX('Ration Formulator'!$E:$E,MATCH($D10,'Ration Formulator'!$A:$A,0)))</f>
        <v/>
      </c>
      <c r="I10" s="34" t="str">
        <f aca="false">IF($B10="","",F10*G10)</f>
        <v/>
      </c>
      <c r="J10" s="34" t="str">
        <f aca="false">IF($B10="","",F10*H10)</f>
        <v/>
      </c>
      <c r="K10" s="34" t="str">
        <f aca="false">IF($B10="","",I10/'Ration Formulator'!$E$21)</f>
        <v/>
      </c>
      <c r="L10" s="34" t="str">
        <f aca="false">IF($B10="","",J10/INDEX('Ration Formulator'!$D$56:$D$58,MATCH($D10,'Ration Formulator'!$A$56:$A$58,0)))</f>
        <v/>
      </c>
      <c r="M10" s="34" t="str">
        <f aca="false">IF($B10="","",I10*'Ration Formulator'!$F$21+J10*INDEX('Ration Formulator'!$E$56:$E$58,MATCH($D10,'Ration Formulator'!$A$56:$A$58,0)))</f>
        <v/>
      </c>
      <c r="N10" s="32"/>
    </row>
    <row r="11" customFormat="false" ht="15" hidden="false" customHeight="false" outlineLevel="0" collapsed="false">
      <c r="A11" s="51"/>
      <c r="B11" s="50"/>
      <c r="C11" s="47" t="str">
        <f aca="false">IF($B11="","",$A11-INDEX('Animal Register'!$K:$K,MATCH($B11,'Animal Register'!$A:$A,0)))</f>
        <v/>
      </c>
      <c r="D11" s="47" t="str">
        <f aca="false">IF($B11="","",IF(C11&lt;=INDEX('Animal Register'!$L:$L,MATCH($B11,'Animal Register'!$A:$A,0))*0.33,"Phase 1 - Adaptation",IF(C11&lt;=INDEX('Animal Register'!$L:$L,MATCH($B11,'Animal Register'!$A:$A,0))*0.66,"Phase 2 - Growth","Phase 3 - Finishing")))</f>
        <v/>
      </c>
      <c r="E11" s="34" t="str">
        <f aca="false">IF($B11="","",IF(SUMPRODUCT(MAX(('Weight Log'!$A$5:$A$154=$B11)*('Weight Log'!$C$5:$C$154)))=0,INDEX('Animal Register'!$I:$I,MATCH($B11,'Animal Register'!$A:$A,0)),SUMPRODUCT(MAX(('Weight Log'!$A$5:$A$154=$B11)*('Weight Log'!$C$5:$C$154)))))</f>
        <v/>
      </c>
      <c r="F11" s="34" t="str">
        <f aca="false">IF($B11="","",E11*0.03)</f>
        <v/>
      </c>
      <c r="G11" s="46" t="str">
        <f aca="false">IF($B11="","",INDEX('Ration Formulator'!$D:$D,MATCH($D11,'Ration Formulator'!$A:$A,0)))</f>
        <v/>
      </c>
      <c r="H11" s="46" t="str">
        <f aca="false">IF($B11="","",INDEX('Ration Formulator'!$E:$E,MATCH($D11,'Ration Formulator'!$A:$A,0)))</f>
        <v/>
      </c>
      <c r="I11" s="34" t="str">
        <f aca="false">IF($B11="","",F11*G11)</f>
        <v/>
      </c>
      <c r="J11" s="34" t="str">
        <f aca="false">IF($B11="","",F11*H11)</f>
        <v/>
      </c>
      <c r="K11" s="34" t="str">
        <f aca="false">IF($B11="","",I11/'Ration Formulator'!$E$21)</f>
        <v/>
      </c>
      <c r="L11" s="34" t="str">
        <f aca="false">IF($B11="","",J11/INDEX('Ration Formulator'!$D$56:$D$58,MATCH($D11,'Ration Formulator'!$A$56:$A$58,0)))</f>
        <v/>
      </c>
      <c r="M11" s="34" t="str">
        <f aca="false">IF($B11="","",I11*'Ration Formulator'!$F$21+J11*INDEX('Ration Formulator'!$E$56:$E$58,MATCH($D11,'Ration Formulator'!$A$56:$A$58,0)))</f>
        <v/>
      </c>
      <c r="N11" s="32"/>
    </row>
    <row r="12" customFormat="false" ht="15" hidden="false" customHeight="false" outlineLevel="0" collapsed="false">
      <c r="A12" s="51"/>
      <c r="B12" s="50"/>
      <c r="C12" s="47" t="str">
        <f aca="false">IF($B12="","",$A12-INDEX('Animal Register'!$K:$K,MATCH($B12,'Animal Register'!$A:$A,0)))</f>
        <v/>
      </c>
      <c r="D12" s="47" t="str">
        <f aca="false">IF($B12="","",IF(C12&lt;=INDEX('Animal Register'!$L:$L,MATCH($B12,'Animal Register'!$A:$A,0))*0.33,"Phase 1 - Adaptation",IF(C12&lt;=INDEX('Animal Register'!$L:$L,MATCH($B12,'Animal Register'!$A:$A,0))*0.66,"Phase 2 - Growth","Phase 3 - Finishing")))</f>
        <v/>
      </c>
      <c r="E12" s="34" t="str">
        <f aca="false">IF($B12="","",IF(SUMPRODUCT(MAX(('Weight Log'!$A$5:$A$154=$B12)*('Weight Log'!$C$5:$C$154)))=0,INDEX('Animal Register'!$I:$I,MATCH($B12,'Animal Register'!$A:$A,0)),SUMPRODUCT(MAX(('Weight Log'!$A$5:$A$154=$B12)*('Weight Log'!$C$5:$C$154)))))</f>
        <v/>
      </c>
      <c r="F12" s="34" t="str">
        <f aca="false">IF($B12="","",E12*0.03)</f>
        <v/>
      </c>
      <c r="G12" s="46" t="str">
        <f aca="false">IF($B12="","",INDEX('Ration Formulator'!$D:$D,MATCH($D12,'Ration Formulator'!$A:$A,0)))</f>
        <v/>
      </c>
      <c r="H12" s="46" t="str">
        <f aca="false">IF($B12="","",INDEX('Ration Formulator'!$E:$E,MATCH($D12,'Ration Formulator'!$A:$A,0)))</f>
        <v/>
      </c>
      <c r="I12" s="34" t="str">
        <f aca="false">IF($B12="","",F12*G12)</f>
        <v/>
      </c>
      <c r="J12" s="34" t="str">
        <f aca="false">IF($B12="","",F12*H12)</f>
        <v/>
      </c>
      <c r="K12" s="34" t="str">
        <f aca="false">IF($B12="","",I12/'Ration Formulator'!$E$21)</f>
        <v/>
      </c>
      <c r="L12" s="34" t="str">
        <f aca="false">IF($B12="","",J12/INDEX('Ration Formulator'!$D$56:$D$58,MATCH($D12,'Ration Formulator'!$A$56:$A$58,0)))</f>
        <v/>
      </c>
      <c r="M12" s="34" t="str">
        <f aca="false">IF($B12="","",I12*'Ration Formulator'!$F$21+J12*INDEX('Ration Formulator'!$E$56:$E$58,MATCH($D12,'Ration Formulator'!$A$56:$A$58,0)))</f>
        <v/>
      </c>
      <c r="N12" s="32"/>
    </row>
    <row r="13" customFormat="false" ht="15" hidden="false" customHeight="false" outlineLevel="0" collapsed="false">
      <c r="A13" s="51"/>
      <c r="B13" s="50"/>
      <c r="C13" s="47" t="str">
        <f aca="false">IF($B13="","",$A13-INDEX('Animal Register'!$K:$K,MATCH($B13,'Animal Register'!$A:$A,0)))</f>
        <v/>
      </c>
      <c r="D13" s="47" t="str">
        <f aca="false">IF($B13="","",IF(C13&lt;=INDEX('Animal Register'!$L:$L,MATCH($B13,'Animal Register'!$A:$A,0))*0.33,"Phase 1 - Adaptation",IF(C13&lt;=INDEX('Animal Register'!$L:$L,MATCH($B13,'Animal Register'!$A:$A,0))*0.66,"Phase 2 - Growth","Phase 3 - Finishing")))</f>
        <v/>
      </c>
      <c r="E13" s="34" t="str">
        <f aca="false">IF($B13="","",IF(SUMPRODUCT(MAX(('Weight Log'!$A$5:$A$154=$B13)*('Weight Log'!$C$5:$C$154)))=0,INDEX('Animal Register'!$I:$I,MATCH($B13,'Animal Register'!$A:$A,0)),SUMPRODUCT(MAX(('Weight Log'!$A$5:$A$154=$B13)*('Weight Log'!$C$5:$C$154)))))</f>
        <v/>
      </c>
      <c r="F13" s="34" t="str">
        <f aca="false">IF($B13="","",E13*0.03)</f>
        <v/>
      </c>
      <c r="G13" s="46" t="str">
        <f aca="false">IF($B13="","",INDEX('Ration Formulator'!$D:$D,MATCH($D13,'Ration Formulator'!$A:$A,0)))</f>
        <v/>
      </c>
      <c r="H13" s="46" t="str">
        <f aca="false">IF($B13="","",INDEX('Ration Formulator'!$E:$E,MATCH($D13,'Ration Formulator'!$A:$A,0)))</f>
        <v/>
      </c>
      <c r="I13" s="34" t="str">
        <f aca="false">IF($B13="","",F13*G13)</f>
        <v/>
      </c>
      <c r="J13" s="34" t="str">
        <f aca="false">IF($B13="","",F13*H13)</f>
        <v/>
      </c>
      <c r="K13" s="34" t="str">
        <f aca="false">IF($B13="","",I13/'Ration Formulator'!$E$21)</f>
        <v/>
      </c>
      <c r="L13" s="34" t="str">
        <f aca="false">IF($B13="","",J13/INDEX('Ration Formulator'!$D$56:$D$58,MATCH($D13,'Ration Formulator'!$A$56:$A$58,0)))</f>
        <v/>
      </c>
      <c r="M13" s="34" t="str">
        <f aca="false">IF($B13="","",I13*'Ration Formulator'!$F$21+J13*INDEX('Ration Formulator'!$E$56:$E$58,MATCH($D13,'Ration Formulator'!$A$56:$A$58,0)))</f>
        <v/>
      </c>
      <c r="N13" s="32"/>
    </row>
    <row r="14" customFormat="false" ht="15" hidden="false" customHeight="false" outlineLevel="0" collapsed="false">
      <c r="A14" s="51"/>
      <c r="B14" s="50"/>
      <c r="C14" s="47" t="str">
        <f aca="false">IF($B14="","",$A14-INDEX('Animal Register'!$K:$K,MATCH($B14,'Animal Register'!$A:$A,0)))</f>
        <v/>
      </c>
      <c r="D14" s="47" t="str">
        <f aca="false">IF($B14="","",IF(C14&lt;=INDEX('Animal Register'!$L:$L,MATCH($B14,'Animal Register'!$A:$A,0))*0.33,"Phase 1 - Adaptation",IF(C14&lt;=INDEX('Animal Register'!$L:$L,MATCH($B14,'Animal Register'!$A:$A,0))*0.66,"Phase 2 - Growth","Phase 3 - Finishing")))</f>
        <v/>
      </c>
      <c r="E14" s="34" t="str">
        <f aca="false">IF($B14="","",IF(SUMPRODUCT(MAX(('Weight Log'!$A$5:$A$154=$B14)*('Weight Log'!$C$5:$C$154)))=0,INDEX('Animal Register'!$I:$I,MATCH($B14,'Animal Register'!$A:$A,0)),SUMPRODUCT(MAX(('Weight Log'!$A$5:$A$154=$B14)*('Weight Log'!$C$5:$C$154)))))</f>
        <v/>
      </c>
      <c r="F14" s="34" t="str">
        <f aca="false">IF($B14="","",E14*0.03)</f>
        <v/>
      </c>
      <c r="G14" s="46" t="str">
        <f aca="false">IF($B14="","",INDEX('Ration Formulator'!$D:$D,MATCH($D14,'Ration Formulator'!$A:$A,0)))</f>
        <v/>
      </c>
      <c r="H14" s="46" t="str">
        <f aca="false">IF($B14="","",INDEX('Ration Formulator'!$E:$E,MATCH($D14,'Ration Formulator'!$A:$A,0)))</f>
        <v/>
      </c>
      <c r="I14" s="34" t="str">
        <f aca="false">IF($B14="","",F14*G14)</f>
        <v/>
      </c>
      <c r="J14" s="34" t="str">
        <f aca="false">IF($B14="","",F14*H14)</f>
        <v/>
      </c>
      <c r="K14" s="34" t="str">
        <f aca="false">IF($B14="","",I14/'Ration Formulator'!$E$21)</f>
        <v/>
      </c>
      <c r="L14" s="34" t="str">
        <f aca="false">IF($B14="","",J14/INDEX('Ration Formulator'!$D$56:$D$58,MATCH($D14,'Ration Formulator'!$A$56:$A$58,0)))</f>
        <v/>
      </c>
      <c r="M14" s="34" t="str">
        <f aca="false">IF($B14="","",I14*'Ration Formulator'!$F$21+J14*INDEX('Ration Formulator'!$E$56:$E$58,MATCH($D14,'Ration Formulator'!$A$56:$A$58,0)))</f>
        <v/>
      </c>
      <c r="N14" s="32"/>
    </row>
    <row r="15" customFormat="false" ht="15" hidden="false" customHeight="false" outlineLevel="0" collapsed="false">
      <c r="A15" s="51"/>
      <c r="B15" s="50"/>
      <c r="C15" s="47" t="str">
        <f aca="false">IF($B15="","",$A15-INDEX('Animal Register'!$K:$K,MATCH($B15,'Animal Register'!$A:$A,0)))</f>
        <v/>
      </c>
      <c r="D15" s="47" t="str">
        <f aca="false">IF($B15="","",IF(C15&lt;=INDEX('Animal Register'!$L:$L,MATCH($B15,'Animal Register'!$A:$A,0))*0.33,"Phase 1 - Adaptation",IF(C15&lt;=INDEX('Animal Register'!$L:$L,MATCH($B15,'Animal Register'!$A:$A,0))*0.66,"Phase 2 - Growth","Phase 3 - Finishing")))</f>
        <v/>
      </c>
      <c r="E15" s="34" t="str">
        <f aca="false">IF($B15="","",IF(SUMPRODUCT(MAX(('Weight Log'!$A$5:$A$154=$B15)*('Weight Log'!$C$5:$C$154)))=0,INDEX('Animal Register'!$I:$I,MATCH($B15,'Animal Register'!$A:$A,0)),SUMPRODUCT(MAX(('Weight Log'!$A$5:$A$154=$B15)*('Weight Log'!$C$5:$C$154)))))</f>
        <v/>
      </c>
      <c r="F15" s="34" t="str">
        <f aca="false">IF($B15="","",E15*0.03)</f>
        <v/>
      </c>
      <c r="G15" s="46" t="str">
        <f aca="false">IF($B15="","",INDEX('Ration Formulator'!$D:$D,MATCH($D15,'Ration Formulator'!$A:$A,0)))</f>
        <v/>
      </c>
      <c r="H15" s="46" t="str">
        <f aca="false">IF($B15="","",INDEX('Ration Formulator'!$E:$E,MATCH($D15,'Ration Formulator'!$A:$A,0)))</f>
        <v/>
      </c>
      <c r="I15" s="34" t="str">
        <f aca="false">IF($B15="","",F15*G15)</f>
        <v/>
      </c>
      <c r="J15" s="34" t="str">
        <f aca="false">IF($B15="","",F15*H15)</f>
        <v/>
      </c>
      <c r="K15" s="34" t="str">
        <f aca="false">IF($B15="","",I15/'Ration Formulator'!$E$21)</f>
        <v/>
      </c>
      <c r="L15" s="34" t="str">
        <f aca="false">IF($B15="","",J15/INDEX('Ration Formulator'!$D$56:$D$58,MATCH($D15,'Ration Formulator'!$A$56:$A$58,0)))</f>
        <v/>
      </c>
      <c r="M15" s="34" t="str">
        <f aca="false">IF($B15="","",I15*'Ration Formulator'!$F$21+J15*INDEX('Ration Formulator'!$E$56:$E$58,MATCH($D15,'Ration Formulator'!$A$56:$A$58,0)))</f>
        <v/>
      </c>
      <c r="N15" s="32"/>
    </row>
    <row r="16" customFormat="false" ht="15" hidden="false" customHeight="false" outlineLevel="0" collapsed="false">
      <c r="A16" s="51"/>
      <c r="B16" s="50"/>
      <c r="C16" s="47" t="str">
        <f aca="false">IF($B16="","",$A16-INDEX('Animal Register'!$K:$K,MATCH($B16,'Animal Register'!$A:$A,0)))</f>
        <v/>
      </c>
      <c r="D16" s="47" t="str">
        <f aca="false">IF($B16="","",IF(C16&lt;=INDEX('Animal Register'!$L:$L,MATCH($B16,'Animal Register'!$A:$A,0))*0.33,"Phase 1 - Adaptation",IF(C16&lt;=INDEX('Animal Register'!$L:$L,MATCH($B16,'Animal Register'!$A:$A,0))*0.66,"Phase 2 - Growth","Phase 3 - Finishing")))</f>
        <v/>
      </c>
      <c r="E16" s="34" t="str">
        <f aca="false">IF($B16="","",IF(SUMPRODUCT(MAX(('Weight Log'!$A$5:$A$154=$B16)*('Weight Log'!$C$5:$C$154)))=0,INDEX('Animal Register'!$I:$I,MATCH($B16,'Animal Register'!$A:$A,0)),SUMPRODUCT(MAX(('Weight Log'!$A$5:$A$154=$B16)*('Weight Log'!$C$5:$C$154)))))</f>
        <v/>
      </c>
      <c r="F16" s="34" t="str">
        <f aca="false">IF($B16="","",E16*0.03)</f>
        <v/>
      </c>
      <c r="G16" s="46" t="str">
        <f aca="false">IF($B16="","",INDEX('Ration Formulator'!$D:$D,MATCH($D16,'Ration Formulator'!$A:$A,0)))</f>
        <v/>
      </c>
      <c r="H16" s="46" t="str">
        <f aca="false">IF($B16="","",INDEX('Ration Formulator'!$E:$E,MATCH($D16,'Ration Formulator'!$A:$A,0)))</f>
        <v/>
      </c>
      <c r="I16" s="34" t="str">
        <f aca="false">IF($B16="","",F16*G16)</f>
        <v/>
      </c>
      <c r="J16" s="34" t="str">
        <f aca="false">IF($B16="","",F16*H16)</f>
        <v/>
      </c>
      <c r="K16" s="34" t="str">
        <f aca="false">IF($B16="","",I16/'Ration Formulator'!$E$21)</f>
        <v/>
      </c>
      <c r="L16" s="34" t="str">
        <f aca="false">IF($B16="","",J16/INDEX('Ration Formulator'!$D$56:$D$58,MATCH($D16,'Ration Formulator'!$A$56:$A$58,0)))</f>
        <v/>
      </c>
      <c r="M16" s="34" t="str">
        <f aca="false">IF($B16="","",I16*'Ration Formulator'!$F$21+J16*INDEX('Ration Formulator'!$E$56:$E$58,MATCH($D16,'Ration Formulator'!$A$56:$A$58,0)))</f>
        <v/>
      </c>
      <c r="N16" s="32"/>
    </row>
    <row r="17" customFormat="false" ht="15" hidden="false" customHeight="false" outlineLevel="0" collapsed="false">
      <c r="A17" s="51"/>
      <c r="B17" s="50"/>
      <c r="C17" s="47" t="str">
        <f aca="false">IF($B17="","",$A17-INDEX('Animal Register'!$K:$K,MATCH($B17,'Animal Register'!$A:$A,0)))</f>
        <v/>
      </c>
      <c r="D17" s="47" t="str">
        <f aca="false">IF($B17="","",IF(C17&lt;=INDEX('Animal Register'!$L:$L,MATCH($B17,'Animal Register'!$A:$A,0))*0.33,"Phase 1 - Adaptation",IF(C17&lt;=INDEX('Animal Register'!$L:$L,MATCH($B17,'Animal Register'!$A:$A,0))*0.66,"Phase 2 - Growth","Phase 3 - Finishing")))</f>
        <v/>
      </c>
      <c r="E17" s="34" t="str">
        <f aca="false">IF($B17="","",IF(SUMPRODUCT(MAX(('Weight Log'!$A$5:$A$154=$B17)*('Weight Log'!$C$5:$C$154)))=0,INDEX('Animal Register'!$I:$I,MATCH($B17,'Animal Register'!$A:$A,0)),SUMPRODUCT(MAX(('Weight Log'!$A$5:$A$154=$B17)*('Weight Log'!$C$5:$C$154)))))</f>
        <v/>
      </c>
      <c r="F17" s="34" t="str">
        <f aca="false">IF($B17="","",E17*0.03)</f>
        <v/>
      </c>
      <c r="G17" s="46" t="str">
        <f aca="false">IF($B17="","",INDEX('Ration Formulator'!$D:$D,MATCH($D17,'Ration Formulator'!$A:$A,0)))</f>
        <v/>
      </c>
      <c r="H17" s="46" t="str">
        <f aca="false">IF($B17="","",INDEX('Ration Formulator'!$E:$E,MATCH($D17,'Ration Formulator'!$A:$A,0)))</f>
        <v/>
      </c>
      <c r="I17" s="34" t="str">
        <f aca="false">IF($B17="","",F17*G17)</f>
        <v/>
      </c>
      <c r="J17" s="34" t="str">
        <f aca="false">IF($B17="","",F17*H17)</f>
        <v/>
      </c>
      <c r="K17" s="34" t="str">
        <f aca="false">IF($B17="","",I17/'Ration Formulator'!$E$21)</f>
        <v/>
      </c>
      <c r="L17" s="34" t="str">
        <f aca="false">IF($B17="","",J17/INDEX('Ration Formulator'!$D$56:$D$58,MATCH($D17,'Ration Formulator'!$A$56:$A$58,0)))</f>
        <v/>
      </c>
      <c r="M17" s="34" t="str">
        <f aca="false">IF($B17="","",I17*'Ration Formulator'!$F$21+J17*INDEX('Ration Formulator'!$E$56:$E$58,MATCH($D17,'Ration Formulator'!$A$56:$A$58,0)))</f>
        <v/>
      </c>
      <c r="N17" s="32"/>
    </row>
    <row r="18" customFormat="false" ht="15" hidden="false" customHeight="false" outlineLevel="0" collapsed="false">
      <c r="A18" s="51"/>
      <c r="B18" s="50"/>
      <c r="C18" s="47" t="str">
        <f aca="false">IF($B18="","",$A18-INDEX('Animal Register'!$K:$K,MATCH($B18,'Animal Register'!$A:$A,0)))</f>
        <v/>
      </c>
      <c r="D18" s="47" t="str">
        <f aca="false">IF($B18="","",IF(C18&lt;=INDEX('Animal Register'!$L:$L,MATCH($B18,'Animal Register'!$A:$A,0))*0.33,"Phase 1 - Adaptation",IF(C18&lt;=INDEX('Animal Register'!$L:$L,MATCH($B18,'Animal Register'!$A:$A,0))*0.66,"Phase 2 - Growth","Phase 3 - Finishing")))</f>
        <v/>
      </c>
      <c r="E18" s="34" t="str">
        <f aca="false">IF($B18="","",IF(SUMPRODUCT(MAX(('Weight Log'!$A$5:$A$154=$B18)*('Weight Log'!$C$5:$C$154)))=0,INDEX('Animal Register'!$I:$I,MATCH($B18,'Animal Register'!$A:$A,0)),SUMPRODUCT(MAX(('Weight Log'!$A$5:$A$154=$B18)*('Weight Log'!$C$5:$C$154)))))</f>
        <v/>
      </c>
      <c r="F18" s="34" t="str">
        <f aca="false">IF($B18="","",E18*0.03)</f>
        <v/>
      </c>
      <c r="G18" s="46" t="str">
        <f aca="false">IF($B18="","",INDEX('Ration Formulator'!$D:$D,MATCH($D18,'Ration Formulator'!$A:$A,0)))</f>
        <v/>
      </c>
      <c r="H18" s="46" t="str">
        <f aca="false">IF($B18="","",INDEX('Ration Formulator'!$E:$E,MATCH($D18,'Ration Formulator'!$A:$A,0)))</f>
        <v/>
      </c>
      <c r="I18" s="34" t="str">
        <f aca="false">IF($B18="","",F18*G18)</f>
        <v/>
      </c>
      <c r="J18" s="34" t="str">
        <f aca="false">IF($B18="","",F18*H18)</f>
        <v/>
      </c>
      <c r="K18" s="34" t="str">
        <f aca="false">IF($B18="","",I18/'Ration Formulator'!$E$21)</f>
        <v/>
      </c>
      <c r="L18" s="34" t="str">
        <f aca="false">IF($B18="","",J18/INDEX('Ration Formulator'!$D$56:$D$58,MATCH($D18,'Ration Formulator'!$A$56:$A$58,0)))</f>
        <v/>
      </c>
      <c r="M18" s="34" t="str">
        <f aca="false">IF($B18="","",I18*'Ration Formulator'!$F$21+J18*INDEX('Ration Formulator'!$E$56:$E$58,MATCH($D18,'Ration Formulator'!$A$56:$A$58,0)))</f>
        <v/>
      </c>
      <c r="N18" s="32"/>
    </row>
    <row r="19" customFormat="false" ht="15" hidden="false" customHeight="false" outlineLevel="0" collapsed="false">
      <c r="A19" s="51"/>
      <c r="B19" s="50"/>
      <c r="C19" s="47" t="str">
        <f aca="false">IF($B19="","",$A19-INDEX('Animal Register'!$K:$K,MATCH($B19,'Animal Register'!$A:$A,0)))</f>
        <v/>
      </c>
      <c r="D19" s="47" t="str">
        <f aca="false">IF($B19="","",IF(C19&lt;=INDEX('Animal Register'!$L:$L,MATCH($B19,'Animal Register'!$A:$A,0))*0.33,"Phase 1 - Adaptation",IF(C19&lt;=INDEX('Animal Register'!$L:$L,MATCH($B19,'Animal Register'!$A:$A,0))*0.66,"Phase 2 - Growth","Phase 3 - Finishing")))</f>
        <v/>
      </c>
      <c r="E19" s="34" t="str">
        <f aca="false">IF($B19="","",IF(SUMPRODUCT(MAX(('Weight Log'!$A$5:$A$154=$B19)*('Weight Log'!$C$5:$C$154)))=0,INDEX('Animal Register'!$I:$I,MATCH($B19,'Animal Register'!$A:$A,0)),SUMPRODUCT(MAX(('Weight Log'!$A$5:$A$154=$B19)*('Weight Log'!$C$5:$C$154)))))</f>
        <v/>
      </c>
      <c r="F19" s="34" t="str">
        <f aca="false">IF($B19="","",E19*0.03)</f>
        <v/>
      </c>
      <c r="G19" s="46" t="str">
        <f aca="false">IF($B19="","",INDEX('Ration Formulator'!$D:$D,MATCH($D19,'Ration Formulator'!$A:$A,0)))</f>
        <v/>
      </c>
      <c r="H19" s="46" t="str">
        <f aca="false">IF($B19="","",INDEX('Ration Formulator'!$E:$E,MATCH($D19,'Ration Formulator'!$A:$A,0)))</f>
        <v/>
      </c>
      <c r="I19" s="34" t="str">
        <f aca="false">IF($B19="","",F19*G19)</f>
        <v/>
      </c>
      <c r="J19" s="34" t="str">
        <f aca="false">IF($B19="","",F19*H19)</f>
        <v/>
      </c>
      <c r="K19" s="34" t="str">
        <f aca="false">IF($B19="","",I19/'Ration Formulator'!$E$21)</f>
        <v/>
      </c>
      <c r="L19" s="34" t="str">
        <f aca="false">IF($B19="","",J19/INDEX('Ration Formulator'!$D$56:$D$58,MATCH($D19,'Ration Formulator'!$A$56:$A$58,0)))</f>
        <v/>
      </c>
      <c r="M19" s="34" t="str">
        <f aca="false">IF($B19="","",I19*'Ration Formulator'!$F$21+J19*INDEX('Ration Formulator'!$E$56:$E$58,MATCH($D19,'Ration Formulator'!$A$56:$A$58,0)))</f>
        <v/>
      </c>
      <c r="N19" s="32"/>
    </row>
    <row r="20" customFormat="false" ht="15" hidden="false" customHeight="false" outlineLevel="0" collapsed="false">
      <c r="A20" s="51"/>
      <c r="B20" s="50"/>
      <c r="C20" s="47" t="str">
        <f aca="false">IF($B20="","",$A20-INDEX('Animal Register'!$K:$K,MATCH($B20,'Animal Register'!$A:$A,0)))</f>
        <v/>
      </c>
      <c r="D20" s="47" t="str">
        <f aca="false">IF($B20="","",IF(C20&lt;=INDEX('Animal Register'!$L:$L,MATCH($B20,'Animal Register'!$A:$A,0))*0.33,"Phase 1 - Adaptation",IF(C20&lt;=INDEX('Animal Register'!$L:$L,MATCH($B20,'Animal Register'!$A:$A,0))*0.66,"Phase 2 - Growth","Phase 3 - Finishing")))</f>
        <v/>
      </c>
      <c r="E20" s="34" t="str">
        <f aca="false">IF($B20="","",IF(SUMPRODUCT(MAX(('Weight Log'!$A$5:$A$154=$B20)*('Weight Log'!$C$5:$C$154)))=0,INDEX('Animal Register'!$I:$I,MATCH($B20,'Animal Register'!$A:$A,0)),SUMPRODUCT(MAX(('Weight Log'!$A$5:$A$154=$B20)*('Weight Log'!$C$5:$C$154)))))</f>
        <v/>
      </c>
      <c r="F20" s="34" t="str">
        <f aca="false">IF($B20="","",E20*0.03)</f>
        <v/>
      </c>
      <c r="G20" s="46" t="str">
        <f aca="false">IF($B20="","",INDEX('Ration Formulator'!$D:$D,MATCH($D20,'Ration Formulator'!$A:$A,0)))</f>
        <v/>
      </c>
      <c r="H20" s="46" t="str">
        <f aca="false">IF($B20="","",INDEX('Ration Formulator'!$E:$E,MATCH($D20,'Ration Formulator'!$A:$A,0)))</f>
        <v/>
      </c>
      <c r="I20" s="34" t="str">
        <f aca="false">IF($B20="","",F20*G20)</f>
        <v/>
      </c>
      <c r="J20" s="34" t="str">
        <f aca="false">IF($B20="","",F20*H20)</f>
        <v/>
      </c>
      <c r="K20" s="34" t="str">
        <f aca="false">IF($B20="","",I20/'Ration Formulator'!$E$21)</f>
        <v/>
      </c>
      <c r="L20" s="34" t="str">
        <f aca="false">IF($B20="","",J20/INDEX('Ration Formulator'!$D$56:$D$58,MATCH($D20,'Ration Formulator'!$A$56:$A$58,0)))</f>
        <v/>
      </c>
      <c r="M20" s="34" t="str">
        <f aca="false">IF($B20="","",I20*'Ration Formulator'!$F$21+J20*INDEX('Ration Formulator'!$E$56:$E$58,MATCH($D20,'Ration Formulator'!$A$56:$A$58,0)))</f>
        <v/>
      </c>
      <c r="N20" s="32"/>
    </row>
    <row r="21" customFormat="false" ht="15" hidden="false" customHeight="false" outlineLevel="0" collapsed="false">
      <c r="A21" s="51"/>
      <c r="B21" s="50"/>
      <c r="C21" s="47" t="str">
        <f aca="false">IF($B21="","",$A21-INDEX('Animal Register'!$K:$K,MATCH($B21,'Animal Register'!$A:$A,0)))</f>
        <v/>
      </c>
      <c r="D21" s="47" t="str">
        <f aca="false">IF($B21="","",IF(C21&lt;=INDEX('Animal Register'!$L:$L,MATCH($B21,'Animal Register'!$A:$A,0))*0.33,"Phase 1 - Adaptation",IF(C21&lt;=INDEX('Animal Register'!$L:$L,MATCH($B21,'Animal Register'!$A:$A,0))*0.66,"Phase 2 - Growth","Phase 3 - Finishing")))</f>
        <v/>
      </c>
      <c r="E21" s="34" t="str">
        <f aca="false">IF($B21="","",IF(SUMPRODUCT(MAX(('Weight Log'!$A$5:$A$154=$B21)*('Weight Log'!$C$5:$C$154)))=0,INDEX('Animal Register'!$I:$I,MATCH($B21,'Animal Register'!$A:$A,0)),SUMPRODUCT(MAX(('Weight Log'!$A$5:$A$154=$B21)*('Weight Log'!$C$5:$C$154)))))</f>
        <v/>
      </c>
      <c r="F21" s="34" t="str">
        <f aca="false">IF($B21="","",E21*0.03)</f>
        <v/>
      </c>
      <c r="G21" s="46" t="str">
        <f aca="false">IF($B21="","",INDEX('Ration Formulator'!$D:$D,MATCH($D21,'Ration Formulator'!$A:$A,0)))</f>
        <v/>
      </c>
      <c r="H21" s="46" t="str">
        <f aca="false">IF($B21="","",INDEX('Ration Formulator'!$E:$E,MATCH($D21,'Ration Formulator'!$A:$A,0)))</f>
        <v/>
      </c>
      <c r="I21" s="34" t="str">
        <f aca="false">IF($B21="","",F21*G21)</f>
        <v/>
      </c>
      <c r="J21" s="34" t="str">
        <f aca="false">IF($B21="","",F21*H21)</f>
        <v/>
      </c>
      <c r="K21" s="34" t="str">
        <f aca="false">IF($B21="","",I21/'Ration Formulator'!$E$21)</f>
        <v/>
      </c>
      <c r="L21" s="34" t="str">
        <f aca="false">IF($B21="","",J21/INDEX('Ration Formulator'!$D$56:$D$58,MATCH($D21,'Ration Formulator'!$A$56:$A$58,0)))</f>
        <v/>
      </c>
      <c r="M21" s="34" t="str">
        <f aca="false">IF($B21="","",I21*'Ration Formulator'!$F$21+J21*INDEX('Ration Formulator'!$E$56:$E$58,MATCH($D21,'Ration Formulator'!$A$56:$A$58,0)))</f>
        <v/>
      </c>
      <c r="N21" s="32"/>
    </row>
    <row r="22" customFormat="false" ht="15" hidden="false" customHeight="false" outlineLevel="0" collapsed="false">
      <c r="A22" s="51"/>
      <c r="B22" s="50"/>
      <c r="C22" s="47" t="str">
        <f aca="false">IF($B22="","",$A22-INDEX('Animal Register'!$K:$K,MATCH($B22,'Animal Register'!$A:$A,0)))</f>
        <v/>
      </c>
      <c r="D22" s="47" t="str">
        <f aca="false">IF($B22="","",IF(C22&lt;=INDEX('Animal Register'!$L:$L,MATCH($B22,'Animal Register'!$A:$A,0))*0.33,"Phase 1 - Adaptation",IF(C22&lt;=INDEX('Animal Register'!$L:$L,MATCH($B22,'Animal Register'!$A:$A,0))*0.66,"Phase 2 - Growth","Phase 3 - Finishing")))</f>
        <v/>
      </c>
      <c r="E22" s="34" t="str">
        <f aca="false">IF($B22="","",IF(SUMPRODUCT(MAX(('Weight Log'!$A$5:$A$154=$B22)*('Weight Log'!$C$5:$C$154)))=0,INDEX('Animal Register'!$I:$I,MATCH($B22,'Animal Register'!$A:$A,0)),SUMPRODUCT(MAX(('Weight Log'!$A$5:$A$154=$B22)*('Weight Log'!$C$5:$C$154)))))</f>
        <v/>
      </c>
      <c r="F22" s="34" t="str">
        <f aca="false">IF($B22="","",E22*0.03)</f>
        <v/>
      </c>
      <c r="G22" s="46" t="str">
        <f aca="false">IF($B22="","",INDEX('Ration Formulator'!$D:$D,MATCH($D22,'Ration Formulator'!$A:$A,0)))</f>
        <v/>
      </c>
      <c r="H22" s="46" t="str">
        <f aca="false">IF($B22="","",INDEX('Ration Formulator'!$E:$E,MATCH($D22,'Ration Formulator'!$A:$A,0)))</f>
        <v/>
      </c>
      <c r="I22" s="34" t="str">
        <f aca="false">IF($B22="","",F22*G22)</f>
        <v/>
      </c>
      <c r="J22" s="34" t="str">
        <f aca="false">IF($B22="","",F22*H22)</f>
        <v/>
      </c>
      <c r="K22" s="34" t="str">
        <f aca="false">IF($B22="","",I22/'Ration Formulator'!$E$21)</f>
        <v/>
      </c>
      <c r="L22" s="34" t="str">
        <f aca="false">IF($B22="","",J22/INDEX('Ration Formulator'!$D$56:$D$58,MATCH($D22,'Ration Formulator'!$A$56:$A$58,0)))</f>
        <v/>
      </c>
      <c r="M22" s="34" t="str">
        <f aca="false">IF($B22="","",I22*'Ration Formulator'!$F$21+J22*INDEX('Ration Formulator'!$E$56:$E$58,MATCH($D22,'Ration Formulator'!$A$56:$A$58,0)))</f>
        <v/>
      </c>
      <c r="N22" s="32"/>
    </row>
    <row r="23" customFormat="false" ht="15" hidden="false" customHeight="false" outlineLevel="0" collapsed="false">
      <c r="A23" s="51"/>
      <c r="B23" s="50"/>
      <c r="C23" s="47" t="str">
        <f aca="false">IF($B23="","",$A23-INDEX('Animal Register'!$K:$K,MATCH($B23,'Animal Register'!$A:$A,0)))</f>
        <v/>
      </c>
      <c r="D23" s="47" t="str">
        <f aca="false">IF($B23="","",IF(C23&lt;=INDEX('Animal Register'!$L:$L,MATCH($B23,'Animal Register'!$A:$A,0))*0.33,"Phase 1 - Adaptation",IF(C23&lt;=INDEX('Animal Register'!$L:$L,MATCH($B23,'Animal Register'!$A:$A,0))*0.66,"Phase 2 - Growth","Phase 3 - Finishing")))</f>
        <v/>
      </c>
      <c r="E23" s="34" t="str">
        <f aca="false">IF($B23="","",IF(SUMPRODUCT(MAX(('Weight Log'!$A$5:$A$154=$B23)*('Weight Log'!$C$5:$C$154)))=0,INDEX('Animal Register'!$I:$I,MATCH($B23,'Animal Register'!$A:$A,0)),SUMPRODUCT(MAX(('Weight Log'!$A$5:$A$154=$B23)*('Weight Log'!$C$5:$C$154)))))</f>
        <v/>
      </c>
      <c r="F23" s="34" t="str">
        <f aca="false">IF($B23="","",E23*0.03)</f>
        <v/>
      </c>
      <c r="G23" s="46" t="str">
        <f aca="false">IF($B23="","",INDEX('Ration Formulator'!$D:$D,MATCH($D23,'Ration Formulator'!$A:$A,0)))</f>
        <v/>
      </c>
      <c r="H23" s="46" t="str">
        <f aca="false">IF($B23="","",INDEX('Ration Formulator'!$E:$E,MATCH($D23,'Ration Formulator'!$A:$A,0)))</f>
        <v/>
      </c>
      <c r="I23" s="34" t="str">
        <f aca="false">IF($B23="","",F23*G23)</f>
        <v/>
      </c>
      <c r="J23" s="34" t="str">
        <f aca="false">IF($B23="","",F23*H23)</f>
        <v/>
      </c>
      <c r="K23" s="34" t="str">
        <f aca="false">IF($B23="","",I23/'Ration Formulator'!$E$21)</f>
        <v/>
      </c>
      <c r="L23" s="34" t="str">
        <f aca="false">IF($B23="","",J23/INDEX('Ration Formulator'!$D$56:$D$58,MATCH($D23,'Ration Formulator'!$A$56:$A$58,0)))</f>
        <v/>
      </c>
      <c r="M23" s="34" t="str">
        <f aca="false">IF($B23="","",I23*'Ration Formulator'!$F$21+J23*INDEX('Ration Formulator'!$E$56:$E$58,MATCH($D23,'Ration Formulator'!$A$56:$A$58,0)))</f>
        <v/>
      </c>
      <c r="N23" s="32"/>
    </row>
    <row r="24" customFormat="false" ht="15" hidden="false" customHeight="false" outlineLevel="0" collapsed="false">
      <c r="A24" s="51"/>
      <c r="B24" s="50"/>
      <c r="C24" s="47" t="str">
        <f aca="false">IF($B24="","",$A24-INDEX('Animal Register'!$K:$K,MATCH($B24,'Animal Register'!$A:$A,0)))</f>
        <v/>
      </c>
      <c r="D24" s="47" t="str">
        <f aca="false">IF($B24="","",IF(C24&lt;=INDEX('Animal Register'!$L:$L,MATCH($B24,'Animal Register'!$A:$A,0))*0.33,"Phase 1 - Adaptation",IF(C24&lt;=INDEX('Animal Register'!$L:$L,MATCH($B24,'Animal Register'!$A:$A,0))*0.66,"Phase 2 - Growth","Phase 3 - Finishing")))</f>
        <v/>
      </c>
      <c r="E24" s="34" t="str">
        <f aca="false">IF($B24="","",IF(SUMPRODUCT(MAX(('Weight Log'!$A$5:$A$154=$B24)*('Weight Log'!$C$5:$C$154)))=0,INDEX('Animal Register'!$I:$I,MATCH($B24,'Animal Register'!$A:$A,0)),SUMPRODUCT(MAX(('Weight Log'!$A$5:$A$154=$B24)*('Weight Log'!$C$5:$C$154)))))</f>
        <v/>
      </c>
      <c r="F24" s="34" t="str">
        <f aca="false">IF($B24="","",E24*0.03)</f>
        <v/>
      </c>
      <c r="G24" s="46" t="str">
        <f aca="false">IF($B24="","",INDEX('Ration Formulator'!$D:$D,MATCH($D24,'Ration Formulator'!$A:$A,0)))</f>
        <v/>
      </c>
      <c r="H24" s="46" t="str">
        <f aca="false">IF($B24="","",INDEX('Ration Formulator'!$E:$E,MATCH($D24,'Ration Formulator'!$A:$A,0)))</f>
        <v/>
      </c>
      <c r="I24" s="34" t="str">
        <f aca="false">IF($B24="","",F24*G24)</f>
        <v/>
      </c>
      <c r="J24" s="34" t="str">
        <f aca="false">IF($B24="","",F24*H24)</f>
        <v/>
      </c>
      <c r="K24" s="34" t="str">
        <f aca="false">IF($B24="","",I24/'Ration Formulator'!$E$21)</f>
        <v/>
      </c>
      <c r="L24" s="34" t="str">
        <f aca="false">IF($B24="","",J24/INDEX('Ration Formulator'!$D$56:$D$58,MATCH($D24,'Ration Formulator'!$A$56:$A$58,0)))</f>
        <v/>
      </c>
      <c r="M24" s="34" t="str">
        <f aca="false">IF($B24="","",I24*'Ration Formulator'!$F$21+J24*INDEX('Ration Formulator'!$E$56:$E$58,MATCH($D24,'Ration Formulator'!$A$56:$A$58,0)))</f>
        <v/>
      </c>
      <c r="N24" s="32"/>
    </row>
    <row r="25" customFormat="false" ht="15" hidden="false" customHeight="false" outlineLevel="0" collapsed="false">
      <c r="A25" s="51"/>
      <c r="B25" s="50"/>
      <c r="C25" s="47" t="str">
        <f aca="false">IF($B25="","",$A25-INDEX('Animal Register'!$K:$K,MATCH($B25,'Animal Register'!$A:$A,0)))</f>
        <v/>
      </c>
      <c r="D25" s="47" t="str">
        <f aca="false">IF($B25="","",IF(C25&lt;=INDEX('Animal Register'!$L:$L,MATCH($B25,'Animal Register'!$A:$A,0))*0.33,"Phase 1 - Adaptation",IF(C25&lt;=INDEX('Animal Register'!$L:$L,MATCH($B25,'Animal Register'!$A:$A,0))*0.66,"Phase 2 - Growth","Phase 3 - Finishing")))</f>
        <v/>
      </c>
      <c r="E25" s="34" t="str">
        <f aca="false">IF($B25="","",IF(SUMPRODUCT(MAX(('Weight Log'!$A$5:$A$154=$B25)*('Weight Log'!$C$5:$C$154)))=0,INDEX('Animal Register'!$I:$I,MATCH($B25,'Animal Register'!$A:$A,0)),SUMPRODUCT(MAX(('Weight Log'!$A$5:$A$154=$B25)*('Weight Log'!$C$5:$C$154)))))</f>
        <v/>
      </c>
      <c r="F25" s="34" t="str">
        <f aca="false">IF($B25="","",E25*0.03)</f>
        <v/>
      </c>
      <c r="G25" s="46" t="str">
        <f aca="false">IF($B25="","",INDEX('Ration Formulator'!$D:$D,MATCH($D25,'Ration Formulator'!$A:$A,0)))</f>
        <v/>
      </c>
      <c r="H25" s="46" t="str">
        <f aca="false">IF($B25="","",INDEX('Ration Formulator'!$E:$E,MATCH($D25,'Ration Formulator'!$A:$A,0)))</f>
        <v/>
      </c>
      <c r="I25" s="34" t="str">
        <f aca="false">IF($B25="","",F25*G25)</f>
        <v/>
      </c>
      <c r="J25" s="34" t="str">
        <f aca="false">IF($B25="","",F25*H25)</f>
        <v/>
      </c>
      <c r="K25" s="34" t="str">
        <f aca="false">IF($B25="","",I25/'Ration Formulator'!$E$21)</f>
        <v/>
      </c>
      <c r="L25" s="34" t="str">
        <f aca="false">IF($B25="","",J25/INDEX('Ration Formulator'!$D$56:$D$58,MATCH($D25,'Ration Formulator'!$A$56:$A$58,0)))</f>
        <v/>
      </c>
      <c r="M25" s="34" t="str">
        <f aca="false">IF($B25="","",I25*'Ration Formulator'!$F$21+J25*INDEX('Ration Formulator'!$E$56:$E$58,MATCH($D25,'Ration Formulator'!$A$56:$A$58,0)))</f>
        <v/>
      </c>
      <c r="N25" s="32"/>
    </row>
    <row r="26" customFormat="false" ht="15" hidden="false" customHeight="false" outlineLevel="0" collapsed="false">
      <c r="A26" s="51"/>
      <c r="B26" s="50"/>
      <c r="C26" s="47" t="str">
        <f aca="false">IF($B26="","",$A26-INDEX('Animal Register'!$K:$K,MATCH($B26,'Animal Register'!$A:$A,0)))</f>
        <v/>
      </c>
      <c r="D26" s="47" t="str">
        <f aca="false">IF($B26="","",IF(C26&lt;=INDEX('Animal Register'!$L:$L,MATCH($B26,'Animal Register'!$A:$A,0))*0.33,"Phase 1 - Adaptation",IF(C26&lt;=INDEX('Animal Register'!$L:$L,MATCH($B26,'Animal Register'!$A:$A,0))*0.66,"Phase 2 - Growth","Phase 3 - Finishing")))</f>
        <v/>
      </c>
      <c r="E26" s="34" t="str">
        <f aca="false">IF($B26="","",IF(SUMPRODUCT(MAX(('Weight Log'!$A$5:$A$154=$B26)*('Weight Log'!$C$5:$C$154)))=0,INDEX('Animal Register'!$I:$I,MATCH($B26,'Animal Register'!$A:$A,0)),SUMPRODUCT(MAX(('Weight Log'!$A$5:$A$154=$B26)*('Weight Log'!$C$5:$C$154)))))</f>
        <v/>
      </c>
      <c r="F26" s="34" t="str">
        <f aca="false">IF($B26="","",E26*0.03)</f>
        <v/>
      </c>
      <c r="G26" s="46" t="str">
        <f aca="false">IF($B26="","",INDEX('Ration Formulator'!$D:$D,MATCH($D26,'Ration Formulator'!$A:$A,0)))</f>
        <v/>
      </c>
      <c r="H26" s="46" t="str">
        <f aca="false">IF($B26="","",INDEX('Ration Formulator'!$E:$E,MATCH($D26,'Ration Formulator'!$A:$A,0)))</f>
        <v/>
      </c>
      <c r="I26" s="34" t="str">
        <f aca="false">IF($B26="","",F26*G26)</f>
        <v/>
      </c>
      <c r="J26" s="34" t="str">
        <f aca="false">IF($B26="","",F26*H26)</f>
        <v/>
      </c>
      <c r="K26" s="34" t="str">
        <f aca="false">IF($B26="","",I26/'Ration Formulator'!$E$21)</f>
        <v/>
      </c>
      <c r="L26" s="34" t="str">
        <f aca="false">IF($B26="","",J26/INDEX('Ration Formulator'!$D$56:$D$58,MATCH($D26,'Ration Formulator'!$A$56:$A$58,0)))</f>
        <v/>
      </c>
      <c r="M26" s="34" t="str">
        <f aca="false">IF($B26="","",I26*'Ration Formulator'!$F$21+J26*INDEX('Ration Formulator'!$E$56:$E$58,MATCH($D26,'Ration Formulator'!$A$56:$A$58,0)))</f>
        <v/>
      </c>
      <c r="N26" s="32"/>
    </row>
    <row r="27" customFormat="false" ht="15" hidden="false" customHeight="false" outlineLevel="0" collapsed="false">
      <c r="A27" s="51"/>
      <c r="B27" s="50"/>
      <c r="C27" s="47" t="str">
        <f aca="false">IF($B27="","",$A27-INDEX('Animal Register'!$K:$K,MATCH($B27,'Animal Register'!$A:$A,0)))</f>
        <v/>
      </c>
      <c r="D27" s="47" t="str">
        <f aca="false">IF($B27="","",IF(C27&lt;=INDEX('Animal Register'!$L:$L,MATCH($B27,'Animal Register'!$A:$A,0))*0.33,"Phase 1 - Adaptation",IF(C27&lt;=INDEX('Animal Register'!$L:$L,MATCH($B27,'Animal Register'!$A:$A,0))*0.66,"Phase 2 - Growth","Phase 3 - Finishing")))</f>
        <v/>
      </c>
      <c r="E27" s="34" t="str">
        <f aca="false">IF($B27="","",IF(SUMPRODUCT(MAX(('Weight Log'!$A$5:$A$154=$B27)*('Weight Log'!$C$5:$C$154)))=0,INDEX('Animal Register'!$I:$I,MATCH($B27,'Animal Register'!$A:$A,0)),SUMPRODUCT(MAX(('Weight Log'!$A$5:$A$154=$B27)*('Weight Log'!$C$5:$C$154)))))</f>
        <v/>
      </c>
      <c r="F27" s="34" t="str">
        <f aca="false">IF($B27="","",E27*0.03)</f>
        <v/>
      </c>
      <c r="G27" s="46" t="str">
        <f aca="false">IF($B27="","",INDEX('Ration Formulator'!$D:$D,MATCH($D27,'Ration Formulator'!$A:$A,0)))</f>
        <v/>
      </c>
      <c r="H27" s="46" t="str">
        <f aca="false">IF($B27="","",INDEX('Ration Formulator'!$E:$E,MATCH($D27,'Ration Formulator'!$A:$A,0)))</f>
        <v/>
      </c>
      <c r="I27" s="34" t="str">
        <f aca="false">IF($B27="","",F27*G27)</f>
        <v/>
      </c>
      <c r="J27" s="34" t="str">
        <f aca="false">IF($B27="","",F27*H27)</f>
        <v/>
      </c>
      <c r="K27" s="34" t="str">
        <f aca="false">IF($B27="","",I27/'Ration Formulator'!$E$21)</f>
        <v/>
      </c>
      <c r="L27" s="34" t="str">
        <f aca="false">IF($B27="","",J27/INDEX('Ration Formulator'!$D$56:$D$58,MATCH($D27,'Ration Formulator'!$A$56:$A$58,0)))</f>
        <v/>
      </c>
      <c r="M27" s="34" t="str">
        <f aca="false">IF($B27="","",I27*'Ration Formulator'!$F$21+J27*INDEX('Ration Formulator'!$E$56:$E$58,MATCH($D27,'Ration Formulator'!$A$56:$A$58,0)))</f>
        <v/>
      </c>
      <c r="N27" s="32"/>
    </row>
    <row r="28" customFormat="false" ht="15" hidden="false" customHeight="false" outlineLevel="0" collapsed="false">
      <c r="A28" s="51"/>
      <c r="B28" s="50"/>
      <c r="C28" s="47" t="str">
        <f aca="false">IF($B28="","",$A28-INDEX('Animal Register'!$K:$K,MATCH($B28,'Animal Register'!$A:$A,0)))</f>
        <v/>
      </c>
      <c r="D28" s="47" t="str">
        <f aca="false">IF($B28="","",IF(C28&lt;=INDEX('Animal Register'!$L:$L,MATCH($B28,'Animal Register'!$A:$A,0))*0.33,"Phase 1 - Adaptation",IF(C28&lt;=INDEX('Animal Register'!$L:$L,MATCH($B28,'Animal Register'!$A:$A,0))*0.66,"Phase 2 - Growth","Phase 3 - Finishing")))</f>
        <v/>
      </c>
      <c r="E28" s="34" t="str">
        <f aca="false">IF($B28="","",IF(SUMPRODUCT(MAX(('Weight Log'!$A$5:$A$154=$B28)*('Weight Log'!$C$5:$C$154)))=0,INDEX('Animal Register'!$I:$I,MATCH($B28,'Animal Register'!$A:$A,0)),SUMPRODUCT(MAX(('Weight Log'!$A$5:$A$154=$B28)*('Weight Log'!$C$5:$C$154)))))</f>
        <v/>
      </c>
      <c r="F28" s="34" t="str">
        <f aca="false">IF($B28="","",E28*0.03)</f>
        <v/>
      </c>
      <c r="G28" s="46" t="str">
        <f aca="false">IF($B28="","",INDEX('Ration Formulator'!$D:$D,MATCH($D28,'Ration Formulator'!$A:$A,0)))</f>
        <v/>
      </c>
      <c r="H28" s="46" t="str">
        <f aca="false">IF($B28="","",INDEX('Ration Formulator'!$E:$E,MATCH($D28,'Ration Formulator'!$A:$A,0)))</f>
        <v/>
      </c>
      <c r="I28" s="34" t="str">
        <f aca="false">IF($B28="","",F28*G28)</f>
        <v/>
      </c>
      <c r="J28" s="34" t="str">
        <f aca="false">IF($B28="","",F28*H28)</f>
        <v/>
      </c>
      <c r="K28" s="34" t="str">
        <f aca="false">IF($B28="","",I28/'Ration Formulator'!$E$21)</f>
        <v/>
      </c>
      <c r="L28" s="34" t="str">
        <f aca="false">IF($B28="","",J28/INDEX('Ration Formulator'!$D$56:$D$58,MATCH($D28,'Ration Formulator'!$A$56:$A$58,0)))</f>
        <v/>
      </c>
      <c r="M28" s="34" t="str">
        <f aca="false">IF($B28="","",I28*'Ration Formulator'!$F$21+J28*INDEX('Ration Formulator'!$E$56:$E$58,MATCH($D28,'Ration Formulator'!$A$56:$A$58,0)))</f>
        <v/>
      </c>
      <c r="N28" s="32"/>
    </row>
    <row r="29" customFormat="false" ht="15" hidden="false" customHeight="false" outlineLevel="0" collapsed="false">
      <c r="A29" s="51"/>
      <c r="B29" s="50"/>
      <c r="C29" s="47" t="str">
        <f aca="false">IF($B29="","",$A29-INDEX('Animal Register'!$K:$K,MATCH($B29,'Animal Register'!$A:$A,0)))</f>
        <v/>
      </c>
      <c r="D29" s="47" t="str">
        <f aca="false">IF($B29="","",IF(C29&lt;=INDEX('Animal Register'!$L:$L,MATCH($B29,'Animal Register'!$A:$A,0))*0.33,"Phase 1 - Adaptation",IF(C29&lt;=INDEX('Animal Register'!$L:$L,MATCH($B29,'Animal Register'!$A:$A,0))*0.66,"Phase 2 - Growth","Phase 3 - Finishing")))</f>
        <v/>
      </c>
      <c r="E29" s="34" t="str">
        <f aca="false">IF($B29="","",IF(SUMPRODUCT(MAX(('Weight Log'!$A$5:$A$154=$B29)*('Weight Log'!$C$5:$C$154)))=0,INDEX('Animal Register'!$I:$I,MATCH($B29,'Animal Register'!$A:$A,0)),SUMPRODUCT(MAX(('Weight Log'!$A$5:$A$154=$B29)*('Weight Log'!$C$5:$C$154)))))</f>
        <v/>
      </c>
      <c r="F29" s="34" t="str">
        <f aca="false">IF($B29="","",E29*0.03)</f>
        <v/>
      </c>
      <c r="G29" s="46" t="str">
        <f aca="false">IF($B29="","",INDEX('Ration Formulator'!$D:$D,MATCH($D29,'Ration Formulator'!$A:$A,0)))</f>
        <v/>
      </c>
      <c r="H29" s="46" t="str">
        <f aca="false">IF($B29="","",INDEX('Ration Formulator'!$E:$E,MATCH($D29,'Ration Formulator'!$A:$A,0)))</f>
        <v/>
      </c>
      <c r="I29" s="34" t="str">
        <f aca="false">IF($B29="","",F29*G29)</f>
        <v/>
      </c>
      <c r="J29" s="34" t="str">
        <f aca="false">IF($B29="","",F29*H29)</f>
        <v/>
      </c>
      <c r="K29" s="34" t="str">
        <f aca="false">IF($B29="","",I29/'Ration Formulator'!$E$21)</f>
        <v/>
      </c>
      <c r="L29" s="34" t="str">
        <f aca="false">IF($B29="","",J29/INDEX('Ration Formulator'!$D$56:$D$58,MATCH($D29,'Ration Formulator'!$A$56:$A$58,0)))</f>
        <v/>
      </c>
      <c r="M29" s="34" t="str">
        <f aca="false">IF($B29="","",I29*'Ration Formulator'!$F$21+J29*INDEX('Ration Formulator'!$E$56:$E$58,MATCH($D29,'Ration Formulator'!$A$56:$A$58,0)))</f>
        <v/>
      </c>
      <c r="N29" s="32"/>
    </row>
    <row r="30" customFormat="false" ht="15" hidden="false" customHeight="false" outlineLevel="0" collapsed="false">
      <c r="A30" s="51"/>
      <c r="B30" s="50"/>
      <c r="C30" s="47" t="str">
        <f aca="false">IF($B30="","",$A30-INDEX('Animal Register'!$K:$K,MATCH($B30,'Animal Register'!$A:$A,0)))</f>
        <v/>
      </c>
      <c r="D30" s="47" t="str">
        <f aca="false">IF($B30="","",IF(C30&lt;=INDEX('Animal Register'!$L:$L,MATCH($B30,'Animal Register'!$A:$A,0))*0.33,"Phase 1 - Adaptation",IF(C30&lt;=INDEX('Animal Register'!$L:$L,MATCH($B30,'Animal Register'!$A:$A,0))*0.66,"Phase 2 - Growth","Phase 3 - Finishing")))</f>
        <v/>
      </c>
      <c r="E30" s="34" t="str">
        <f aca="false">IF($B30="","",IF(SUMPRODUCT(MAX(('Weight Log'!$A$5:$A$154=$B30)*('Weight Log'!$C$5:$C$154)))=0,INDEX('Animal Register'!$I:$I,MATCH($B30,'Animal Register'!$A:$A,0)),SUMPRODUCT(MAX(('Weight Log'!$A$5:$A$154=$B30)*('Weight Log'!$C$5:$C$154)))))</f>
        <v/>
      </c>
      <c r="F30" s="34" t="str">
        <f aca="false">IF($B30="","",E30*0.03)</f>
        <v/>
      </c>
      <c r="G30" s="46" t="str">
        <f aca="false">IF($B30="","",INDEX('Ration Formulator'!$D:$D,MATCH($D30,'Ration Formulator'!$A:$A,0)))</f>
        <v/>
      </c>
      <c r="H30" s="46" t="str">
        <f aca="false">IF($B30="","",INDEX('Ration Formulator'!$E:$E,MATCH($D30,'Ration Formulator'!$A:$A,0)))</f>
        <v/>
      </c>
      <c r="I30" s="34" t="str">
        <f aca="false">IF($B30="","",F30*G30)</f>
        <v/>
      </c>
      <c r="J30" s="34" t="str">
        <f aca="false">IF($B30="","",F30*H30)</f>
        <v/>
      </c>
      <c r="K30" s="34" t="str">
        <f aca="false">IF($B30="","",I30/'Ration Formulator'!$E$21)</f>
        <v/>
      </c>
      <c r="L30" s="34" t="str">
        <f aca="false">IF($B30="","",J30/INDEX('Ration Formulator'!$D$56:$D$58,MATCH($D30,'Ration Formulator'!$A$56:$A$58,0)))</f>
        <v/>
      </c>
      <c r="M30" s="34" t="str">
        <f aca="false">IF($B30="","",I30*'Ration Formulator'!$F$21+J30*INDEX('Ration Formulator'!$E$56:$E$58,MATCH($D30,'Ration Formulator'!$A$56:$A$58,0)))</f>
        <v/>
      </c>
      <c r="N30" s="32"/>
    </row>
    <row r="31" customFormat="false" ht="15" hidden="false" customHeight="false" outlineLevel="0" collapsed="false">
      <c r="A31" s="51"/>
      <c r="B31" s="50"/>
      <c r="C31" s="47" t="str">
        <f aca="false">IF($B31="","",$A31-INDEX('Animal Register'!$K:$K,MATCH($B31,'Animal Register'!$A:$A,0)))</f>
        <v/>
      </c>
      <c r="D31" s="47" t="str">
        <f aca="false">IF($B31="","",IF(C31&lt;=INDEX('Animal Register'!$L:$L,MATCH($B31,'Animal Register'!$A:$A,0))*0.33,"Phase 1 - Adaptation",IF(C31&lt;=INDEX('Animal Register'!$L:$L,MATCH($B31,'Animal Register'!$A:$A,0))*0.66,"Phase 2 - Growth","Phase 3 - Finishing")))</f>
        <v/>
      </c>
      <c r="E31" s="34" t="str">
        <f aca="false">IF($B31="","",IF(SUMPRODUCT(MAX(('Weight Log'!$A$5:$A$154=$B31)*('Weight Log'!$C$5:$C$154)))=0,INDEX('Animal Register'!$I:$I,MATCH($B31,'Animal Register'!$A:$A,0)),SUMPRODUCT(MAX(('Weight Log'!$A$5:$A$154=$B31)*('Weight Log'!$C$5:$C$154)))))</f>
        <v/>
      </c>
      <c r="F31" s="34" t="str">
        <f aca="false">IF($B31="","",E31*0.03)</f>
        <v/>
      </c>
      <c r="G31" s="46" t="str">
        <f aca="false">IF($B31="","",INDEX('Ration Formulator'!$D:$D,MATCH($D31,'Ration Formulator'!$A:$A,0)))</f>
        <v/>
      </c>
      <c r="H31" s="46" t="str">
        <f aca="false">IF($B31="","",INDEX('Ration Formulator'!$E:$E,MATCH($D31,'Ration Formulator'!$A:$A,0)))</f>
        <v/>
      </c>
      <c r="I31" s="34" t="str">
        <f aca="false">IF($B31="","",F31*G31)</f>
        <v/>
      </c>
      <c r="J31" s="34" t="str">
        <f aca="false">IF($B31="","",F31*H31)</f>
        <v/>
      </c>
      <c r="K31" s="34" t="str">
        <f aca="false">IF($B31="","",I31/'Ration Formulator'!$E$21)</f>
        <v/>
      </c>
      <c r="L31" s="34" t="str">
        <f aca="false">IF($B31="","",J31/INDEX('Ration Formulator'!$D$56:$D$58,MATCH($D31,'Ration Formulator'!$A$56:$A$58,0)))</f>
        <v/>
      </c>
      <c r="M31" s="34" t="str">
        <f aca="false">IF($B31="","",I31*'Ration Formulator'!$F$21+J31*INDEX('Ration Formulator'!$E$56:$E$58,MATCH($D31,'Ration Formulator'!$A$56:$A$58,0)))</f>
        <v/>
      </c>
      <c r="N31" s="32"/>
    </row>
    <row r="32" customFormat="false" ht="15" hidden="false" customHeight="false" outlineLevel="0" collapsed="false">
      <c r="A32" s="51"/>
      <c r="B32" s="50"/>
      <c r="C32" s="47" t="str">
        <f aca="false">IF($B32="","",$A32-INDEX('Animal Register'!$K:$K,MATCH($B32,'Animal Register'!$A:$A,0)))</f>
        <v/>
      </c>
      <c r="D32" s="47" t="str">
        <f aca="false">IF($B32="","",IF(C32&lt;=INDEX('Animal Register'!$L:$L,MATCH($B32,'Animal Register'!$A:$A,0))*0.33,"Phase 1 - Adaptation",IF(C32&lt;=INDEX('Animal Register'!$L:$L,MATCH($B32,'Animal Register'!$A:$A,0))*0.66,"Phase 2 - Growth","Phase 3 - Finishing")))</f>
        <v/>
      </c>
      <c r="E32" s="34" t="str">
        <f aca="false">IF($B32="","",IF(SUMPRODUCT(MAX(('Weight Log'!$A$5:$A$154=$B32)*('Weight Log'!$C$5:$C$154)))=0,INDEX('Animal Register'!$I:$I,MATCH($B32,'Animal Register'!$A:$A,0)),SUMPRODUCT(MAX(('Weight Log'!$A$5:$A$154=$B32)*('Weight Log'!$C$5:$C$154)))))</f>
        <v/>
      </c>
      <c r="F32" s="34" t="str">
        <f aca="false">IF($B32="","",E32*0.03)</f>
        <v/>
      </c>
      <c r="G32" s="46" t="str">
        <f aca="false">IF($B32="","",INDEX('Ration Formulator'!$D:$D,MATCH($D32,'Ration Formulator'!$A:$A,0)))</f>
        <v/>
      </c>
      <c r="H32" s="46" t="str">
        <f aca="false">IF($B32="","",INDEX('Ration Formulator'!$E:$E,MATCH($D32,'Ration Formulator'!$A:$A,0)))</f>
        <v/>
      </c>
      <c r="I32" s="34" t="str">
        <f aca="false">IF($B32="","",F32*G32)</f>
        <v/>
      </c>
      <c r="J32" s="34" t="str">
        <f aca="false">IF($B32="","",F32*H32)</f>
        <v/>
      </c>
      <c r="K32" s="34" t="str">
        <f aca="false">IF($B32="","",I32/'Ration Formulator'!$E$21)</f>
        <v/>
      </c>
      <c r="L32" s="34" t="str">
        <f aca="false">IF($B32="","",J32/INDEX('Ration Formulator'!$D$56:$D$58,MATCH($D32,'Ration Formulator'!$A$56:$A$58,0)))</f>
        <v/>
      </c>
      <c r="M32" s="34" t="str">
        <f aca="false">IF($B32="","",I32*'Ration Formulator'!$F$21+J32*INDEX('Ration Formulator'!$E$56:$E$58,MATCH($D32,'Ration Formulator'!$A$56:$A$58,0)))</f>
        <v/>
      </c>
      <c r="N32" s="32"/>
    </row>
    <row r="33" customFormat="false" ht="15" hidden="false" customHeight="false" outlineLevel="0" collapsed="false">
      <c r="A33" s="51"/>
      <c r="B33" s="50"/>
      <c r="C33" s="47" t="str">
        <f aca="false">IF($B33="","",$A33-INDEX('Animal Register'!$K:$K,MATCH($B33,'Animal Register'!$A:$A,0)))</f>
        <v/>
      </c>
      <c r="D33" s="47" t="str">
        <f aca="false">IF($B33="","",IF(C33&lt;=INDEX('Animal Register'!$L:$L,MATCH($B33,'Animal Register'!$A:$A,0))*0.33,"Phase 1 - Adaptation",IF(C33&lt;=INDEX('Animal Register'!$L:$L,MATCH($B33,'Animal Register'!$A:$A,0))*0.66,"Phase 2 - Growth","Phase 3 - Finishing")))</f>
        <v/>
      </c>
      <c r="E33" s="34" t="str">
        <f aca="false">IF($B33="","",IF(SUMPRODUCT(MAX(('Weight Log'!$A$5:$A$154=$B33)*('Weight Log'!$C$5:$C$154)))=0,INDEX('Animal Register'!$I:$I,MATCH($B33,'Animal Register'!$A:$A,0)),SUMPRODUCT(MAX(('Weight Log'!$A$5:$A$154=$B33)*('Weight Log'!$C$5:$C$154)))))</f>
        <v/>
      </c>
      <c r="F33" s="34" t="str">
        <f aca="false">IF($B33="","",E33*0.03)</f>
        <v/>
      </c>
      <c r="G33" s="46" t="str">
        <f aca="false">IF($B33="","",INDEX('Ration Formulator'!$D:$D,MATCH($D33,'Ration Formulator'!$A:$A,0)))</f>
        <v/>
      </c>
      <c r="H33" s="46" t="str">
        <f aca="false">IF($B33="","",INDEX('Ration Formulator'!$E:$E,MATCH($D33,'Ration Formulator'!$A:$A,0)))</f>
        <v/>
      </c>
      <c r="I33" s="34" t="str">
        <f aca="false">IF($B33="","",F33*G33)</f>
        <v/>
      </c>
      <c r="J33" s="34" t="str">
        <f aca="false">IF($B33="","",F33*H33)</f>
        <v/>
      </c>
      <c r="K33" s="34" t="str">
        <f aca="false">IF($B33="","",I33/'Ration Formulator'!$E$21)</f>
        <v/>
      </c>
      <c r="L33" s="34" t="str">
        <f aca="false">IF($B33="","",J33/INDEX('Ration Formulator'!$D$56:$D$58,MATCH($D33,'Ration Formulator'!$A$56:$A$58,0)))</f>
        <v/>
      </c>
      <c r="M33" s="34" t="str">
        <f aca="false">IF($B33="","",I33*'Ration Formulator'!$F$21+J33*INDEX('Ration Formulator'!$E$56:$E$58,MATCH($D33,'Ration Formulator'!$A$56:$A$58,0)))</f>
        <v/>
      </c>
      <c r="N33" s="32"/>
    </row>
    <row r="34" customFormat="false" ht="15" hidden="false" customHeight="false" outlineLevel="0" collapsed="false">
      <c r="A34" s="51"/>
      <c r="B34" s="50"/>
      <c r="C34" s="47" t="str">
        <f aca="false">IF($B34="","",$A34-INDEX('Animal Register'!$K:$K,MATCH($B34,'Animal Register'!$A:$A,0)))</f>
        <v/>
      </c>
      <c r="D34" s="47" t="str">
        <f aca="false">IF($B34="","",IF(C34&lt;=INDEX('Animal Register'!$L:$L,MATCH($B34,'Animal Register'!$A:$A,0))*0.33,"Phase 1 - Adaptation",IF(C34&lt;=INDEX('Animal Register'!$L:$L,MATCH($B34,'Animal Register'!$A:$A,0))*0.66,"Phase 2 - Growth","Phase 3 - Finishing")))</f>
        <v/>
      </c>
      <c r="E34" s="34" t="str">
        <f aca="false">IF($B34="","",IF(SUMPRODUCT(MAX(('Weight Log'!$A$5:$A$154=$B34)*('Weight Log'!$C$5:$C$154)))=0,INDEX('Animal Register'!$I:$I,MATCH($B34,'Animal Register'!$A:$A,0)),SUMPRODUCT(MAX(('Weight Log'!$A$5:$A$154=$B34)*('Weight Log'!$C$5:$C$154)))))</f>
        <v/>
      </c>
      <c r="F34" s="34" t="str">
        <f aca="false">IF($B34="","",E34*0.03)</f>
        <v/>
      </c>
      <c r="G34" s="46" t="str">
        <f aca="false">IF($B34="","",INDEX('Ration Formulator'!$D:$D,MATCH($D34,'Ration Formulator'!$A:$A,0)))</f>
        <v/>
      </c>
      <c r="H34" s="46" t="str">
        <f aca="false">IF($B34="","",INDEX('Ration Formulator'!$E:$E,MATCH($D34,'Ration Formulator'!$A:$A,0)))</f>
        <v/>
      </c>
      <c r="I34" s="34" t="str">
        <f aca="false">IF($B34="","",F34*G34)</f>
        <v/>
      </c>
      <c r="J34" s="34" t="str">
        <f aca="false">IF($B34="","",F34*H34)</f>
        <v/>
      </c>
      <c r="K34" s="34" t="str">
        <f aca="false">IF($B34="","",I34/'Ration Formulator'!$E$21)</f>
        <v/>
      </c>
      <c r="L34" s="34" t="str">
        <f aca="false">IF($B34="","",J34/INDEX('Ration Formulator'!$D$56:$D$58,MATCH($D34,'Ration Formulator'!$A$56:$A$58,0)))</f>
        <v/>
      </c>
      <c r="M34" s="34" t="str">
        <f aca="false">IF($B34="","",I34*'Ration Formulator'!$F$21+J34*INDEX('Ration Formulator'!$E$56:$E$58,MATCH($D34,'Ration Formulator'!$A$56:$A$58,0)))</f>
        <v/>
      </c>
      <c r="N34" s="32"/>
    </row>
    <row r="35" customFormat="false" ht="15" hidden="false" customHeight="false" outlineLevel="0" collapsed="false">
      <c r="A35" s="51"/>
      <c r="B35" s="50"/>
      <c r="C35" s="47" t="str">
        <f aca="false">IF($B35="","",$A35-INDEX('Animal Register'!$K:$K,MATCH($B35,'Animal Register'!$A:$A,0)))</f>
        <v/>
      </c>
      <c r="D35" s="47" t="str">
        <f aca="false">IF($B35="","",IF(C35&lt;=INDEX('Animal Register'!$L:$L,MATCH($B35,'Animal Register'!$A:$A,0))*0.33,"Phase 1 - Adaptation",IF(C35&lt;=INDEX('Animal Register'!$L:$L,MATCH($B35,'Animal Register'!$A:$A,0))*0.66,"Phase 2 - Growth","Phase 3 - Finishing")))</f>
        <v/>
      </c>
      <c r="E35" s="34" t="str">
        <f aca="false">IF($B35="","",IF(SUMPRODUCT(MAX(('Weight Log'!$A$5:$A$154=$B35)*('Weight Log'!$C$5:$C$154)))=0,INDEX('Animal Register'!$I:$I,MATCH($B35,'Animal Register'!$A:$A,0)),SUMPRODUCT(MAX(('Weight Log'!$A$5:$A$154=$B35)*('Weight Log'!$C$5:$C$154)))))</f>
        <v/>
      </c>
      <c r="F35" s="34" t="str">
        <f aca="false">IF($B35="","",E35*0.03)</f>
        <v/>
      </c>
      <c r="G35" s="46" t="str">
        <f aca="false">IF($B35="","",INDEX('Ration Formulator'!$D:$D,MATCH($D35,'Ration Formulator'!$A:$A,0)))</f>
        <v/>
      </c>
      <c r="H35" s="46" t="str">
        <f aca="false">IF($B35="","",INDEX('Ration Formulator'!$E:$E,MATCH($D35,'Ration Formulator'!$A:$A,0)))</f>
        <v/>
      </c>
      <c r="I35" s="34" t="str">
        <f aca="false">IF($B35="","",F35*G35)</f>
        <v/>
      </c>
      <c r="J35" s="34" t="str">
        <f aca="false">IF($B35="","",F35*H35)</f>
        <v/>
      </c>
      <c r="K35" s="34" t="str">
        <f aca="false">IF($B35="","",I35/'Ration Formulator'!$E$21)</f>
        <v/>
      </c>
      <c r="L35" s="34" t="str">
        <f aca="false">IF($B35="","",J35/INDEX('Ration Formulator'!$D$56:$D$58,MATCH($D35,'Ration Formulator'!$A$56:$A$58,0)))</f>
        <v/>
      </c>
      <c r="M35" s="34" t="str">
        <f aca="false">IF($B35="","",I35*'Ration Formulator'!$F$21+J35*INDEX('Ration Formulator'!$E$56:$E$58,MATCH($D35,'Ration Formulator'!$A$56:$A$58,0)))</f>
        <v/>
      </c>
      <c r="N35" s="32"/>
    </row>
    <row r="36" customFormat="false" ht="15" hidden="false" customHeight="false" outlineLevel="0" collapsed="false">
      <c r="A36" s="51"/>
      <c r="B36" s="50"/>
      <c r="C36" s="47" t="str">
        <f aca="false">IF($B36="","",$A36-INDEX('Animal Register'!$K:$K,MATCH($B36,'Animal Register'!$A:$A,0)))</f>
        <v/>
      </c>
      <c r="D36" s="47" t="str">
        <f aca="false">IF($B36="","",IF(C36&lt;=INDEX('Animal Register'!$L:$L,MATCH($B36,'Animal Register'!$A:$A,0))*0.33,"Phase 1 - Adaptation",IF(C36&lt;=INDEX('Animal Register'!$L:$L,MATCH($B36,'Animal Register'!$A:$A,0))*0.66,"Phase 2 - Growth","Phase 3 - Finishing")))</f>
        <v/>
      </c>
      <c r="E36" s="34" t="str">
        <f aca="false">IF($B36="","",IF(SUMPRODUCT(MAX(('Weight Log'!$A$5:$A$154=$B36)*('Weight Log'!$C$5:$C$154)))=0,INDEX('Animal Register'!$I:$I,MATCH($B36,'Animal Register'!$A:$A,0)),SUMPRODUCT(MAX(('Weight Log'!$A$5:$A$154=$B36)*('Weight Log'!$C$5:$C$154)))))</f>
        <v/>
      </c>
      <c r="F36" s="34" t="str">
        <f aca="false">IF($B36="","",E36*0.03)</f>
        <v/>
      </c>
      <c r="G36" s="46" t="str">
        <f aca="false">IF($B36="","",INDEX('Ration Formulator'!$D:$D,MATCH($D36,'Ration Formulator'!$A:$A,0)))</f>
        <v/>
      </c>
      <c r="H36" s="46" t="str">
        <f aca="false">IF($B36="","",INDEX('Ration Formulator'!$E:$E,MATCH($D36,'Ration Formulator'!$A:$A,0)))</f>
        <v/>
      </c>
      <c r="I36" s="34" t="str">
        <f aca="false">IF($B36="","",F36*G36)</f>
        <v/>
      </c>
      <c r="J36" s="34" t="str">
        <f aca="false">IF($B36="","",F36*H36)</f>
        <v/>
      </c>
      <c r="K36" s="34" t="str">
        <f aca="false">IF($B36="","",I36/'Ration Formulator'!$E$21)</f>
        <v/>
      </c>
      <c r="L36" s="34" t="str">
        <f aca="false">IF($B36="","",J36/INDEX('Ration Formulator'!$D$56:$D$58,MATCH($D36,'Ration Formulator'!$A$56:$A$58,0)))</f>
        <v/>
      </c>
      <c r="M36" s="34" t="str">
        <f aca="false">IF($B36="","",I36*'Ration Formulator'!$F$21+J36*INDEX('Ration Formulator'!$E$56:$E$58,MATCH($D36,'Ration Formulator'!$A$56:$A$58,0)))</f>
        <v/>
      </c>
      <c r="N36" s="32"/>
    </row>
    <row r="37" customFormat="false" ht="15" hidden="false" customHeight="false" outlineLevel="0" collapsed="false">
      <c r="A37" s="51"/>
      <c r="B37" s="50"/>
      <c r="C37" s="47" t="str">
        <f aca="false">IF($B37="","",$A37-INDEX('Animal Register'!$K:$K,MATCH($B37,'Animal Register'!$A:$A,0)))</f>
        <v/>
      </c>
      <c r="D37" s="47" t="str">
        <f aca="false">IF($B37="","",IF(C37&lt;=INDEX('Animal Register'!$L:$L,MATCH($B37,'Animal Register'!$A:$A,0))*0.33,"Phase 1 - Adaptation",IF(C37&lt;=INDEX('Animal Register'!$L:$L,MATCH($B37,'Animal Register'!$A:$A,0))*0.66,"Phase 2 - Growth","Phase 3 - Finishing")))</f>
        <v/>
      </c>
      <c r="E37" s="34" t="str">
        <f aca="false">IF($B37="","",IF(SUMPRODUCT(MAX(('Weight Log'!$A$5:$A$154=$B37)*('Weight Log'!$C$5:$C$154)))=0,INDEX('Animal Register'!$I:$I,MATCH($B37,'Animal Register'!$A:$A,0)),SUMPRODUCT(MAX(('Weight Log'!$A$5:$A$154=$B37)*('Weight Log'!$C$5:$C$154)))))</f>
        <v/>
      </c>
      <c r="F37" s="34" t="str">
        <f aca="false">IF($B37="","",E37*0.03)</f>
        <v/>
      </c>
      <c r="G37" s="46" t="str">
        <f aca="false">IF($B37="","",INDEX('Ration Formulator'!$D:$D,MATCH($D37,'Ration Formulator'!$A:$A,0)))</f>
        <v/>
      </c>
      <c r="H37" s="46" t="str">
        <f aca="false">IF($B37="","",INDEX('Ration Formulator'!$E:$E,MATCH($D37,'Ration Formulator'!$A:$A,0)))</f>
        <v/>
      </c>
      <c r="I37" s="34" t="str">
        <f aca="false">IF($B37="","",F37*G37)</f>
        <v/>
      </c>
      <c r="J37" s="34" t="str">
        <f aca="false">IF($B37="","",F37*H37)</f>
        <v/>
      </c>
      <c r="K37" s="34" t="str">
        <f aca="false">IF($B37="","",I37/'Ration Formulator'!$E$21)</f>
        <v/>
      </c>
      <c r="L37" s="34" t="str">
        <f aca="false">IF($B37="","",J37/INDEX('Ration Formulator'!$D$56:$D$58,MATCH($D37,'Ration Formulator'!$A$56:$A$58,0)))</f>
        <v/>
      </c>
      <c r="M37" s="34" t="str">
        <f aca="false">IF($B37="","",I37*'Ration Formulator'!$F$21+J37*INDEX('Ration Formulator'!$E$56:$E$58,MATCH($D37,'Ration Formulator'!$A$56:$A$58,0)))</f>
        <v/>
      </c>
      <c r="N37" s="32"/>
    </row>
    <row r="38" customFormat="false" ht="15" hidden="false" customHeight="false" outlineLevel="0" collapsed="false">
      <c r="A38" s="51"/>
      <c r="B38" s="50"/>
      <c r="C38" s="47" t="str">
        <f aca="false">IF($B38="","",$A38-INDEX('Animal Register'!$K:$K,MATCH($B38,'Animal Register'!$A:$A,0)))</f>
        <v/>
      </c>
      <c r="D38" s="47" t="str">
        <f aca="false">IF($B38="","",IF(C38&lt;=INDEX('Animal Register'!$L:$L,MATCH($B38,'Animal Register'!$A:$A,0))*0.33,"Phase 1 - Adaptation",IF(C38&lt;=INDEX('Animal Register'!$L:$L,MATCH($B38,'Animal Register'!$A:$A,0))*0.66,"Phase 2 - Growth","Phase 3 - Finishing")))</f>
        <v/>
      </c>
      <c r="E38" s="34" t="str">
        <f aca="false">IF($B38="","",IF(SUMPRODUCT(MAX(('Weight Log'!$A$5:$A$154=$B38)*('Weight Log'!$C$5:$C$154)))=0,INDEX('Animal Register'!$I:$I,MATCH($B38,'Animal Register'!$A:$A,0)),SUMPRODUCT(MAX(('Weight Log'!$A$5:$A$154=$B38)*('Weight Log'!$C$5:$C$154)))))</f>
        <v/>
      </c>
      <c r="F38" s="34" t="str">
        <f aca="false">IF($B38="","",E38*0.03)</f>
        <v/>
      </c>
      <c r="G38" s="46" t="str">
        <f aca="false">IF($B38="","",INDEX('Ration Formulator'!$D:$D,MATCH($D38,'Ration Formulator'!$A:$A,0)))</f>
        <v/>
      </c>
      <c r="H38" s="46" t="str">
        <f aca="false">IF($B38="","",INDEX('Ration Formulator'!$E:$E,MATCH($D38,'Ration Formulator'!$A:$A,0)))</f>
        <v/>
      </c>
      <c r="I38" s="34" t="str">
        <f aca="false">IF($B38="","",F38*G38)</f>
        <v/>
      </c>
      <c r="J38" s="34" t="str">
        <f aca="false">IF($B38="","",F38*H38)</f>
        <v/>
      </c>
      <c r="K38" s="34" t="str">
        <f aca="false">IF($B38="","",I38/'Ration Formulator'!$E$21)</f>
        <v/>
      </c>
      <c r="L38" s="34" t="str">
        <f aca="false">IF($B38="","",J38/INDEX('Ration Formulator'!$D$56:$D$58,MATCH($D38,'Ration Formulator'!$A$56:$A$58,0)))</f>
        <v/>
      </c>
      <c r="M38" s="34" t="str">
        <f aca="false">IF($B38="","",I38*'Ration Formulator'!$F$21+J38*INDEX('Ration Formulator'!$E$56:$E$58,MATCH($D38,'Ration Formulator'!$A$56:$A$58,0)))</f>
        <v/>
      </c>
      <c r="N38" s="32"/>
    </row>
    <row r="39" customFormat="false" ht="15" hidden="false" customHeight="false" outlineLevel="0" collapsed="false">
      <c r="A39" s="51"/>
      <c r="B39" s="50"/>
      <c r="C39" s="47" t="str">
        <f aca="false">IF($B39="","",$A39-INDEX('Animal Register'!$K:$K,MATCH($B39,'Animal Register'!$A:$A,0)))</f>
        <v/>
      </c>
      <c r="D39" s="47" t="str">
        <f aca="false">IF($B39="","",IF(C39&lt;=INDEX('Animal Register'!$L:$L,MATCH($B39,'Animal Register'!$A:$A,0))*0.33,"Phase 1 - Adaptation",IF(C39&lt;=INDEX('Animal Register'!$L:$L,MATCH($B39,'Animal Register'!$A:$A,0))*0.66,"Phase 2 - Growth","Phase 3 - Finishing")))</f>
        <v/>
      </c>
      <c r="E39" s="34" t="str">
        <f aca="false">IF($B39="","",IF(SUMPRODUCT(MAX(('Weight Log'!$A$5:$A$154=$B39)*('Weight Log'!$C$5:$C$154)))=0,INDEX('Animal Register'!$I:$I,MATCH($B39,'Animal Register'!$A:$A,0)),SUMPRODUCT(MAX(('Weight Log'!$A$5:$A$154=$B39)*('Weight Log'!$C$5:$C$154)))))</f>
        <v/>
      </c>
      <c r="F39" s="34" t="str">
        <f aca="false">IF($B39="","",E39*0.03)</f>
        <v/>
      </c>
      <c r="G39" s="46" t="str">
        <f aca="false">IF($B39="","",INDEX('Ration Formulator'!$D:$D,MATCH($D39,'Ration Formulator'!$A:$A,0)))</f>
        <v/>
      </c>
      <c r="H39" s="46" t="str">
        <f aca="false">IF($B39="","",INDEX('Ration Formulator'!$E:$E,MATCH($D39,'Ration Formulator'!$A:$A,0)))</f>
        <v/>
      </c>
      <c r="I39" s="34" t="str">
        <f aca="false">IF($B39="","",F39*G39)</f>
        <v/>
      </c>
      <c r="J39" s="34" t="str">
        <f aca="false">IF($B39="","",F39*H39)</f>
        <v/>
      </c>
      <c r="K39" s="34" t="str">
        <f aca="false">IF($B39="","",I39/'Ration Formulator'!$E$21)</f>
        <v/>
      </c>
      <c r="L39" s="34" t="str">
        <f aca="false">IF($B39="","",J39/INDEX('Ration Formulator'!$D$56:$D$58,MATCH($D39,'Ration Formulator'!$A$56:$A$58,0)))</f>
        <v/>
      </c>
      <c r="M39" s="34" t="str">
        <f aca="false">IF($B39="","",I39*'Ration Formulator'!$F$21+J39*INDEX('Ration Formulator'!$E$56:$E$58,MATCH($D39,'Ration Formulator'!$A$56:$A$58,0)))</f>
        <v/>
      </c>
      <c r="N39" s="32"/>
    </row>
    <row r="40" customFormat="false" ht="15" hidden="false" customHeight="false" outlineLevel="0" collapsed="false">
      <c r="A40" s="51"/>
      <c r="B40" s="50"/>
      <c r="C40" s="47" t="str">
        <f aca="false">IF($B40="","",$A40-INDEX('Animal Register'!$K:$K,MATCH($B40,'Animal Register'!$A:$A,0)))</f>
        <v/>
      </c>
      <c r="D40" s="47" t="str">
        <f aca="false">IF($B40="","",IF(C40&lt;=INDEX('Animal Register'!$L:$L,MATCH($B40,'Animal Register'!$A:$A,0))*0.33,"Phase 1 - Adaptation",IF(C40&lt;=INDEX('Animal Register'!$L:$L,MATCH($B40,'Animal Register'!$A:$A,0))*0.66,"Phase 2 - Growth","Phase 3 - Finishing")))</f>
        <v/>
      </c>
      <c r="E40" s="34" t="str">
        <f aca="false">IF($B40="","",IF(SUMPRODUCT(MAX(('Weight Log'!$A$5:$A$154=$B40)*('Weight Log'!$C$5:$C$154)))=0,INDEX('Animal Register'!$I:$I,MATCH($B40,'Animal Register'!$A:$A,0)),SUMPRODUCT(MAX(('Weight Log'!$A$5:$A$154=$B40)*('Weight Log'!$C$5:$C$154)))))</f>
        <v/>
      </c>
      <c r="F40" s="34" t="str">
        <f aca="false">IF($B40="","",E40*0.03)</f>
        <v/>
      </c>
      <c r="G40" s="46" t="str">
        <f aca="false">IF($B40="","",INDEX('Ration Formulator'!$D:$D,MATCH($D40,'Ration Formulator'!$A:$A,0)))</f>
        <v/>
      </c>
      <c r="H40" s="46" t="str">
        <f aca="false">IF($B40="","",INDEX('Ration Formulator'!$E:$E,MATCH($D40,'Ration Formulator'!$A:$A,0)))</f>
        <v/>
      </c>
      <c r="I40" s="34" t="str">
        <f aca="false">IF($B40="","",F40*G40)</f>
        <v/>
      </c>
      <c r="J40" s="34" t="str">
        <f aca="false">IF($B40="","",F40*H40)</f>
        <v/>
      </c>
      <c r="K40" s="34" t="str">
        <f aca="false">IF($B40="","",I40/'Ration Formulator'!$E$21)</f>
        <v/>
      </c>
      <c r="L40" s="34" t="str">
        <f aca="false">IF($B40="","",J40/INDEX('Ration Formulator'!$D$56:$D$58,MATCH($D40,'Ration Formulator'!$A$56:$A$58,0)))</f>
        <v/>
      </c>
      <c r="M40" s="34" t="str">
        <f aca="false">IF($B40="","",I40*'Ration Formulator'!$F$21+J40*INDEX('Ration Formulator'!$E$56:$E$58,MATCH($D40,'Ration Formulator'!$A$56:$A$58,0)))</f>
        <v/>
      </c>
      <c r="N40" s="32"/>
    </row>
    <row r="41" customFormat="false" ht="15" hidden="false" customHeight="false" outlineLevel="0" collapsed="false">
      <c r="A41" s="51"/>
      <c r="B41" s="50"/>
      <c r="C41" s="47" t="str">
        <f aca="false">IF($B41="","",$A41-INDEX('Animal Register'!$K:$K,MATCH($B41,'Animal Register'!$A:$A,0)))</f>
        <v/>
      </c>
      <c r="D41" s="47" t="str">
        <f aca="false">IF($B41="","",IF(C41&lt;=INDEX('Animal Register'!$L:$L,MATCH($B41,'Animal Register'!$A:$A,0))*0.33,"Phase 1 - Adaptation",IF(C41&lt;=INDEX('Animal Register'!$L:$L,MATCH($B41,'Animal Register'!$A:$A,0))*0.66,"Phase 2 - Growth","Phase 3 - Finishing")))</f>
        <v/>
      </c>
      <c r="E41" s="34" t="str">
        <f aca="false">IF($B41="","",IF(SUMPRODUCT(MAX(('Weight Log'!$A$5:$A$154=$B41)*('Weight Log'!$C$5:$C$154)))=0,INDEX('Animal Register'!$I:$I,MATCH($B41,'Animal Register'!$A:$A,0)),SUMPRODUCT(MAX(('Weight Log'!$A$5:$A$154=$B41)*('Weight Log'!$C$5:$C$154)))))</f>
        <v/>
      </c>
      <c r="F41" s="34" t="str">
        <f aca="false">IF($B41="","",E41*0.03)</f>
        <v/>
      </c>
      <c r="G41" s="46" t="str">
        <f aca="false">IF($B41="","",INDEX('Ration Formulator'!$D:$D,MATCH($D41,'Ration Formulator'!$A:$A,0)))</f>
        <v/>
      </c>
      <c r="H41" s="46" t="str">
        <f aca="false">IF($B41="","",INDEX('Ration Formulator'!$E:$E,MATCH($D41,'Ration Formulator'!$A:$A,0)))</f>
        <v/>
      </c>
      <c r="I41" s="34" t="str">
        <f aca="false">IF($B41="","",F41*G41)</f>
        <v/>
      </c>
      <c r="J41" s="34" t="str">
        <f aca="false">IF($B41="","",F41*H41)</f>
        <v/>
      </c>
      <c r="K41" s="34" t="str">
        <f aca="false">IF($B41="","",I41/'Ration Formulator'!$E$21)</f>
        <v/>
      </c>
      <c r="L41" s="34" t="str">
        <f aca="false">IF($B41="","",J41/INDEX('Ration Formulator'!$D$56:$D$58,MATCH($D41,'Ration Formulator'!$A$56:$A$58,0)))</f>
        <v/>
      </c>
      <c r="M41" s="34" t="str">
        <f aca="false">IF($B41="","",I41*'Ration Formulator'!$F$21+J41*INDEX('Ration Formulator'!$E$56:$E$58,MATCH($D41,'Ration Formulator'!$A$56:$A$58,0)))</f>
        <v/>
      </c>
      <c r="N41" s="32"/>
    </row>
    <row r="42" customFormat="false" ht="15" hidden="false" customHeight="false" outlineLevel="0" collapsed="false">
      <c r="A42" s="51"/>
      <c r="B42" s="50"/>
      <c r="C42" s="47" t="str">
        <f aca="false">IF($B42="","",$A42-INDEX('Animal Register'!$K:$K,MATCH($B42,'Animal Register'!$A:$A,0)))</f>
        <v/>
      </c>
      <c r="D42" s="47" t="str">
        <f aca="false">IF($B42="","",IF(C42&lt;=INDEX('Animal Register'!$L:$L,MATCH($B42,'Animal Register'!$A:$A,0))*0.33,"Phase 1 - Adaptation",IF(C42&lt;=INDEX('Animal Register'!$L:$L,MATCH($B42,'Animal Register'!$A:$A,0))*0.66,"Phase 2 - Growth","Phase 3 - Finishing")))</f>
        <v/>
      </c>
      <c r="E42" s="34" t="str">
        <f aca="false">IF($B42="","",IF(SUMPRODUCT(MAX(('Weight Log'!$A$5:$A$154=$B42)*('Weight Log'!$C$5:$C$154)))=0,INDEX('Animal Register'!$I:$I,MATCH($B42,'Animal Register'!$A:$A,0)),SUMPRODUCT(MAX(('Weight Log'!$A$5:$A$154=$B42)*('Weight Log'!$C$5:$C$154)))))</f>
        <v/>
      </c>
      <c r="F42" s="34" t="str">
        <f aca="false">IF($B42="","",E42*0.03)</f>
        <v/>
      </c>
      <c r="G42" s="46" t="str">
        <f aca="false">IF($B42="","",INDEX('Ration Formulator'!$D:$D,MATCH($D42,'Ration Formulator'!$A:$A,0)))</f>
        <v/>
      </c>
      <c r="H42" s="46" t="str">
        <f aca="false">IF($B42="","",INDEX('Ration Formulator'!$E:$E,MATCH($D42,'Ration Formulator'!$A:$A,0)))</f>
        <v/>
      </c>
      <c r="I42" s="34" t="str">
        <f aca="false">IF($B42="","",F42*G42)</f>
        <v/>
      </c>
      <c r="J42" s="34" t="str">
        <f aca="false">IF($B42="","",F42*H42)</f>
        <v/>
      </c>
      <c r="K42" s="34" t="str">
        <f aca="false">IF($B42="","",I42/'Ration Formulator'!$E$21)</f>
        <v/>
      </c>
      <c r="L42" s="34" t="str">
        <f aca="false">IF($B42="","",J42/INDEX('Ration Formulator'!$D$56:$D$58,MATCH($D42,'Ration Formulator'!$A$56:$A$58,0)))</f>
        <v/>
      </c>
      <c r="M42" s="34" t="str">
        <f aca="false">IF($B42="","",I42*'Ration Formulator'!$F$21+J42*INDEX('Ration Formulator'!$E$56:$E$58,MATCH($D42,'Ration Formulator'!$A$56:$A$58,0)))</f>
        <v/>
      </c>
      <c r="N42" s="32"/>
    </row>
    <row r="43" customFormat="false" ht="15" hidden="false" customHeight="false" outlineLevel="0" collapsed="false">
      <c r="A43" s="51"/>
      <c r="B43" s="50"/>
      <c r="C43" s="47" t="str">
        <f aca="false">IF($B43="","",$A43-INDEX('Animal Register'!$K:$K,MATCH($B43,'Animal Register'!$A:$A,0)))</f>
        <v/>
      </c>
      <c r="D43" s="47" t="str">
        <f aca="false">IF($B43="","",IF(C43&lt;=INDEX('Animal Register'!$L:$L,MATCH($B43,'Animal Register'!$A:$A,0))*0.33,"Phase 1 - Adaptation",IF(C43&lt;=INDEX('Animal Register'!$L:$L,MATCH($B43,'Animal Register'!$A:$A,0))*0.66,"Phase 2 - Growth","Phase 3 - Finishing")))</f>
        <v/>
      </c>
      <c r="E43" s="34" t="str">
        <f aca="false">IF($B43="","",IF(SUMPRODUCT(MAX(('Weight Log'!$A$5:$A$154=$B43)*('Weight Log'!$C$5:$C$154)))=0,INDEX('Animal Register'!$I:$I,MATCH($B43,'Animal Register'!$A:$A,0)),SUMPRODUCT(MAX(('Weight Log'!$A$5:$A$154=$B43)*('Weight Log'!$C$5:$C$154)))))</f>
        <v/>
      </c>
      <c r="F43" s="34" t="str">
        <f aca="false">IF($B43="","",E43*0.03)</f>
        <v/>
      </c>
      <c r="G43" s="46" t="str">
        <f aca="false">IF($B43="","",INDEX('Ration Formulator'!$D:$D,MATCH($D43,'Ration Formulator'!$A:$A,0)))</f>
        <v/>
      </c>
      <c r="H43" s="46" t="str">
        <f aca="false">IF($B43="","",INDEX('Ration Formulator'!$E:$E,MATCH($D43,'Ration Formulator'!$A:$A,0)))</f>
        <v/>
      </c>
      <c r="I43" s="34" t="str">
        <f aca="false">IF($B43="","",F43*G43)</f>
        <v/>
      </c>
      <c r="J43" s="34" t="str">
        <f aca="false">IF($B43="","",F43*H43)</f>
        <v/>
      </c>
      <c r="K43" s="34" t="str">
        <f aca="false">IF($B43="","",I43/'Ration Formulator'!$E$21)</f>
        <v/>
      </c>
      <c r="L43" s="34" t="str">
        <f aca="false">IF($B43="","",J43/INDEX('Ration Formulator'!$D$56:$D$58,MATCH($D43,'Ration Formulator'!$A$56:$A$58,0)))</f>
        <v/>
      </c>
      <c r="M43" s="34" t="str">
        <f aca="false">IF($B43="","",I43*'Ration Formulator'!$F$21+J43*INDEX('Ration Formulator'!$E$56:$E$58,MATCH($D43,'Ration Formulator'!$A$56:$A$58,0)))</f>
        <v/>
      </c>
      <c r="N43" s="32"/>
    </row>
    <row r="44" customFormat="false" ht="15" hidden="false" customHeight="false" outlineLevel="0" collapsed="false">
      <c r="A44" s="51"/>
      <c r="B44" s="50"/>
      <c r="C44" s="47" t="str">
        <f aca="false">IF($B44="","",$A44-INDEX('Animal Register'!$K:$K,MATCH($B44,'Animal Register'!$A:$A,0)))</f>
        <v/>
      </c>
      <c r="D44" s="47" t="str">
        <f aca="false">IF($B44="","",IF(C44&lt;=INDEX('Animal Register'!$L:$L,MATCH($B44,'Animal Register'!$A:$A,0))*0.33,"Phase 1 - Adaptation",IF(C44&lt;=INDEX('Animal Register'!$L:$L,MATCH($B44,'Animal Register'!$A:$A,0))*0.66,"Phase 2 - Growth","Phase 3 - Finishing")))</f>
        <v/>
      </c>
      <c r="E44" s="34" t="str">
        <f aca="false">IF($B44="","",IF(SUMPRODUCT(MAX(('Weight Log'!$A$5:$A$154=$B44)*('Weight Log'!$C$5:$C$154)))=0,INDEX('Animal Register'!$I:$I,MATCH($B44,'Animal Register'!$A:$A,0)),SUMPRODUCT(MAX(('Weight Log'!$A$5:$A$154=$B44)*('Weight Log'!$C$5:$C$154)))))</f>
        <v/>
      </c>
      <c r="F44" s="34" t="str">
        <f aca="false">IF($B44="","",E44*0.03)</f>
        <v/>
      </c>
      <c r="G44" s="46" t="str">
        <f aca="false">IF($B44="","",INDEX('Ration Formulator'!$D:$D,MATCH($D44,'Ration Formulator'!$A:$A,0)))</f>
        <v/>
      </c>
      <c r="H44" s="46" t="str">
        <f aca="false">IF($B44="","",INDEX('Ration Formulator'!$E:$E,MATCH($D44,'Ration Formulator'!$A:$A,0)))</f>
        <v/>
      </c>
      <c r="I44" s="34" t="str">
        <f aca="false">IF($B44="","",F44*G44)</f>
        <v/>
      </c>
      <c r="J44" s="34" t="str">
        <f aca="false">IF($B44="","",F44*H44)</f>
        <v/>
      </c>
      <c r="K44" s="34" t="str">
        <f aca="false">IF($B44="","",I44/'Ration Formulator'!$E$21)</f>
        <v/>
      </c>
      <c r="L44" s="34" t="str">
        <f aca="false">IF($B44="","",J44/INDEX('Ration Formulator'!$D$56:$D$58,MATCH($D44,'Ration Formulator'!$A$56:$A$58,0)))</f>
        <v/>
      </c>
      <c r="M44" s="34" t="str">
        <f aca="false">IF($B44="","",I44*'Ration Formulator'!$F$21+J44*INDEX('Ration Formulator'!$E$56:$E$58,MATCH($D44,'Ration Formulator'!$A$56:$A$58,0)))</f>
        <v/>
      </c>
      <c r="N44" s="32"/>
    </row>
    <row r="45" customFormat="false" ht="15" hidden="false" customHeight="false" outlineLevel="0" collapsed="false">
      <c r="A45" s="51"/>
      <c r="B45" s="50"/>
      <c r="C45" s="47" t="str">
        <f aca="false">IF($B45="","",$A45-INDEX('Animal Register'!$K:$K,MATCH($B45,'Animal Register'!$A:$A,0)))</f>
        <v/>
      </c>
      <c r="D45" s="47" t="str">
        <f aca="false">IF($B45="","",IF(C45&lt;=INDEX('Animal Register'!$L:$L,MATCH($B45,'Animal Register'!$A:$A,0))*0.33,"Phase 1 - Adaptation",IF(C45&lt;=INDEX('Animal Register'!$L:$L,MATCH($B45,'Animal Register'!$A:$A,0))*0.66,"Phase 2 - Growth","Phase 3 - Finishing")))</f>
        <v/>
      </c>
      <c r="E45" s="34" t="str">
        <f aca="false">IF($B45="","",IF(SUMPRODUCT(MAX(('Weight Log'!$A$5:$A$154=$B45)*('Weight Log'!$C$5:$C$154)))=0,INDEX('Animal Register'!$I:$I,MATCH($B45,'Animal Register'!$A:$A,0)),SUMPRODUCT(MAX(('Weight Log'!$A$5:$A$154=$B45)*('Weight Log'!$C$5:$C$154)))))</f>
        <v/>
      </c>
      <c r="F45" s="34" t="str">
        <f aca="false">IF($B45="","",E45*0.03)</f>
        <v/>
      </c>
      <c r="G45" s="46" t="str">
        <f aca="false">IF($B45="","",INDEX('Ration Formulator'!$D:$D,MATCH($D45,'Ration Formulator'!$A:$A,0)))</f>
        <v/>
      </c>
      <c r="H45" s="46" t="str">
        <f aca="false">IF($B45="","",INDEX('Ration Formulator'!$E:$E,MATCH($D45,'Ration Formulator'!$A:$A,0)))</f>
        <v/>
      </c>
      <c r="I45" s="34" t="str">
        <f aca="false">IF($B45="","",F45*G45)</f>
        <v/>
      </c>
      <c r="J45" s="34" t="str">
        <f aca="false">IF($B45="","",F45*H45)</f>
        <v/>
      </c>
      <c r="K45" s="34" t="str">
        <f aca="false">IF($B45="","",I45/'Ration Formulator'!$E$21)</f>
        <v/>
      </c>
      <c r="L45" s="34" t="str">
        <f aca="false">IF($B45="","",J45/INDEX('Ration Formulator'!$D$56:$D$58,MATCH($D45,'Ration Formulator'!$A$56:$A$58,0)))</f>
        <v/>
      </c>
      <c r="M45" s="34" t="str">
        <f aca="false">IF($B45="","",I45*'Ration Formulator'!$F$21+J45*INDEX('Ration Formulator'!$E$56:$E$58,MATCH($D45,'Ration Formulator'!$A$56:$A$58,0)))</f>
        <v/>
      </c>
      <c r="N45" s="32"/>
    </row>
    <row r="46" customFormat="false" ht="15" hidden="false" customHeight="false" outlineLevel="0" collapsed="false">
      <c r="A46" s="51"/>
      <c r="B46" s="50"/>
      <c r="C46" s="47" t="str">
        <f aca="false">IF($B46="","",$A46-INDEX('Animal Register'!$K:$K,MATCH($B46,'Animal Register'!$A:$A,0)))</f>
        <v/>
      </c>
      <c r="D46" s="47" t="str">
        <f aca="false">IF($B46="","",IF(C46&lt;=INDEX('Animal Register'!$L:$L,MATCH($B46,'Animal Register'!$A:$A,0))*0.33,"Phase 1 - Adaptation",IF(C46&lt;=INDEX('Animal Register'!$L:$L,MATCH($B46,'Animal Register'!$A:$A,0))*0.66,"Phase 2 - Growth","Phase 3 - Finishing")))</f>
        <v/>
      </c>
      <c r="E46" s="34" t="str">
        <f aca="false">IF($B46="","",IF(SUMPRODUCT(MAX(('Weight Log'!$A$5:$A$154=$B46)*('Weight Log'!$C$5:$C$154)))=0,INDEX('Animal Register'!$I:$I,MATCH($B46,'Animal Register'!$A:$A,0)),SUMPRODUCT(MAX(('Weight Log'!$A$5:$A$154=$B46)*('Weight Log'!$C$5:$C$154)))))</f>
        <v/>
      </c>
      <c r="F46" s="34" t="str">
        <f aca="false">IF($B46="","",E46*0.03)</f>
        <v/>
      </c>
      <c r="G46" s="46" t="str">
        <f aca="false">IF($B46="","",INDEX('Ration Formulator'!$D:$D,MATCH($D46,'Ration Formulator'!$A:$A,0)))</f>
        <v/>
      </c>
      <c r="H46" s="46" t="str">
        <f aca="false">IF($B46="","",INDEX('Ration Formulator'!$E:$E,MATCH($D46,'Ration Formulator'!$A:$A,0)))</f>
        <v/>
      </c>
      <c r="I46" s="34" t="str">
        <f aca="false">IF($B46="","",F46*G46)</f>
        <v/>
      </c>
      <c r="J46" s="34" t="str">
        <f aca="false">IF($B46="","",F46*H46)</f>
        <v/>
      </c>
      <c r="K46" s="34" t="str">
        <f aca="false">IF($B46="","",I46/'Ration Formulator'!$E$21)</f>
        <v/>
      </c>
      <c r="L46" s="34" t="str">
        <f aca="false">IF($B46="","",J46/INDEX('Ration Formulator'!$D$56:$D$58,MATCH($D46,'Ration Formulator'!$A$56:$A$58,0)))</f>
        <v/>
      </c>
      <c r="M46" s="34" t="str">
        <f aca="false">IF($B46="","",I46*'Ration Formulator'!$F$21+J46*INDEX('Ration Formulator'!$E$56:$E$58,MATCH($D46,'Ration Formulator'!$A$56:$A$58,0)))</f>
        <v/>
      </c>
      <c r="N46" s="32"/>
    </row>
    <row r="47" customFormat="false" ht="15" hidden="false" customHeight="false" outlineLevel="0" collapsed="false">
      <c r="A47" s="51"/>
      <c r="B47" s="50"/>
      <c r="C47" s="47" t="str">
        <f aca="false">IF($B47="","",$A47-INDEX('Animal Register'!$K:$K,MATCH($B47,'Animal Register'!$A:$A,0)))</f>
        <v/>
      </c>
      <c r="D47" s="47" t="str">
        <f aca="false">IF($B47="","",IF(C47&lt;=INDEX('Animal Register'!$L:$L,MATCH($B47,'Animal Register'!$A:$A,0))*0.33,"Phase 1 - Adaptation",IF(C47&lt;=INDEX('Animal Register'!$L:$L,MATCH($B47,'Animal Register'!$A:$A,0))*0.66,"Phase 2 - Growth","Phase 3 - Finishing")))</f>
        <v/>
      </c>
      <c r="E47" s="34" t="str">
        <f aca="false">IF($B47="","",IF(SUMPRODUCT(MAX(('Weight Log'!$A$5:$A$154=$B47)*('Weight Log'!$C$5:$C$154)))=0,INDEX('Animal Register'!$I:$I,MATCH($B47,'Animal Register'!$A:$A,0)),SUMPRODUCT(MAX(('Weight Log'!$A$5:$A$154=$B47)*('Weight Log'!$C$5:$C$154)))))</f>
        <v/>
      </c>
      <c r="F47" s="34" t="str">
        <f aca="false">IF($B47="","",E47*0.03)</f>
        <v/>
      </c>
      <c r="G47" s="46" t="str">
        <f aca="false">IF($B47="","",INDEX('Ration Formulator'!$D:$D,MATCH($D47,'Ration Formulator'!$A:$A,0)))</f>
        <v/>
      </c>
      <c r="H47" s="46" t="str">
        <f aca="false">IF($B47="","",INDEX('Ration Formulator'!$E:$E,MATCH($D47,'Ration Formulator'!$A:$A,0)))</f>
        <v/>
      </c>
      <c r="I47" s="34" t="str">
        <f aca="false">IF($B47="","",F47*G47)</f>
        <v/>
      </c>
      <c r="J47" s="34" t="str">
        <f aca="false">IF($B47="","",F47*H47)</f>
        <v/>
      </c>
      <c r="K47" s="34" t="str">
        <f aca="false">IF($B47="","",I47/'Ration Formulator'!$E$21)</f>
        <v/>
      </c>
      <c r="L47" s="34" t="str">
        <f aca="false">IF($B47="","",J47/INDEX('Ration Formulator'!$D$56:$D$58,MATCH($D47,'Ration Formulator'!$A$56:$A$58,0)))</f>
        <v/>
      </c>
      <c r="M47" s="34" t="str">
        <f aca="false">IF($B47="","",I47*'Ration Formulator'!$F$21+J47*INDEX('Ration Formulator'!$E$56:$E$58,MATCH($D47,'Ration Formulator'!$A$56:$A$58,0)))</f>
        <v/>
      </c>
      <c r="N47" s="32"/>
    </row>
    <row r="48" customFormat="false" ht="15" hidden="false" customHeight="false" outlineLevel="0" collapsed="false">
      <c r="A48" s="51"/>
      <c r="B48" s="50"/>
      <c r="C48" s="47" t="str">
        <f aca="false">IF($B48="","",$A48-INDEX('Animal Register'!$K:$K,MATCH($B48,'Animal Register'!$A:$A,0)))</f>
        <v/>
      </c>
      <c r="D48" s="47" t="str">
        <f aca="false">IF($B48="","",IF(C48&lt;=INDEX('Animal Register'!$L:$L,MATCH($B48,'Animal Register'!$A:$A,0))*0.33,"Phase 1 - Adaptation",IF(C48&lt;=INDEX('Animal Register'!$L:$L,MATCH($B48,'Animal Register'!$A:$A,0))*0.66,"Phase 2 - Growth","Phase 3 - Finishing")))</f>
        <v/>
      </c>
      <c r="E48" s="34" t="str">
        <f aca="false">IF($B48="","",IF(SUMPRODUCT(MAX(('Weight Log'!$A$5:$A$154=$B48)*('Weight Log'!$C$5:$C$154)))=0,INDEX('Animal Register'!$I:$I,MATCH($B48,'Animal Register'!$A:$A,0)),SUMPRODUCT(MAX(('Weight Log'!$A$5:$A$154=$B48)*('Weight Log'!$C$5:$C$154)))))</f>
        <v/>
      </c>
      <c r="F48" s="34" t="str">
        <f aca="false">IF($B48="","",E48*0.03)</f>
        <v/>
      </c>
      <c r="G48" s="46" t="str">
        <f aca="false">IF($B48="","",INDEX('Ration Formulator'!$D:$D,MATCH($D48,'Ration Formulator'!$A:$A,0)))</f>
        <v/>
      </c>
      <c r="H48" s="46" t="str">
        <f aca="false">IF($B48="","",INDEX('Ration Formulator'!$E:$E,MATCH($D48,'Ration Formulator'!$A:$A,0)))</f>
        <v/>
      </c>
      <c r="I48" s="34" t="str">
        <f aca="false">IF($B48="","",F48*G48)</f>
        <v/>
      </c>
      <c r="J48" s="34" t="str">
        <f aca="false">IF($B48="","",F48*H48)</f>
        <v/>
      </c>
      <c r="K48" s="34" t="str">
        <f aca="false">IF($B48="","",I48/'Ration Formulator'!$E$21)</f>
        <v/>
      </c>
      <c r="L48" s="34" t="str">
        <f aca="false">IF($B48="","",J48/INDEX('Ration Formulator'!$D$56:$D$58,MATCH($D48,'Ration Formulator'!$A$56:$A$58,0)))</f>
        <v/>
      </c>
      <c r="M48" s="34" t="str">
        <f aca="false">IF($B48="","",I48*'Ration Formulator'!$F$21+J48*INDEX('Ration Formulator'!$E$56:$E$58,MATCH($D48,'Ration Formulator'!$A$56:$A$58,0)))</f>
        <v/>
      </c>
      <c r="N48" s="32"/>
    </row>
    <row r="49" customFormat="false" ht="15" hidden="false" customHeight="false" outlineLevel="0" collapsed="false">
      <c r="A49" s="51"/>
      <c r="B49" s="50"/>
      <c r="C49" s="47" t="str">
        <f aca="false">IF($B49="","",$A49-INDEX('Animal Register'!$K:$K,MATCH($B49,'Animal Register'!$A:$A,0)))</f>
        <v/>
      </c>
      <c r="D49" s="47" t="str">
        <f aca="false">IF($B49="","",IF(C49&lt;=INDEX('Animal Register'!$L:$L,MATCH($B49,'Animal Register'!$A:$A,0))*0.33,"Phase 1 - Adaptation",IF(C49&lt;=INDEX('Animal Register'!$L:$L,MATCH($B49,'Animal Register'!$A:$A,0))*0.66,"Phase 2 - Growth","Phase 3 - Finishing")))</f>
        <v/>
      </c>
      <c r="E49" s="34" t="str">
        <f aca="false">IF($B49="","",IF(SUMPRODUCT(MAX(('Weight Log'!$A$5:$A$154=$B49)*('Weight Log'!$C$5:$C$154)))=0,INDEX('Animal Register'!$I:$I,MATCH($B49,'Animal Register'!$A:$A,0)),SUMPRODUCT(MAX(('Weight Log'!$A$5:$A$154=$B49)*('Weight Log'!$C$5:$C$154)))))</f>
        <v/>
      </c>
      <c r="F49" s="34" t="str">
        <f aca="false">IF($B49="","",E49*0.03)</f>
        <v/>
      </c>
      <c r="G49" s="46" t="str">
        <f aca="false">IF($B49="","",INDEX('Ration Formulator'!$D:$D,MATCH($D49,'Ration Formulator'!$A:$A,0)))</f>
        <v/>
      </c>
      <c r="H49" s="46" t="str">
        <f aca="false">IF($B49="","",INDEX('Ration Formulator'!$E:$E,MATCH($D49,'Ration Formulator'!$A:$A,0)))</f>
        <v/>
      </c>
      <c r="I49" s="34" t="str">
        <f aca="false">IF($B49="","",F49*G49)</f>
        <v/>
      </c>
      <c r="J49" s="34" t="str">
        <f aca="false">IF($B49="","",F49*H49)</f>
        <v/>
      </c>
      <c r="K49" s="34" t="str">
        <f aca="false">IF($B49="","",I49/'Ration Formulator'!$E$21)</f>
        <v/>
      </c>
      <c r="L49" s="34" t="str">
        <f aca="false">IF($B49="","",J49/INDEX('Ration Formulator'!$D$56:$D$58,MATCH($D49,'Ration Formulator'!$A$56:$A$58,0)))</f>
        <v/>
      </c>
      <c r="M49" s="34" t="str">
        <f aca="false">IF($B49="","",I49*'Ration Formulator'!$F$21+J49*INDEX('Ration Formulator'!$E$56:$E$58,MATCH($D49,'Ration Formulator'!$A$56:$A$58,0)))</f>
        <v/>
      </c>
      <c r="N49" s="32"/>
    </row>
    <row r="50" customFormat="false" ht="15" hidden="false" customHeight="false" outlineLevel="0" collapsed="false">
      <c r="A50" s="51"/>
      <c r="B50" s="50"/>
      <c r="C50" s="47" t="str">
        <f aca="false">IF($B50="","",$A50-INDEX('Animal Register'!$K:$K,MATCH($B50,'Animal Register'!$A:$A,0)))</f>
        <v/>
      </c>
      <c r="D50" s="47" t="str">
        <f aca="false">IF($B50="","",IF(C50&lt;=INDEX('Animal Register'!$L:$L,MATCH($B50,'Animal Register'!$A:$A,0))*0.33,"Phase 1 - Adaptation",IF(C50&lt;=INDEX('Animal Register'!$L:$L,MATCH($B50,'Animal Register'!$A:$A,0))*0.66,"Phase 2 - Growth","Phase 3 - Finishing")))</f>
        <v/>
      </c>
      <c r="E50" s="34" t="str">
        <f aca="false">IF($B50="","",IF(SUMPRODUCT(MAX(('Weight Log'!$A$5:$A$154=$B50)*('Weight Log'!$C$5:$C$154)))=0,INDEX('Animal Register'!$I:$I,MATCH($B50,'Animal Register'!$A:$A,0)),SUMPRODUCT(MAX(('Weight Log'!$A$5:$A$154=$B50)*('Weight Log'!$C$5:$C$154)))))</f>
        <v/>
      </c>
      <c r="F50" s="34" t="str">
        <f aca="false">IF($B50="","",E50*0.03)</f>
        <v/>
      </c>
      <c r="G50" s="46" t="str">
        <f aca="false">IF($B50="","",INDEX('Ration Formulator'!$D:$D,MATCH($D50,'Ration Formulator'!$A:$A,0)))</f>
        <v/>
      </c>
      <c r="H50" s="46" t="str">
        <f aca="false">IF($B50="","",INDEX('Ration Formulator'!$E:$E,MATCH($D50,'Ration Formulator'!$A:$A,0)))</f>
        <v/>
      </c>
      <c r="I50" s="34" t="str">
        <f aca="false">IF($B50="","",F50*G50)</f>
        <v/>
      </c>
      <c r="J50" s="34" t="str">
        <f aca="false">IF($B50="","",F50*H50)</f>
        <v/>
      </c>
      <c r="K50" s="34" t="str">
        <f aca="false">IF($B50="","",I50/'Ration Formulator'!$E$21)</f>
        <v/>
      </c>
      <c r="L50" s="34" t="str">
        <f aca="false">IF($B50="","",J50/INDEX('Ration Formulator'!$D$56:$D$58,MATCH($D50,'Ration Formulator'!$A$56:$A$58,0)))</f>
        <v/>
      </c>
      <c r="M50" s="34" t="str">
        <f aca="false">IF($B50="","",I50*'Ration Formulator'!$F$21+J50*INDEX('Ration Formulator'!$E$56:$E$58,MATCH($D50,'Ration Formulator'!$A$56:$A$58,0)))</f>
        <v/>
      </c>
      <c r="N50" s="32"/>
    </row>
    <row r="51" customFormat="false" ht="15" hidden="false" customHeight="false" outlineLevel="0" collapsed="false">
      <c r="A51" s="51"/>
      <c r="B51" s="50"/>
      <c r="C51" s="47" t="str">
        <f aca="false">IF($B51="","",$A51-INDEX('Animal Register'!$K:$K,MATCH($B51,'Animal Register'!$A:$A,0)))</f>
        <v/>
      </c>
      <c r="D51" s="47" t="str">
        <f aca="false">IF($B51="","",IF(C51&lt;=INDEX('Animal Register'!$L:$L,MATCH($B51,'Animal Register'!$A:$A,0))*0.33,"Phase 1 - Adaptation",IF(C51&lt;=INDEX('Animal Register'!$L:$L,MATCH($B51,'Animal Register'!$A:$A,0))*0.66,"Phase 2 - Growth","Phase 3 - Finishing")))</f>
        <v/>
      </c>
      <c r="E51" s="34" t="str">
        <f aca="false">IF($B51="","",IF(SUMPRODUCT(MAX(('Weight Log'!$A$5:$A$154=$B51)*('Weight Log'!$C$5:$C$154)))=0,INDEX('Animal Register'!$I:$I,MATCH($B51,'Animal Register'!$A:$A,0)),SUMPRODUCT(MAX(('Weight Log'!$A$5:$A$154=$B51)*('Weight Log'!$C$5:$C$154)))))</f>
        <v/>
      </c>
      <c r="F51" s="34" t="str">
        <f aca="false">IF($B51="","",E51*0.03)</f>
        <v/>
      </c>
      <c r="G51" s="46" t="str">
        <f aca="false">IF($B51="","",INDEX('Ration Formulator'!$D:$D,MATCH($D51,'Ration Formulator'!$A:$A,0)))</f>
        <v/>
      </c>
      <c r="H51" s="46" t="str">
        <f aca="false">IF($B51="","",INDEX('Ration Formulator'!$E:$E,MATCH($D51,'Ration Formulator'!$A:$A,0)))</f>
        <v/>
      </c>
      <c r="I51" s="34" t="str">
        <f aca="false">IF($B51="","",F51*G51)</f>
        <v/>
      </c>
      <c r="J51" s="34" t="str">
        <f aca="false">IF($B51="","",F51*H51)</f>
        <v/>
      </c>
      <c r="K51" s="34" t="str">
        <f aca="false">IF($B51="","",I51/'Ration Formulator'!$E$21)</f>
        <v/>
      </c>
      <c r="L51" s="34" t="str">
        <f aca="false">IF($B51="","",J51/INDEX('Ration Formulator'!$D$56:$D$58,MATCH($D51,'Ration Formulator'!$A$56:$A$58,0)))</f>
        <v/>
      </c>
      <c r="M51" s="34" t="str">
        <f aca="false">IF($B51="","",I51*'Ration Formulator'!$F$21+J51*INDEX('Ration Formulator'!$E$56:$E$58,MATCH($D51,'Ration Formulator'!$A$56:$A$58,0)))</f>
        <v/>
      </c>
      <c r="N51" s="32"/>
    </row>
    <row r="52" customFormat="false" ht="15" hidden="false" customHeight="false" outlineLevel="0" collapsed="false">
      <c r="A52" s="51"/>
      <c r="B52" s="50"/>
      <c r="C52" s="47" t="str">
        <f aca="false">IF($B52="","",$A52-INDEX('Animal Register'!$K:$K,MATCH($B52,'Animal Register'!$A:$A,0)))</f>
        <v/>
      </c>
      <c r="D52" s="47" t="str">
        <f aca="false">IF($B52="","",IF(C52&lt;=INDEX('Animal Register'!$L:$L,MATCH($B52,'Animal Register'!$A:$A,0))*0.33,"Phase 1 - Adaptation",IF(C52&lt;=INDEX('Animal Register'!$L:$L,MATCH($B52,'Animal Register'!$A:$A,0))*0.66,"Phase 2 - Growth","Phase 3 - Finishing")))</f>
        <v/>
      </c>
      <c r="E52" s="34" t="str">
        <f aca="false">IF($B52="","",IF(SUMPRODUCT(MAX(('Weight Log'!$A$5:$A$154=$B52)*('Weight Log'!$C$5:$C$154)))=0,INDEX('Animal Register'!$I:$I,MATCH($B52,'Animal Register'!$A:$A,0)),SUMPRODUCT(MAX(('Weight Log'!$A$5:$A$154=$B52)*('Weight Log'!$C$5:$C$154)))))</f>
        <v/>
      </c>
      <c r="F52" s="34" t="str">
        <f aca="false">IF($B52="","",E52*0.03)</f>
        <v/>
      </c>
      <c r="G52" s="46" t="str">
        <f aca="false">IF($B52="","",INDEX('Ration Formulator'!$D:$D,MATCH($D52,'Ration Formulator'!$A:$A,0)))</f>
        <v/>
      </c>
      <c r="H52" s="46" t="str">
        <f aca="false">IF($B52="","",INDEX('Ration Formulator'!$E:$E,MATCH($D52,'Ration Formulator'!$A:$A,0)))</f>
        <v/>
      </c>
      <c r="I52" s="34" t="str">
        <f aca="false">IF($B52="","",F52*G52)</f>
        <v/>
      </c>
      <c r="J52" s="34" t="str">
        <f aca="false">IF($B52="","",F52*H52)</f>
        <v/>
      </c>
      <c r="K52" s="34" t="str">
        <f aca="false">IF($B52="","",I52/'Ration Formulator'!$E$21)</f>
        <v/>
      </c>
      <c r="L52" s="34" t="str">
        <f aca="false">IF($B52="","",J52/INDEX('Ration Formulator'!$D$56:$D$58,MATCH($D52,'Ration Formulator'!$A$56:$A$58,0)))</f>
        <v/>
      </c>
      <c r="M52" s="34" t="str">
        <f aca="false">IF($B52="","",I52*'Ration Formulator'!$F$21+J52*INDEX('Ration Formulator'!$E$56:$E$58,MATCH($D52,'Ration Formulator'!$A$56:$A$58,0)))</f>
        <v/>
      </c>
      <c r="N52" s="32"/>
    </row>
    <row r="53" customFormat="false" ht="15" hidden="false" customHeight="false" outlineLevel="0" collapsed="false">
      <c r="A53" s="51"/>
      <c r="B53" s="50"/>
      <c r="C53" s="47" t="str">
        <f aca="false">IF($B53="","",$A53-INDEX('Animal Register'!$K:$K,MATCH($B53,'Animal Register'!$A:$A,0)))</f>
        <v/>
      </c>
      <c r="D53" s="47" t="str">
        <f aca="false">IF($B53="","",IF(C53&lt;=INDEX('Animal Register'!$L:$L,MATCH($B53,'Animal Register'!$A:$A,0))*0.33,"Phase 1 - Adaptation",IF(C53&lt;=INDEX('Animal Register'!$L:$L,MATCH($B53,'Animal Register'!$A:$A,0))*0.66,"Phase 2 - Growth","Phase 3 - Finishing")))</f>
        <v/>
      </c>
      <c r="E53" s="34" t="str">
        <f aca="false">IF($B53="","",IF(SUMPRODUCT(MAX(('Weight Log'!$A$5:$A$154=$B53)*('Weight Log'!$C$5:$C$154)))=0,INDEX('Animal Register'!$I:$I,MATCH($B53,'Animal Register'!$A:$A,0)),SUMPRODUCT(MAX(('Weight Log'!$A$5:$A$154=$B53)*('Weight Log'!$C$5:$C$154)))))</f>
        <v/>
      </c>
      <c r="F53" s="34" t="str">
        <f aca="false">IF($B53="","",E53*0.03)</f>
        <v/>
      </c>
      <c r="G53" s="46" t="str">
        <f aca="false">IF($B53="","",INDEX('Ration Formulator'!$D:$D,MATCH($D53,'Ration Formulator'!$A:$A,0)))</f>
        <v/>
      </c>
      <c r="H53" s="46" t="str">
        <f aca="false">IF($B53="","",INDEX('Ration Formulator'!$E:$E,MATCH($D53,'Ration Formulator'!$A:$A,0)))</f>
        <v/>
      </c>
      <c r="I53" s="34" t="str">
        <f aca="false">IF($B53="","",F53*G53)</f>
        <v/>
      </c>
      <c r="J53" s="34" t="str">
        <f aca="false">IF($B53="","",F53*H53)</f>
        <v/>
      </c>
      <c r="K53" s="34" t="str">
        <f aca="false">IF($B53="","",I53/'Ration Formulator'!$E$21)</f>
        <v/>
      </c>
      <c r="L53" s="34" t="str">
        <f aca="false">IF($B53="","",J53/INDEX('Ration Formulator'!$D$56:$D$58,MATCH($D53,'Ration Formulator'!$A$56:$A$58,0)))</f>
        <v/>
      </c>
      <c r="M53" s="34" t="str">
        <f aca="false">IF($B53="","",I53*'Ration Formulator'!$F$21+J53*INDEX('Ration Formulator'!$E$56:$E$58,MATCH($D53,'Ration Formulator'!$A$56:$A$58,0)))</f>
        <v/>
      </c>
      <c r="N53" s="32"/>
    </row>
    <row r="54" customFormat="false" ht="15" hidden="false" customHeight="false" outlineLevel="0" collapsed="false">
      <c r="A54" s="51"/>
      <c r="B54" s="50"/>
      <c r="C54" s="47" t="str">
        <f aca="false">IF($B54="","",$A54-INDEX('Animal Register'!$K:$K,MATCH($B54,'Animal Register'!$A:$A,0)))</f>
        <v/>
      </c>
      <c r="D54" s="47" t="str">
        <f aca="false">IF($B54="","",IF(C54&lt;=INDEX('Animal Register'!$L:$L,MATCH($B54,'Animal Register'!$A:$A,0))*0.33,"Phase 1 - Adaptation",IF(C54&lt;=INDEX('Animal Register'!$L:$L,MATCH($B54,'Animal Register'!$A:$A,0))*0.66,"Phase 2 - Growth","Phase 3 - Finishing")))</f>
        <v/>
      </c>
      <c r="E54" s="34" t="str">
        <f aca="false">IF($B54="","",IF(SUMPRODUCT(MAX(('Weight Log'!$A$5:$A$154=$B54)*('Weight Log'!$C$5:$C$154)))=0,INDEX('Animal Register'!$I:$I,MATCH($B54,'Animal Register'!$A:$A,0)),SUMPRODUCT(MAX(('Weight Log'!$A$5:$A$154=$B54)*('Weight Log'!$C$5:$C$154)))))</f>
        <v/>
      </c>
      <c r="F54" s="34" t="str">
        <f aca="false">IF($B54="","",E54*0.03)</f>
        <v/>
      </c>
      <c r="G54" s="46" t="str">
        <f aca="false">IF($B54="","",INDEX('Ration Formulator'!$D:$D,MATCH($D54,'Ration Formulator'!$A:$A,0)))</f>
        <v/>
      </c>
      <c r="H54" s="46" t="str">
        <f aca="false">IF($B54="","",INDEX('Ration Formulator'!$E:$E,MATCH($D54,'Ration Formulator'!$A:$A,0)))</f>
        <v/>
      </c>
      <c r="I54" s="34" t="str">
        <f aca="false">IF($B54="","",F54*G54)</f>
        <v/>
      </c>
      <c r="J54" s="34" t="str">
        <f aca="false">IF($B54="","",F54*H54)</f>
        <v/>
      </c>
      <c r="K54" s="34" t="str">
        <f aca="false">IF($B54="","",I54/'Ration Formulator'!$E$21)</f>
        <v/>
      </c>
      <c r="L54" s="34" t="str">
        <f aca="false">IF($B54="","",J54/INDEX('Ration Formulator'!$D$56:$D$58,MATCH($D54,'Ration Formulator'!$A$56:$A$58,0)))</f>
        <v/>
      </c>
      <c r="M54" s="34" t="str">
        <f aca="false">IF($B54="","",I54*'Ration Formulator'!$F$21+J54*INDEX('Ration Formulator'!$E$56:$E$58,MATCH($D54,'Ration Formulator'!$A$56:$A$58,0)))</f>
        <v/>
      </c>
      <c r="N54" s="32"/>
    </row>
    <row r="55" customFormat="false" ht="15" hidden="false" customHeight="false" outlineLevel="0" collapsed="false">
      <c r="A55" s="51"/>
      <c r="B55" s="50"/>
      <c r="C55" s="47" t="str">
        <f aca="false">IF($B55="","",$A55-INDEX('Animal Register'!$K:$K,MATCH($B55,'Animal Register'!$A:$A,0)))</f>
        <v/>
      </c>
      <c r="D55" s="47" t="str">
        <f aca="false">IF($B55="","",IF(C55&lt;=INDEX('Animal Register'!$L:$L,MATCH($B55,'Animal Register'!$A:$A,0))*0.33,"Phase 1 - Adaptation",IF(C55&lt;=INDEX('Animal Register'!$L:$L,MATCH($B55,'Animal Register'!$A:$A,0))*0.66,"Phase 2 - Growth","Phase 3 - Finishing")))</f>
        <v/>
      </c>
      <c r="E55" s="34" t="str">
        <f aca="false">IF($B55="","",IF(SUMPRODUCT(MAX(('Weight Log'!$A$5:$A$154=$B55)*('Weight Log'!$C$5:$C$154)))=0,INDEX('Animal Register'!$I:$I,MATCH($B55,'Animal Register'!$A:$A,0)),SUMPRODUCT(MAX(('Weight Log'!$A$5:$A$154=$B55)*('Weight Log'!$C$5:$C$154)))))</f>
        <v/>
      </c>
      <c r="F55" s="34" t="str">
        <f aca="false">IF($B55="","",E55*0.03)</f>
        <v/>
      </c>
      <c r="G55" s="46" t="str">
        <f aca="false">IF($B55="","",INDEX('Ration Formulator'!$D:$D,MATCH($D55,'Ration Formulator'!$A:$A,0)))</f>
        <v/>
      </c>
      <c r="H55" s="46" t="str">
        <f aca="false">IF($B55="","",INDEX('Ration Formulator'!$E:$E,MATCH($D55,'Ration Formulator'!$A:$A,0)))</f>
        <v/>
      </c>
      <c r="I55" s="34" t="str">
        <f aca="false">IF($B55="","",F55*G55)</f>
        <v/>
      </c>
      <c r="J55" s="34" t="str">
        <f aca="false">IF($B55="","",F55*H55)</f>
        <v/>
      </c>
      <c r="K55" s="34" t="str">
        <f aca="false">IF($B55="","",I55/'Ration Formulator'!$E$21)</f>
        <v/>
      </c>
      <c r="L55" s="34" t="str">
        <f aca="false">IF($B55="","",J55/INDEX('Ration Formulator'!$D$56:$D$58,MATCH($D55,'Ration Formulator'!$A$56:$A$58,0)))</f>
        <v/>
      </c>
      <c r="M55" s="34" t="str">
        <f aca="false">IF($B55="","",I55*'Ration Formulator'!$F$21+J55*INDEX('Ration Formulator'!$E$56:$E$58,MATCH($D55,'Ration Formulator'!$A$56:$A$58,0)))</f>
        <v/>
      </c>
      <c r="N55" s="32"/>
    </row>
    <row r="56" customFormat="false" ht="15" hidden="false" customHeight="false" outlineLevel="0" collapsed="false">
      <c r="A56" s="51"/>
      <c r="B56" s="50"/>
      <c r="C56" s="47" t="str">
        <f aca="false">IF($B56="","",$A56-INDEX('Animal Register'!$K:$K,MATCH($B56,'Animal Register'!$A:$A,0)))</f>
        <v/>
      </c>
      <c r="D56" s="47" t="str">
        <f aca="false">IF($B56="","",IF(C56&lt;=INDEX('Animal Register'!$L:$L,MATCH($B56,'Animal Register'!$A:$A,0))*0.33,"Phase 1 - Adaptation",IF(C56&lt;=INDEX('Animal Register'!$L:$L,MATCH($B56,'Animal Register'!$A:$A,0))*0.66,"Phase 2 - Growth","Phase 3 - Finishing")))</f>
        <v/>
      </c>
      <c r="E56" s="34" t="str">
        <f aca="false">IF($B56="","",IF(SUMPRODUCT(MAX(('Weight Log'!$A$5:$A$154=$B56)*('Weight Log'!$C$5:$C$154)))=0,INDEX('Animal Register'!$I:$I,MATCH($B56,'Animal Register'!$A:$A,0)),SUMPRODUCT(MAX(('Weight Log'!$A$5:$A$154=$B56)*('Weight Log'!$C$5:$C$154)))))</f>
        <v/>
      </c>
      <c r="F56" s="34" t="str">
        <f aca="false">IF($B56="","",E56*0.03)</f>
        <v/>
      </c>
      <c r="G56" s="46" t="str">
        <f aca="false">IF($B56="","",INDEX('Ration Formulator'!$D:$D,MATCH($D56,'Ration Formulator'!$A:$A,0)))</f>
        <v/>
      </c>
      <c r="H56" s="46" t="str">
        <f aca="false">IF($B56="","",INDEX('Ration Formulator'!$E:$E,MATCH($D56,'Ration Formulator'!$A:$A,0)))</f>
        <v/>
      </c>
      <c r="I56" s="34" t="str">
        <f aca="false">IF($B56="","",F56*G56)</f>
        <v/>
      </c>
      <c r="J56" s="34" t="str">
        <f aca="false">IF($B56="","",F56*H56)</f>
        <v/>
      </c>
      <c r="K56" s="34" t="str">
        <f aca="false">IF($B56="","",I56/'Ration Formulator'!$E$21)</f>
        <v/>
      </c>
      <c r="L56" s="34" t="str">
        <f aca="false">IF($B56="","",J56/INDEX('Ration Formulator'!$D$56:$D$58,MATCH($D56,'Ration Formulator'!$A$56:$A$58,0)))</f>
        <v/>
      </c>
      <c r="M56" s="34" t="str">
        <f aca="false">IF($B56="","",I56*'Ration Formulator'!$F$21+J56*INDEX('Ration Formulator'!$E$56:$E$58,MATCH($D56,'Ration Formulator'!$A$56:$A$58,0)))</f>
        <v/>
      </c>
      <c r="N56" s="32"/>
    </row>
    <row r="57" customFormat="false" ht="15" hidden="false" customHeight="false" outlineLevel="0" collapsed="false">
      <c r="A57" s="51"/>
      <c r="B57" s="50"/>
      <c r="C57" s="47" t="str">
        <f aca="false">IF($B57="","",$A57-INDEX('Animal Register'!$K:$K,MATCH($B57,'Animal Register'!$A:$A,0)))</f>
        <v/>
      </c>
      <c r="D57" s="47" t="str">
        <f aca="false">IF($B57="","",IF(C57&lt;=INDEX('Animal Register'!$L:$L,MATCH($B57,'Animal Register'!$A:$A,0))*0.33,"Phase 1 - Adaptation",IF(C57&lt;=INDEX('Animal Register'!$L:$L,MATCH($B57,'Animal Register'!$A:$A,0))*0.66,"Phase 2 - Growth","Phase 3 - Finishing")))</f>
        <v/>
      </c>
      <c r="E57" s="34" t="str">
        <f aca="false">IF($B57="","",IF(SUMPRODUCT(MAX(('Weight Log'!$A$5:$A$154=$B57)*('Weight Log'!$C$5:$C$154)))=0,INDEX('Animal Register'!$I:$I,MATCH($B57,'Animal Register'!$A:$A,0)),SUMPRODUCT(MAX(('Weight Log'!$A$5:$A$154=$B57)*('Weight Log'!$C$5:$C$154)))))</f>
        <v/>
      </c>
      <c r="F57" s="34" t="str">
        <f aca="false">IF($B57="","",E57*0.03)</f>
        <v/>
      </c>
      <c r="G57" s="46" t="str">
        <f aca="false">IF($B57="","",INDEX('Ration Formulator'!$D:$D,MATCH($D57,'Ration Formulator'!$A:$A,0)))</f>
        <v/>
      </c>
      <c r="H57" s="46" t="str">
        <f aca="false">IF($B57="","",INDEX('Ration Formulator'!$E:$E,MATCH($D57,'Ration Formulator'!$A:$A,0)))</f>
        <v/>
      </c>
      <c r="I57" s="34" t="str">
        <f aca="false">IF($B57="","",F57*G57)</f>
        <v/>
      </c>
      <c r="J57" s="34" t="str">
        <f aca="false">IF($B57="","",F57*H57)</f>
        <v/>
      </c>
      <c r="K57" s="34" t="str">
        <f aca="false">IF($B57="","",I57/'Ration Formulator'!$E$21)</f>
        <v/>
      </c>
      <c r="L57" s="34" t="str">
        <f aca="false">IF($B57="","",J57/INDEX('Ration Formulator'!$D$56:$D$58,MATCH($D57,'Ration Formulator'!$A$56:$A$58,0)))</f>
        <v/>
      </c>
      <c r="M57" s="34" t="str">
        <f aca="false">IF($B57="","",I57*'Ration Formulator'!$F$21+J57*INDEX('Ration Formulator'!$E$56:$E$58,MATCH($D57,'Ration Formulator'!$A$56:$A$58,0)))</f>
        <v/>
      </c>
      <c r="N57" s="32"/>
    </row>
    <row r="58" customFormat="false" ht="15" hidden="false" customHeight="false" outlineLevel="0" collapsed="false">
      <c r="A58" s="51"/>
      <c r="B58" s="50"/>
      <c r="C58" s="47" t="str">
        <f aca="false">IF($B58="","",$A58-INDEX('Animal Register'!$K:$K,MATCH($B58,'Animal Register'!$A:$A,0)))</f>
        <v/>
      </c>
      <c r="D58" s="47" t="str">
        <f aca="false">IF($B58="","",IF(C58&lt;=INDEX('Animal Register'!$L:$L,MATCH($B58,'Animal Register'!$A:$A,0))*0.33,"Phase 1 - Adaptation",IF(C58&lt;=INDEX('Animal Register'!$L:$L,MATCH($B58,'Animal Register'!$A:$A,0))*0.66,"Phase 2 - Growth","Phase 3 - Finishing")))</f>
        <v/>
      </c>
      <c r="E58" s="34" t="str">
        <f aca="false">IF($B58="","",IF(SUMPRODUCT(MAX(('Weight Log'!$A$5:$A$154=$B58)*('Weight Log'!$C$5:$C$154)))=0,INDEX('Animal Register'!$I:$I,MATCH($B58,'Animal Register'!$A:$A,0)),SUMPRODUCT(MAX(('Weight Log'!$A$5:$A$154=$B58)*('Weight Log'!$C$5:$C$154)))))</f>
        <v/>
      </c>
      <c r="F58" s="34" t="str">
        <f aca="false">IF($B58="","",E58*0.03)</f>
        <v/>
      </c>
      <c r="G58" s="46" t="str">
        <f aca="false">IF($B58="","",INDEX('Ration Formulator'!$D:$D,MATCH($D58,'Ration Formulator'!$A:$A,0)))</f>
        <v/>
      </c>
      <c r="H58" s="46" t="str">
        <f aca="false">IF($B58="","",INDEX('Ration Formulator'!$E:$E,MATCH($D58,'Ration Formulator'!$A:$A,0)))</f>
        <v/>
      </c>
      <c r="I58" s="34" t="str">
        <f aca="false">IF($B58="","",F58*G58)</f>
        <v/>
      </c>
      <c r="J58" s="34" t="str">
        <f aca="false">IF($B58="","",F58*H58)</f>
        <v/>
      </c>
      <c r="K58" s="34" t="str">
        <f aca="false">IF($B58="","",I58/'Ration Formulator'!$E$21)</f>
        <v/>
      </c>
      <c r="L58" s="34" t="str">
        <f aca="false">IF($B58="","",J58/INDEX('Ration Formulator'!$D$56:$D$58,MATCH($D58,'Ration Formulator'!$A$56:$A$58,0)))</f>
        <v/>
      </c>
      <c r="M58" s="34" t="str">
        <f aca="false">IF($B58="","",I58*'Ration Formulator'!$F$21+J58*INDEX('Ration Formulator'!$E$56:$E$58,MATCH($D58,'Ration Formulator'!$A$56:$A$58,0)))</f>
        <v/>
      </c>
      <c r="N58" s="32"/>
    </row>
    <row r="59" customFormat="false" ht="15" hidden="false" customHeight="false" outlineLevel="0" collapsed="false">
      <c r="A59" s="51"/>
      <c r="B59" s="50"/>
      <c r="C59" s="47" t="str">
        <f aca="false">IF($B59="","",$A59-INDEX('Animal Register'!$K:$K,MATCH($B59,'Animal Register'!$A:$A,0)))</f>
        <v/>
      </c>
      <c r="D59" s="47" t="str">
        <f aca="false">IF($B59="","",IF(C59&lt;=INDEX('Animal Register'!$L:$L,MATCH($B59,'Animal Register'!$A:$A,0))*0.33,"Phase 1 - Adaptation",IF(C59&lt;=INDEX('Animal Register'!$L:$L,MATCH($B59,'Animal Register'!$A:$A,0))*0.66,"Phase 2 - Growth","Phase 3 - Finishing")))</f>
        <v/>
      </c>
      <c r="E59" s="34" t="str">
        <f aca="false">IF($B59="","",IF(SUMPRODUCT(MAX(('Weight Log'!$A$5:$A$154=$B59)*('Weight Log'!$C$5:$C$154)))=0,INDEX('Animal Register'!$I:$I,MATCH($B59,'Animal Register'!$A:$A,0)),SUMPRODUCT(MAX(('Weight Log'!$A$5:$A$154=$B59)*('Weight Log'!$C$5:$C$154)))))</f>
        <v/>
      </c>
      <c r="F59" s="34" t="str">
        <f aca="false">IF($B59="","",E59*0.03)</f>
        <v/>
      </c>
      <c r="G59" s="46" t="str">
        <f aca="false">IF($B59="","",INDEX('Ration Formulator'!$D:$D,MATCH($D59,'Ration Formulator'!$A:$A,0)))</f>
        <v/>
      </c>
      <c r="H59" s="46" t="str">
        <f aca="false">IF($B59="","",INDEX('Ration Formulator'!$E:$E,MATCH($D59,'Ration Formulator'!$A:$A,0)))</f>
        <v/>
      </c>
      <c r="I59" s="34" t="str">
        <f aca="false">IF($B59="","",F59*G59)</f>
        <v/>
      </c>
      <c r="J59" s="34" t="str">
        <f aca="false">IF($B59="","",F59*H59)</f>
        <v/>
      </c>
      <c r="K59" s="34" t="str">
        <f aca="false">IF($B59="","",I59/'Ration Formulator'!$E$21)</f>
        <v/>
      </c>
      <c r="L59" s="34" t="str">
        <f aca="false">IF($B59="","",J59/INDEX('Ration Formulator'!$D$56:$D$58,MATCH($D59,'Ration Formulator'!$A$56:$A$58,0)))</f>
        <v/>
      </c>
      <c r="M59" s="34" t="str">
        <f aca="false">IF($B59="","",I59*'Ration Formulator'!$F$21+J59*INDEX('Ration Formulator'!$E$56:$E$58,MATCH($D59,'Ration Formulator'!$A$56:$A$58,0)))</f>
        <v/>
      </c>
      <c r="N59" s="32"/>
    </row>
    <row r="60" customFormat="false" ht="15" hidden="false" customHeight="false" outlineLevel="0" collapsed="false">
      <c r="A60" s="51"/>
      <c r="B60" s="50"/>
      <c r="C60" s="47" t="str">
        <f aca="false">IF($B60="","",$A60-INDEX('Animal Register'!$K:$K,MATCH($B60,'Animal Register'!$A:$A,0)))</f>
        <v/>
      </c>
      <c r="D60" s="47" t="str">
        <f aca="false">IF($B60="","",IF(C60&lt;=INDEX('Animal Register'!$L:$L,MATCH($B60,'Animal Register'!$A:$A,0))*0.33,"Phase 1 - Adaptation",IF(C60&lt;=INDEX('Animal Register'!$L:$L,MATCH($B60,'Animal Register'!$A:$A,0))*0.66,"Phase 2 - Growth","Phase 3 - Finishing")))</f>
        <v/>
      </c>
      <c r="E60" s="34" t="str">
        <f aca="false">IF($B60="","",IF(SUMPRODUCT(MAX(('Weight Log'!$A$5:$A$154=$B60)*('Weight Log'!$C$5:$C$154)))=0,INDEX('Animal Register'!$I:$I,MATCH($B60,'Animal Register'!$A:$A,0)),SUMPRODUCT(MAX(('Weight Log'!$A$5:$A$154=$B60)*('Weight Log'!$C$5:$C$154)))))</f>
        <v/>
      </c>
      <c r="F60" s="34" t="str">
        <f aca="false">IF($B60="","",E60*0.03)</f>
        <v/>
      </c>
      <c r="G60" s="46" t="str">
        <f aca="false">IF($B60="","",INDEX('Ration Formulator'!$D:$D,MATCH($D60,'Ration Formulator'!$A:$A,0)))</f>
        <v/>
      </c>
      <c r="H60" s="46" t="str">
        <f aca="false">IF($B60="","",INDEX('Ration Formulator'!$E:$E,MATCH($D60,'Ration Formulator'!$A:$A,0)))</f>
        <v/>
      </c>
      <c r="I60" s="34" t="str">
        <f aca="false">IF($B60="","",F60*G60)</f>
        <v/>
      </c>
      <c r="J60" s="34" t="str">
        <f aca="false">IF($B60="","",F60*H60)</f>
        <v/>
      </c>
      <c r="K60" s="34" t="str">
        <f aca="false">IF($B60="","",I60/'Ration Formulator'!$E$21)</f>
        <v/>
      </c>
      <c r="L60" s="34" t="str">
        <f aca="false">IF($B60="","",J60/INDEX('Ration Formulator'!$D$56:$D$58,MATCH($D60,'Ration Formulator'!$A$56:$A$58,0)))</f>
        <v/>
      </c>
      <c r="M60" s="34" t="str">
        <f aca="false">IF($B60="","",I60*'Ration Formulator'!$F$21+J60*INDEX('Ration Formulator'!$E$56:$E$58,MATCH($D60,'Ration Formulator'!$A$56:$A$58,0)))</f>
        <v/>
      </c>
      <c r="N60" s="32"/>
    </row>
    <row r="61" customFormat="false" ht="15" hidden="false" customHeight="false" outlineLevel="0" collapsed="false">
      <c r="A61" s="51"/>
      <c r="B61" s="50"/>
      <c r="C61" s="47" t="str">
        <f aca="false">IF($B61="","",$A61-INDEX('Animal Register'!$K:$K,MATCH($B61,'Animal Register'!$A:$A,0)))</f>
        <v/>
      </c>
      <c r="D61" s="47" t="str">
        <f aca="false">IF($B61="","",IF(C61&lt;=INDEX('Animal Register'!$L:$L,MATCH($B61,'Animal Register'!$A:$A,0))*0.33,"Phase 1 - Adaptation",IF(C61&lt;=INDEX('Animal Register'!$L:$L,MATCH($B61,'Animal Register'!$A:$A,0))*0.66,"Phase 2 - Growth","Phase 3 - Finishing")))</f>
        <v/>
      </c>
      <c r="E61" s="34" t="str">
        <f aca="false">IF($B61="","",IF(SUMPRODUCT(MAX(('Weight Log'!$A$5:$A$154=$B61)*('Weight Log'!$C$5:$C$154)))=0,INDEX('Animal Register'!$I:$I,MATCH($B61,'Animal Register'!$A:$A,0)),SUMPRODUCT(MAX(('Weight Log'!$A$5:$A$154=$B61)*('Weight Log'!$C$5:$C$154)))))</f>
        <v/>
      </c>
      <c r="F61" s="34" t="str">
        <f aca="false">IF($B61="","",E61*0.03)</f>
        <v/>
      </c>
      <c r="G61" s="46" t="str">
        <f aca="false">IF($B61="","",INDEX('Ration Formulator'!$D:$D,MATCH($D61,'Ration Formulator'!$A:$A,0)))</f>
        <v/>
      </c>
      <c r="H61" s="46" t="str">
        <f aca="false">IF($B61="","",INDEX('Ration Formulator'!$E:$E,MATCH($D61,'Ration Formulator'!$A:$A,0)))</f>
        <v/>
      </c>
      <c r="I61" s="34" t="str">
        <f aca="false">IF($B61="","",F61*G61)</f>
        <v/>
      </c>
      <c r="J61" s="34" t="str">
        <f aca="false">IF($B61="","",F61*H61)</f>
        <v/>
      </c>
      <c r="K61" s="34" t="str">
        <f aca="false">IF($B61="","",I61/'Ration Formulator'!$E$21)</f>
        <v/>
      </c>
      <c r="L61" s="34" t="str">
        <f aca="false">IF($B61="","",J61/INDEX('Ration Formulator'!$D$56:$D$58,MATCH($D61,'Ration Formulator'!$A$56:$A$58,0)))</f>
        <v/>
      </c>
      <c r="M61" s="34" t="str">
        <f aca="false">IF($B61="","",I61*'Ration Formulator'!$F$21+J61*INDEX('Ration Formulator'!$E$56:$E$58,MATCH($D61,'Ration Formulator'!$A$56:$A$58,0)))</f>
        <v/>
      </c>
      <c r="N61" s="32"/>
    </row>
    <row r="62" customFormat="false" ht="15" hidden="false" customHeight="false" outlineLevel="0" collapsed="false">
      <c r="A62" s="51"/>
      <c r="B62" s="50"/>
      <c r="C62" s="47" t="str">
        <f aca="false">IF($B62="","",$A62-INDEX('Animal Register'!$K:$K,MATCH($B62,'Animal Register'!$A:$A,0)))</f>
        <v/>
      </c>
      <c r="D62" s="47" t="str">
        <f aca="false">IF($B62="","",IF(C62&lt;=INDEX('Animal Register'!$L:$L,MATCH($B62,'Animal Register'!$A:$A,0))*0.33,"Phase 1 - Adaptation",IF(C62&lt;=INDEX('Animal Register'!$L:$L,MATCH($B62,'Animal Register'!$A:$A,0))*0.66,"Phase 2 - Growth","Phase 3 - Finishing")))</f>
        <v/>
      </c>
      <c r="E62" s="34" t="str">
        <f aca="false">IF($B62="","",IF(SUMPRODUCT(MAX(('Weight Log'!$A$5:$A$154=$B62)*('Weight Log'!$C$5:$C$154)))=0,INDEX('Animal Register'!$I:$I,MATCH($B62,'Animal Register'!$A:$A,0)),SUMPRODUCT(MAX(('Weight Log'!$A$5:$A$154=$B62)*('Weight Log'!$C$5:$C$154)))))</f>
        <v/>
      </c>
      <c r="F62" s="34" t="str">
        <f aca="false">IF($B62="","",E62*0.03)</f>
        <v/>
      </c>
      <c r="G62" s="46" t="str">
        <f aca="false">IF($B62="","",INDEX('Ration Formulator'!$D:$D,MATCH($D62,'Ration Formulator'!$A:$A,0)))</f>
        <v/>
      </c>
      <c r="H62" s="46" t="str">
        <f aca="false">IF($B62="","",INDEX('Ration Formulator'!$E:$E,MATCH($D62,'Ration Formulator'!$A:$A,0)))</f>
        <v/>
      </c>
      <c r="I62" s="34" t="str">
        <f aca="false">IF($B62="","",F62*G62)</f>
        <v/>
      </c>
      <c r="J62" s="34" t="str">
        <f aca="false">IF($B62="","",F62*H62)</f>
        <v/>
      </c>
      <c r="K62" s="34" t="str">
        <f aca="false">IF($B62="","",I62/'Ration Formulator'!$E$21)</f>
        <v/>
      </c>
      <c r="L62" s="34" t="str">
        <f aca="false">IF($B62="","",J62/INDEX('Ration Formulator'!$D$56:$D$58,MATCH($D62,'Ration Formulator'!$A$56:$A$58,0)))</f>
        <v/>
      </c>
      <c r="M62" s="34" t="str">
        <f aca="false">IF($B62="","",I62*'Ration Formulator'!$F$21+J62*INDEX('Ration Formulator'!$E$56:$E$58,MATCH($D62,'Ration Formulator'!$A$56:$A$58,0)))</f>
        <v/>
      </c>
      <c r="N62" s="32"/>
    </row>
    <row r="63" customFormat="false" ht="15" hidden="false" customHeight="false" outlineLevel="0" collapsed="false">
      <c r="A63" s="51"/>
      <c r="B63" s="50"/>
      <c r="C63" s="47" t="str">
        <f aca="false">IF($B63="","",$A63-INDEX('Animal Register'!$K:$K,MATCH($B63,'Animal Register'!$A:$A,0)))</f>
        <v/>
      </c>
      <c r="D63" s="47" t="str">
        <f aca="false">IF($B63="","",IF(C63&lt;=INDEX('Animal Register'!$L:$L,MATCH($B63,'Animal Register'!$A:$A,0))*0.33,"Phase 1 - Adaptation",IF(C63&lt;=INDEX('Animal Register'!$L:$L,MATCH($B63,'Animal Register'!$A:$A,0))*0.66,"Phase 2 - Growth","Phase 3 - Finishing")))</f>
        <v/>
      </c>
      <c r="E63" s="34" t="str">
        <f aca="false">IF($B63="","",IF(SUMPRODUCT(MAX(('Weight Log'!$A$5:$A$154=$B63)*('Weight Log'!$C$5:$C$154)))=0,INDEX('Animal Register'!$I:$I,MATCH($B63,'Animal Register'!$A:$A,0)),SUMPRODUCT(MAX(('Weight Log'!$A$5:$A$154=$B63)*('Weight Log'!$C$5:$C$154)))))</f>
        <v/>
      </c>
      <c r="F63" s="34" t="str">
        <f aca="false">IF($B63="","",E63*0.03)</f>
        <v/>
      </c>
      <c r="G63" s="46" t="str">
        <f aca="false">IF($B63="","",INDEX('Ration Formulator'!$D:$D,MATCH($D63,'Ration Formulator'!$A:$A,0)))</f>
        <v/>
      </c>
      <c r="H63" s="46" t="str">
        <f aca="false">IF($B63="","",INDEX('Ration Formulator'!$E:$E,MATCH($D63,'Ration Formulator'!$A:$A,0)))</f>
        <v/>
      </c>
      <c r="I63" s="34" t="str">
        <f aca="false">IF($B63="","",F63*G63)</f>
        <v/>
      </c>
      <c r="J63" s="34" t="str">
        <f aca="false">IF($B63="","",F63*H63)</f>
        <v/>
      </c>
      <c r="K63" s="34" t="str">
        <f aca="false">IF($B63="","",I63/'Ration Formulator'!$E$21)</f>
        <v/>
      </c>
      <c r="L63" s="34" t="str">
        <f aca="false">IF($B63="","",J63/INDEX('Ration Formulator'!$D$56:$D$58,MATCH($D63,'Ration Formulator'!$A$56:$A$58,0)))</f>
        <v/>
      </c>
      <c r="M63" s="34" t="str">
        <f aca="false">IF($B63="","",I63*'Ration Formulator'!$F$21+J63*INDEX('Ration Formulator'!$E$56:$E$58,MATCH($D63,'Ration Formulator'!$A$56:$A$58,0)))</f>
        <v/>
      </c>
      <c r="N63" s="32"/>
    </row>
    <row r="64" customFormat="false" ht="15" hidden="false" customHeight="false" outlineLevel="0" collapsed="false">
      <c r="A64" s="51"/>
      <c r="B64" s="50"/>
      <c r="C64" s="47" t="str">
        <f aca="false">IF($B64="","",$A64-INDEX('Animal Register'!$K:$K,MATCH($B64,'Animal Register'!$A:$A,0)))</f>
        <v/>
      </c>
      <c r="D64" s="47" t="str">
        <f aca="false">IF($B64="","",IF(C64&lt;=INDEX('Animal Register'!$L:$L,MATCH($B64,'Animal Register'!$A:$A,0))*0.33,"Phase 1 - Adaptation",IF(C64&lt;=INDEX('Animal Register'!$L:$L,MATCH($B64,'Animal Register'!$A:$A,0))*0.66,"Phase 2 - Growth","Phase 3 - Finishing")))</f>
        <v/>
      </c>
      <c r="E64" s="34" t="str">
        <f aca="false">IF($B64="","",IF(SUMPRODUCT(MAX(('Weight Log'!$A$5:$A$154=$B64)*('Weight Log'!$C$5:$C$154)))=0,INDEX('Animal Register'!$I:$I,MATCH($B64,'Animal Register'!$A:$A,0)),SUMPRODUCT(MAX(('Weight Log'!$A$5:$A$154=$B64)*('Weight Log'!$C$5:$C$154)))))</f>
        <v/>
      </c>
      <c r="F64" s="34" t="str">
        <f aca="false">IF($B64="","",E64*0.03)</f>
        <v/>
      </c>
      <c r="G64" s="46" t="str">
        <f aca="false">IF($B64="","",INDEX('Ration Formulator'!$D:$D,MATCH($D64,'Ration Formulator'!$A:$A,0)))</f>
        <v/>
      </c>
      <c r="H64" s="46" t="str">
        <f aca="false">IF($B64="","",INDEX('Ration Formulator'!$E:$E,MATCH($D64,'Ration Formulator'!$A:$A,0)))</f>
        <v/>
      </c>
      <c r="I64" s="34" t="str">
        <f aca="false">IF($B64="","",F64*G64)</f>
        <v/>
      </c>
      <c r="J64" s="34" t="str">
        <f aca="false">IF($B64="","",F64*H64)</f>
        <v/>
      </c>
      <c r="K64" s="34" t="str">
        <f aca="false">IF($B64="","",I64/'Ration Formulator'!$E$21)</f>
        <v/>
      </c>
      <c r="L64" s="34" t="str">
        <f aca="false">IF($B64="","",J64/INDEX('Ration Formulator'!$D$56:$D$58,MATCH($D64,'Ration Formulator'!$A$56:$A$58,0)))</f>
        <v/>
      </c>
      <c r="M64" s="34" t="str">
        <f aca="false">IF($B64="","",I64*'Ration Formulator'!$F$21+J64*INDEX('Ration Formulator'!$E$56:$E$58,MATCH($D64,'Ration Formulator'!$A$56:$A$58,0)))</f>
        <v/>
      </c>
      <c r="N64" s="32"/>
    </row>
    <row r="65" customFormat="false" ht="15" hidden="false" customHeight="false" outlineLevel="0" collapsed="false">
      <c r="A65" s="51"/>
      <c r="B65" s="50"/>
      <c r="C65" s="47" t="str">
        <f aca="false">IF($B65="","",$A65-INDEX('Animal Register'!$K:$K,MATCH($B65,'Animal Register'!$A:$A,0)))</f>
        <v/>
      </c>
      <c r="D65" s="47" t="str">
        <f aca="false">IF($B65="","",IF(C65&lt;=INDEX('Animal Register'!$L:$L,MATCH($B65,'Animal Register'!$A:$A,0))*0.33,"Phase 1 - Adaptation",IF(C65&lt;=INDEX('Animal Register'!$L:$L,MATCH($B65,'Animal Register'!$A:$A,0))*0.66,"Phase 2 - Growth","Phase 3 - Finishing")))</f>
        <v/>
      </c>
      <c r="E65" s="34" t="str">
        <f aca="false">IF($B65="","",IF(SUMPRODUCT(MAX(('Weight Log'!$A$5:$A$154=$B65)*('Weight Log'!$C$5:$C$154)))=0,INDEX('Animal Register'!$I:$I,MATCH($B65,'Animal Register'!$A:$A,0)),SUMPRODUCT(MAX(('Weight Log'!$A$5:$A$154=$B65)*('Weight Log'!$C$5:$C$154)))))</f>
        <v/>
      </c>
      <c r="F65" s="34" t="str">
        <f aca="false">IF($B65="","",E65*0.03)</f>
        <v/>
      </c>
      <c r="G65" s="46" t="str">
        <f aca="false">IF($B65="","",INDEX('Ration Formulator'!$D:$D,MATCH($D65,'Ration Formulator'!$A:$A,0)))</f>
        <v/>
      </c>
      <c r="H65" s="46" t="str">
        <f aca="false">IF($B65="","",INDEX('Ration Formulator'!$E:$E,MATCH($D65,'Ration Formulator'!$A:$A,0)))</f>
        <v/>
      </c>
      <c r="I65" s="34" t="str">
        <f aca="false">IF($B65="","",F65*G65)</f>
        <v/>
      </c>
      <c r="J65" s="34" t="str">
        <f aca="false">IF($B65="","",F65*H65)</f>
        <v/>
      </c>
      <c r="K65" s="34" t="str">
        <f aca="false">IF($B65="","",I65/'Ration Formulator'!$E$21)</f>
        <v/>
      </c>
      <c r="L65" s="34" t="str">
        <f aca="false">IF($B65="","",J65/INDEX('Ration Formulator'!$D$56:$D$58,MATCH($D65,'Ration Formulator'!$A$56:$A$58,0)))</f>
        <v/>
      </c>
      <c r="M65" s="34" t="str">
        <f aca="false">IF($B65="","",I65*'Ration Formulator'!$F$21+J65*INDEX('Ration Formulator'!$E$56:$E$58,MATCH($D65,'Ration Formulator'!$A$56:$A$58,0)))</f>
        <v/>
      </c>
      <c r="N65" s="32"/>
    </row>
    <row r="66" customFormat="false" ht="15" hidden="false" customHeight="false" outlineLevel="0" collapsed="false">
      <c r="A66" s="51"/>
      <c r="B66" s="50"/>
      <c r="C66" s="47" t="str">
        <f aca="false">IF($B66="","",$A66-INDEX('Animal Register'!$K:$K,MATCH($B66,'Animal Register'!$A:$A,0)))</f>
        <v/>
      </c>
      <c r="D66" s="47" t="str">
        <f aca="false">IF($B66="","",IF(C66&lt;=INDEX('Animal Register'!$L:$L,MATCH($B66,'Animal Register'!$A:$A,0))*0.33,"Phase 1 - Adaptation",IF(C66&lt;=INDEX('Animal Register'!$L:$L,MATCH($B66,'Animal Register'!$A:$A,0))*0.66,"Phase 2 - Growth","Phase 3 - Finishing")))</f>
        <v/>
      </c>
      <c r="E66" s="34" t="str">
        <f aca="false">IF($B66="","",IF(SUMPRODUCT(MAX(('Weight Log'!$A$5:$A$154=$B66)*('Weight Log'!$C$5:$C$154)))=0,INDEX('Animal Register'!$I:$I,MATCH($B66,'Animal Register'!$A:$A,0)),SUMPRODUCT(MAX(('Weight Log'!$A$5:$A$154=$B66)*('Weight Log'!$C$5:$C$154)))))</f>
        <v/>
      </c>
      <c r="F66" s="34" t="str">
        <f aca="false">IF($B66="","",E66*0.03)</f>
        <v/>
      </c>
      <c r="G66" s="46" t="str">
        <f aca="false">IF($B66="","",INDEX('Ration Formulator'!$D:$D,MATCH($D66,'Ration Formulator'!$A:$A,0)))</f>
        <v/>
      </c>
      <c r="H66" s="46" t="str">
        <f aca="false">IF($B66="","",INDEX('Ration Formulator'!$E:$E,MATCH($D66,'Ration Formulator'!$A:$A,0)))</f>
        <v/>
      </c>
      <c r="I66" s="34" t="str">
        <f aca="false">IF($B66="","",F66*G66)</f>
        <v/>
      </c>
      <c r="J66" s="34" t="str">
        <f aca="false">IF($B66="","",F66*H66)</f>
        <v/>
      </c>
      <c r="K66" s="34" t="str">
        <f aca="false">IF($B66="","",I66/'Ration Formulator'!$E$21)</f>
        <v/>
      </c>
      <c r="L66" s="34" t="str">
        <f aca="false">IF($B66="","",J66/INDEX('Ration Formulator'!$D$56:$D$58,MATCH($D66,'Ration Formulator'!$A$56:$A$58,0)))</f>
        <v/>
      </c>
      <c r="M66" s="34" t="str">
        <f aca="false">IF($B66="","",I66*'Ration Formulator'!$F$21+J66*INDEX('Ration Formulator'!$E$56:$E$58,MATCH($D66,'Ration Formulator'!$A$56:$A$58,0)))</f>
        <v/>
      </c>
      <c r="N66" s="32"/>
    </row>
    <row r="67" customFormat="false" ht="15" hidden="false" customHeight="false" outlineLevel="0" collapsed="false">
      <c r="A67" s="51"/>
      <c r="B67" s="50"/>
      <c r="C67" s="47" t="str">
        <f aca="false">IF($B67="","",$A67-INDEX('Animal Register'!$K:$K,MATCH($B67,'Animal Register'!$A:$A,0)))</f>
        <v/>
      </c>
      <c r="D67" s="47" t="str">
        <f aca="false">IF($B67="","",IF(C67&lt;=INDEX('Animal Register'!$L:$L,MATCH($B67,'Animal Register'!$A:$A,0))*0.33,"Phase 1 - Adaptation",IF(C67&lt;=INDEX('Animal Register'!$L:$L,MATCH($B67,'Animal Register'!$A:$A,0))*0.66,"Phase 2 - Growth","Phase 3 - Finishing")))</f>
        <v/>
      </c>
      <c r="E67" s="34" t="str">
        <f aca="false">IF($B67="","",IF(SUMPRODUCT(MAX(('Weight Log'!$A$5:$A$154=$B67)*('Weight Log'!$C$5:$C$154)))=0,INDEX('Animal Register'!$I:$I,MATCH($B67,'Animal Register'!$A:$A,0)),SUMPRODUCT(MAX(('Weight Log'!$A$5:$A$154=$B67)*('Weight Log'!$C$5:$C$154)))))</f>
        <v/>
      </c>
      <c r="F67" s="34" t="str">
        <f aca="false">IF($B67="","",E67*0.03)</f>
        <v/>
      </c>
      <c r="G67" s="46" t="str">
        <f aca="false">IF($B67="","",INDEX('Ration Formulator'!$D:$D,MATCH($D67,'Ration Formulator'!$A:$A,0)))</f>
        <v/>
      </c>
      <c r="H67" s="46" t="str">
        <f aca="false">IF($B67="","",INDEX('Ration Formulator'!$E:$E,MATCH($D67,'Ration Formulator'!$A:$A,0)))</f>
        <v/>
      </c>
      <c r="I67" s="34" t="str">
        <f aca="false">IF($B67="","",F67*G67)</f>
        <v/>
      </c>
      <c r="J67" s="34" t="str">
        <f aca="false">IF($B67="","",F67*H67)</f>
        <v/>
      </c>
      <c r="K67" s="34" t="str">
        <f aca="false">IF($B67="","",I67/'Ration Formulator'!$E$21)</f>
        <v/>
      </c>
      <c r="L67" s="34" t="str">
        <f aca="false">IF($B67="","",J67/INDEX('Ration Formulator'!$D$56:$D$58,MATCH($D67,'Ration Formulator'!$A$56:$A$58,0)))</f>
        <v/>
      </c>
      <c r="M67" s="34" t="str">
        <f aca="false">IF($B67="","",I67*'Ration Formulator'!$F$21+J67*INDEX('Ration Formulator'!$E$56:$E$58,MATCH($D67,'Ration Formulator'!$A$56:$A$58,0)))</f>
        <v/>
      </c>
      <c r="N67" s="32"/>
    </row>
    <row r="68" customFormat="false" ht="15" hidden="false" customHeight="false" outlineLevel="0" collapsed="false">
      <c r="A68" s="51"/>
      <c r="B68" s="50"/>
      <c r="C68" s="47" t="str">
        <f aca="false">IF($B68="","",$A68-INDEX('Animal Register'!$K:$K,MATCH($B68,'Animal Register'!$A:$A,0)))</f>
        <v/>
      </c>
      <c r="D68" s="47" t="str">
        <f aca="false">IF($B68="","",IF(C68&lt;=INDEX('Animal Register'!$L:$L,MATCH($B68,'Animal Register'!$A:$A,0))*0.33,"Phase 1 - Adaptation",IF(C68&lt;=INDEX('Animal Register'!$L:$L,MATCH($B68,'Animal Register'!$A:$A,0))*0.66,"Phase 2 - Growth","Phase 3 - Finishing")))</f>
        <v/>
      </c>
      <c r="E68" s="34" t="str">
        <f aca="false">IF($B68="","",IF(SUMPRODUCT(MAX(('Weight Log'!$A$5:$A$154=$B68)*('Weight Log'!$C$5:$C$154)))=0,INDEX('Animal Register'!$I:$I,MATCH($B68,'Animal Register'!$A:$A,0)),SUMPRODUCT(MAX(('Weight Log'!$A$5:$A$154=$B68)*('Weight Log'!$C$5:$C$154)))))</f>
        <v/>
      </c>
      <c r="F68" s="34" t="str">
        <f aca="false">IF($B68="","",E68*0.03)</f>
        <v/>
      </c>
      <c r="G68" s="46" t="str">
        <f aca="false">IF($B68="","",INDEX('Ration Formulator'!$D:$D,MATCH($D68,'Ration Formulator'!$A:$A,0)))</f>
        <v/>
      </c>
      <c r="H68" s="46" t="str">
        <f aca="false">IF($B68="","",INDEX('Ration Formulator'!$E:$E,MATCH($D68,'Ration Formulator'!$A:$A,0)))</f>
        <v/>
      </c>
      <c r="I68" s="34" t="str">
        <f aca="false">IF($B68="","",F68*G68)</f>
        <v/>
      </c>
      <c r="J68" s="34" t="str">
        <f aca="false">IF($B68="","",F68*H68)</f>
        <v/>
      </c>
      <c r="K68" s="34" t="str">
        <f aca="false">IF($B68="","",I68/'Ration Formulator'!$E$21)</f>
        <v/>
      </c>
      <c r="L68" s="34" t="str">
        <f aca="false">IF($B68="","",J68/INDEX('Ration Formulator'!$D$56:$D$58,MATCH($D68,'Ration Formulator'!$A$56:$A$58,0)))</f>
        <v/>
      </c>
      <c r="M68" s="34" t="str">
        <f aca="false">IF($B68="","",I68*'Ration Formulator'!$F$21+J68*INDEX('Ration Formulator'!$E$56:$E$58,MATCH($D68,'Ration Formulator'!$A$56:$A$58,0)))</f>
        <v/>
      </c>
      <c r="N68" s="32"/>
    </row>
    <row r="69" customFormat="false" ht="15" hidden="false" customHeight="false" outlineLevel="0" collapsed="false">
      <c r="A69" s="51"/>
      <c r="B69" s="50"/>
      <c r="C69" s="47" t="str">
        <f aca="false">IF($B69="","",$A69-INDEX('Animal Register'!$K:$K,MATCH($B69,'Animal Register'!$A:$A,0)))</f>
        <v/>
      </c>
      <c r="D69" s="47" t="str">
        <f aca="false">IF($B69="","",IF(C69&lt;=INDEX('Animal Register'!$L:$L,MATCH($B69,'Animal Register'!$A:$A,0))*0.33,"Phase 1 - Adaptation",IF(C69&lt;=INDEX('Animal Register'!$L:$L,MATCH($B69,'Animal Register'!$A:$A,0))*0.66,"Phase 2 - Growth","Phase 3 - Finishing")))</f>
        <v/>
      </c>
      <c r="E69" s="34" t="str">
        <f aca="false">IF($B69="","",IF(SUMPRODUCT(MAX(('Weight Log'!$A$5:$A$154=$B69)*('Weight Log'!$C$5:$C$154)))=0,INDEX('Animal Register'!$I:$I,MATCH($B69,'Animal Register'!$A:$A,0)),SUMPRODUCT(MAX(('Weight Log'!$A$5:$A$154=$B69)*('Weight Log'!$C$5:$C$154)))))</f>
        <v/>
      </c>
      <c r="F69" s="34" t="str">
        <f aca="false">IF($B69="","",E69*0.03)</f>
        <v/>
      </c>
      <c r="G69" s="46" t="str">
        <f aca="false">IF($B69="","",INDEX('Ration Formulator'!$D:$D,MATCH($D69,'Ration Formulator'!$A:$A,0)))</f>
        <v/>
      </c>
      <c r="H69" s="46" t="str">
        <f aca="false">IF($B69="","",INDEX('Ration Formulator'!$E:$E,MATCH($D69,'Ration Formulator'!$A:$A,0)))</f>
        <v/>
      </c>
      <c r="I69" s="34" t="str">
        <f aca="false">IF($B69="","",F69*G69)</f>
        <v/>
      </c>
      <c r="J69" s="34" t="str">
        <f aca="false">IF($B69="","",F69*H69)</f>
        <v/>
      </c>
      <c r="K69" s="34" t="str">
        <f aca="false">IF($B69="","",I69/'Ration Formulator'!$E$21)</f>
        <v/>
      </c>
      <c r="L69" s="34" t="str">
        <f aca="false">IF($B69="","",J69/INDEX('Ration Formulator'!$D$56:$D$58,MATCH($D69,'Ration Formulator'!$A$56:$A$58,0)))</f>
        <v/>
      </c>
      <c r="M69" s="34" t="str">
        <f aca="false">IF($B69="","",I69*'Ration Formulator'!$F$21+J69*INDEX('Ration Formulator'!$E$56:$E$58,MATCH($D69,'Ration Formulator'!$A$56:$A$58,0)))</f>
        <v/>
      </c>
      <c r="N69" s="32"/>
    </row>
    <row r="70" customFormat="false" ht="15" hidden="false" customHeight="false" outlineLevel="0" collapsed="false">
      <c r="A70" s="51"/>
      <c r="B70" s="50"/>
      <c r="C70" s="47" t="str">
        <f aca="false">IF($B70="","",$A70-INDEX('Animal Register'!$K:$K,MATCH($B70,'Animal Register'!$A:$A,0)))</f>
        <v/>
      </c>
      <c r="D70" s="47" t="str">
        <f aca="false">IF($B70="","",IF(C70&lt;=INDEX('Animal Register'!$L:$L,MATCH($B70,'Animal Register'!$A:$A,0))*0.33,"Phase 1 - Adaptation",IF(C70&lt;=INDEX('Animal Register'!$L:$L,MATCH($B70,'Animal Register'!$A:$A,0))*0.66,"Phase 2 - Growth","Phase 3 - Finishing")))</f>
        <v/>
      </c>
      <c r="E70" s="34" t="str">
        <f aca="false">IF($B70="","",IF(SUMPRODUCT(MAX(('Weight Log'!$A$5:$A$154=$B70)*('Weight Log'!$C$5:$C$154)))=0,INDEX('Animal Register'!$I:$I,MATCH($B70,'Animal Register'!$A:$A,0)),SUMPRODUCT(MAX(('Weight Log'!$A$5:$A$154=$B70)*('Weight Log'!$C$5:$C$154)))))</f>
        <v/>
      </c>
      <c r="F70" s="34" t="str">
        <f aca="false">IF($B70="","",E70*0.03)</f>
        <v/>
      </c>
      <c r="G70" s="46" t="str">
        <f aca="false">IF($B70="","",INDEX('Ration Formulator'!$D:$D,MATCH($D70,'Ration Formulator'!$A:$A,0)))</f>
        <v/>
      </c>
      <c r="H70" s="46" t="str">
        <f aca="false">IF($B70="","",INDEX('Ration Formulator'!$E:$E,MATCH($D70,'Ration Formulator'!$A:$A,0)))</f>
        <v/>
      </c>
      <c r="I70" s="34" t="str">
        <f aca="false">IF($B70="","",F70*G70)</f>
        <v/>
      </c>
      <c r="J70" s="34" t="str">
        <f aca="false">IF($B70="","",F70*H70)</f>
        <v/>
      </c>
      <c r="K70" s="34" t="str">
        <f aca="false">IF($B70="","",I70/'Ration Formulator'!$E$21)</f>
        <v/>
      </c>
      <c r="L70" s="34" t="str">
        <f aca="false">IF($B70="","",J70/INDEX('Ration Formulator'!$D$56:$D$58,MATCH($D70,'Ration Formulator'!$A$56:$A$58,0)))</f>
        <v/>
      </c>
      <c r="M70" s="34" t="str">
        <f aca="false">IF($B70="","",I70*'Ration Formulator'!$F$21+J70*INDEX('Ration Formulator'!$E$56:$E$58,MATCH($D70,'Ration Formulator'!$A$56:$A$58,0)))</f>
        <v/>
      </c>
      <c r="N70" s="32"/>
    </row>
    <row r="71" customFormat="false" ht="15" hidden="false" customHeight="false" outlineLevel="0" collapsed="false">
      <c r="A71" s="51"/>
      <c r="B71" s="50"/>
      <c r="C71" s="47" t="str">
        <f aca="false">IF($B71="","",$A71-INDEX('Animal Register'!$K:$K,MATCH($B71,'Animal Register'!$A:$A,0)))</f>
        <v/>
      </c>
      <c r="D71" s="47" t="str">
        <f aca="false">IF($B71="","",IF(C71&lt;=INDEX('Animal Register'!$L:$L,MATCH($B71,'Animal Register'!$A:$A,0))*0.33,"Phase 1 - Adaptation",IF(C71&lt;=INDEX('Animal Register'!$L:$L,MATCH($B71,'Animal Register'!$A:$A,0))*0.66,"Phase 2 - Growth","Phase 3 - Finishing")))</f>
        <v/>
      </c>
      <c r="E71" s="34" t="str">
        <f aca="false">IF($B71="","",IF(SUMPRODUCT(MAX(('Weight Log'!$A$5:$A$154=$B71)*('Weight Log'!$C$5:$C$154)))=0,INDEX('Animal Register'!$I:$I,MATCH($B71,'Animal Register'!$A:$A,0)),SUMPRODUCT(MAX(('Weight Log'!$A$5:$A$154=$B71)*('Weight Log'!$C$5:$C$154)))))</f>
        <v/>
      </c>
      <c r="F71" s="34" t="str">
        <f aca="false">IF($B71="","",E71*0.03)</f>
        <v/>
      </c>
      <c r="G71" s="46" t="str">
        <f aca="false">IF($B71="","",INDEX('Ration Formulator'!$D:$D,MATCH($D71,'Ration Formulator'!$A:$A,0)))</f>
        <v/>
      </c>
      <c r="H71" s="46" t="str">
        <f aca="false">IF($B71="","",INDEX('Ration Formulator'!$E:$E,MATCH($D71,'Ration Formulator'!$A:$A,0)))</f>
        <v/>
      </c>
      <c r="I71" s="34" t="str">
        <f aca="false">IF($B71="","",F71*G71)</f>
        <v/>
      </c>
      <c r="J71" s="34" t="str">
        <f aca="false">IF($B71="","",F71*H71)</f>
        <v/>
      </c>
      <c r="K71" s="34" t="str">
        <f aca="false">IF($B71="","",I71/'Ration Formulator'!$E$21)</f>
        <v/>
      </c>
      <c r="L71" s="34" t="str">
        <f aca="false">IF($B71="","",J71/INDEX('Ration Formulator'!$D$56:$D$58,MATCH($D71,'Ration Formulator'!$A$56:$A$58,0)))</f>
        <v/>
      </c>
      <c r="M71" s="34" t="str">
        <f aca="false">IF($B71="","",I71*'Ration Formulator'!$F$21+J71*INDEX('Ration Formulator'!$E$56:$E$58,MATCH($D71,'Ration Formulator'!$A$56:$A$58,0)))</f>
        <v/>
      </c>
      <c r="N71" s="32"/>
    </row>
    <row r="72" customFormat="false" ht="15" hidden="false" customHeight="false" outlineLevel="0" collapsed="false">
      <c r="A72" s="51"/>
      <c r="B72" s="50"/>
      <c r="C72" s="47" t="str">
        <f aca="false">IF($B72="","",$A72-INDEX('Animal Register'!$K:$K,MATCH($B72,'Animal Register'!$A:$A,0)))</f>
        <v/>
      </c>
      <c r="D72" s="47" t="str">
        <f aca="false">IF($B72="","",IF(C72&lt;=INDEX('Animal Register'!$L:$L,MATCH($B72,'Animal Register'!$A:$A,0))*0.33,"Phase 1 - Adaptation",IF(C72&lt;=INDEX('Animal Register'!$L:$L,MATCH($B72,'Animal Register'!$A:$A,0))*0.66,"Phase 2 - Growth","Phase 3 - Finishing")))</f>
        <v/>
      </c>
      <c r="E72" s="34" t="str">
        <f aca="false">IF($B72="","",IF(SUMPRODUCT(MAX(('Weight Log'!$A$5:$A$154=$B72)*('Weight Log'!$C$5:$C$154)))=0,INDEX('Animal Register'!$I:$I,MATCH($B72,'Animal Register'!$A:$A,0)),SUMPRODUCT(MAX(('Weight Log'!$A$5:$A$154=$B72)*('Weight Log'!$C$5:$C$154)))))</f>
        <v/>
      </c>
      <c r="F72" s="34" t="str">
        <f aca="false">IF($B72="","",E72*0.03)</f>
        <v/>
      </c>
      <c r="G72" s="46" t="str">
        <f aca="false">IF($B72="","",INDEX('Ration Formulator'!$D:$D,MATCH($D72,'Ration Formulator'!$A:$A,0)))</f>
        <v/>
      </c>
      <c r="H72" s="46" t="str">
        <f aca="false">IF($B72="","",INDEX('Ration Formulator'!$E:$E,MATCH($D72,'Ration Formulator'!$A:$A,0)))</f>
        <v/>
      </c>
      <c r="I72" s="34" t="str">
        <f aca="false">IF($B72="","",F72*G72)</f>
        <v/>
      </c>
      <c r="J72" s="34" t="str">
        <f aca="false">IF($B72="","",F72*H72)</f>
        <v/>
      </c>
      <c r="K72" s="34" t="str">
        <f aca="false">IF($B72="","",I72/'Ration Formulator'!$E$21)</f>
        <v/>
      </c>
      <c r="L72" s="34" t="str">
        <f aca="false">IF($B72="","",J72/INDEX('Ration Formulator'!$D$56:$D$58,MATCH($D72,'Ration Formulator'!$A$56:$A$58,0)))</f>
        <v/>
      </c>
      <c r="M72" s="34" t="str">
        <f aca="false">IF($B72="","",I72*'Ration Formulator'!$F$21+J72*INDEX('Ration Formulator'!$E$56:$E$58,MATCH($D72,'Ration Formulator'!$A$56:$A$58,0)))</f>
        <v/>
      </c>
      <c r="N72" s="32"/>
    </row>
    <row r="73" customFormat="false" ht="15" hidden="false" customHeight="false" outlineLevel="0" collapsed="false">
      <c r="A73" s="51"/>
      <c r="B73" s="50"/>
      <c r="C73" s="47" t="str">
        <f aca="false">IF($B73="","",$A73-INDEX('Animal Register'!$K:$K,MATCH($B73,'Animal Register'!$A:$A,0)))</f>
        <v/>
      </c>
      <c r="D73" s="47" t="str">
        <f aca="false">IF($B73="","",IF(C73&lt;=INDEX('Animal Register'!$L:$L,MATCH($B73,'Animal Register'!$A:$A,0))*0.33,"Phase 1 - Adaptation",IF(C73&lt;=INDEX('Animal Register'!$L:$L,MATCH($B73,'Animal Register'!$A:$A,0))*0.66,"Phase 2 - Growth","Phase 3 - Finishing")))</f>
        <v/>
      </c>
      <c r="E73" s="34" t="str">
        <f aca="false">IF($B73="","",IF(SUMPRODUCT(MAX(('Weight Log'!$A$5:$A$154=$B73)*('Weight Log'!$C$5:$C$154)))=0,INDEX('Animal Register'!$I:$I,MATCH($B73,'Animal Register'!$A:$A,0)),SUMPRODUCT(MAX(('Weight Log'!$A$5:$A$154=$B73)*('Weight Log'!$C$5:$C$154)))))</f>
        <v/>
      </c>
      <c r="F73" s="34" t="str">
        <f aca="false">IF($B73="","",E73*0.03)</f>
        <v/>
      </c>
      <c r="G73" s="46" t="str">
        <f aca="false">IF($B73="","",INDEX('Ration Formulator'!$D:$D,MATCH($D73,'Ration Formulator'!$A:$A,0)))</f>
        <v/>
      </c>
      <c r="H73" s="46" t="str">
        <f aca="false">IF($B73="","",INDEX('Ration Formulator'!$E:$E,MATCH($D73,'Ration Formulator'!$A:$A,0)))</f>
        <v/>
      </c>
      <c r="I73" s="34" t="str">
        <f aca="false">IF($B73="","",F73*G73)</f>
        <v/>
      </c>
      <c r="J73" s="34" t="str">
        <f aca="false">IF($B73="","",F73*H73)</f>
        <v/>
      </c>
      <c r="K73" s="34" t="str">
        <f aca="false">IF($B73="","",I73/'Ration Formulator'!$E$21)</f>
        <v/>
      </c>
      <c r="L73" s="34" t="str">
        <f aca="false">IF($B73="","",J73/INDEX('Ration Formulator'!$D$56:$D$58,MATCH($D73,'Ration Formulator'!$A$56:$A$58,0)))</f>
        <v/>
      </c>
      <c r="M73" s="34" t="str">
        <f aca="false">IF($B73="","",I73*'Ration Formulator'!$F$21+J73*INDEX('Ration Formulator'!$E$56:$E$58,MATCH($D73,'Ration Formulator'!$A$56:$A$58,0)))</f>
        <v/>
      </c>
      <c r="N73" s="32"/>
    </row>
    <row r="74" customFormat="false" ht="15" hidden="false" customHeight="false" outlineLevel="0" collapsed="false">
      <c r="A74" s="51"/>
      <c r="B74" s="50"/>
      <c r="C74" s="47" t="str">
        <f aca="false">IF($B74="","",$A74-INDEX('Animal Register'!$K:$K,MATCH($B74,'Animal Register'!$A:$A,0)))</f>
        <v/>
      </c>
      <c r="D74" s="47" t="str">
        <f aca="false">IF($B74="","",IF(C74&lt;=INDEX('Animal Register'!$L:$L,MATCH($B74,'Animal Register'!$A:$A,0))*0.33,"Phase 1 - Adaptation",IF(C74&lt;=INDEX('Animal Register'!$L:$L,MATCH($B74,'Animal Register'!$A:$A,0))*0.66,"Phase 2 - Growth","Phase 3 - Finishing")))</f>
        <v/>
      </c>
      <c r="E74" s="34" t="str">
        <f aca="false">IF($B74="","",IF(SUMPRODUCT(MAX(('Weight Log'!$A$5:$A$154=$B74)*('Weight Log'!$C$5:$C$154)))=0,INDEX('Animal Register'!$I:$I,MATCH($B74,'Animal Register'!$A:$A,0)),SUMPRODUCT(MAX(('Weight Log'!$A$5:$A$154=$B74)*('Weight Log'!$C$5:$C$154)))))</f>
        <v/>
      </c>
      <c r="F74" s="34" t="str">
        <f aca="false">IF($B74="","",E74*0.03)</f>
        <v/>
      </c>
      <c r="G74" s="46" t="str">
        <f aca="false">IF($B74="","",INDEX('Ration Formulator'!$D:$D,MATCH($D74,'Ration Formulator'!$A:$A,0)))</f>
        <v/>
      </c>
      <c r="H74" s="46" t="str">
        <f aca="false">IF($B74="","",INDEX('Ration Formulator'!$E:$E,MATCH($D74,'Ration Formulator'!$A:$A,0)))</f>
        <v/>
      </c>
      <c r="I74" s="34" t="str">
        <f aca="false">IF($B74="","",F74*G74)</f>
        <v/>
      </c>
      <c r="J74" s="34" t="str">
        <f aca="false">IF($B74="","",F74*H74)</f>
        <v/>
      </c>
      <c r="K74" s="34" t="str">
        <f aca="false">IF($B74="","",I74/'Ration Formulator'!$E$21)</f>
        <v/>
      </c>
      <c r="L74" s="34" t="str">
        <f aca="false">IF($B74="","",J74/INDEX('Ration Formulator'!$D$56:$D$58,MATCH($D74,'Ration Formulator'!$A$56:$A$58,0)))</f>
        <v/>
      </c>
      <c r="M74" s="34" t="str">
        <f aca="false">IF($B74="","",I74*'Ration Formulator'!$F$21+J74*INDEX('Ration Formulator'!$E$56:$E$58,MATCH($D74,'Ration Formulator'!$A$56:$A$58,0)))</f>
        <v/>
      </c>
      <c r="N74" s="32"/>
    </row>
    <row r="75" customFormat="false" ht="15" hidden="false" customHeight="false" outlineLevel="0" collapsed="false">
      <c r="A75" s="51"/>
      <c r="B75" s="50"/>
      <c r="C75" s="47" t="str">
        <f aca="false">IF($B75="","",$A75-INDEX('Animal Register'!$K:$K,MATCH($B75,'Animal Register'!$A:$A,0)))</f>
        <v/>
      </c>
      <c r="D75" s="47" t="str">
        <f aca="false">IF($B75="","",IF(C75&lt;=INDEX('Animal Register'!$L:$L,MATCH($B75,'Animal Register'!$A:$A,0))*0.33,"Phase 1 - Adaptation",IF(C75&lt;=INDEX('Animal Register'!$L:$L,MATCH($B75,'Animal Register'!$A:$A,0))*0.66,"Phase 2 - Growth","Phase 3 - Finishing")))</f>
        <v/>
      </c>
      <c r="E75" s="34" t="str">
        <f aca="false">IF($B75="","",IF(SUMPRODUCT(MAX(('Weight Log'!$A$5:$A$154=$B75)*('Weight Log'!$C$5:$C$154)))=0,INDEX('Animal Register'!$I:$I,MATCH($B75,'Animal Register'!$A:$A,0)),SUMPRODUCT(MAX(('Weight Log'!$A$5:$A$154=$B75)*('Weight Log'!$C$5:$C$154)))))</f>
        <v/>
      </c>
      <c r="F75" s="34" t="str">
        <f aca="false">IF($B75="","",E75*0.03)</f>
        <v/>
      </c>
      <c r="G75" s="46" t="str">
        <f aca="false">IF($B75="","",INDEX('Ration Formulator'!$D:$D,MATCH($D75,'Ration Formulator'!$A:$A,0)))</f>
        <v/>
      </c>
      <c r="H75" s="46" t="str">
        <f aca="false">IF($B75="","",INDEX('Ration Formulator'!$E:$E,MATCH($D75,'Ration Formulator'!$A:$A,0)))</f>
        <v/>
      </c>
      <c r="I75" s="34" t="str">
        <f aca="false">IF($B75="","",F75*G75)</f>
        <v/>
      </c>
      <c r="J75" s="34" t="str">
        <f aca="false">IF($B75="","",F75*H75)</f>
        <v/>
      </c>
      <c r="K75" s="34" t="str">
        <f aca="false">IF($B75="","",I75/'Ration Formulator'!$E$21)</f>
        <v/>
      </c>
      <c r="L75" s="34" t="str">
        <f aca="false">IF($B75="","",J75/INDEX('Ration Formulator'!$D$56:$D$58,MATCH($D75,'Ration Formulator'!$A$56:$A$58,0)))</f>
        <v/>
      </c>
      <c r="M75" s="34" t="str">
        <f aca="false">IF($B75="","",I75*'Ration Formulator'!$F$21+J75*INDEX('Ration Formulator'!$E$56:$E$58,MATCH($D75,'Ration Formulator'!$A$56:$A$58,0)))</f>
        <v/>
      </c>
      <c r="N75" s="32"/>
    </row>
    <row r="76" customFormat="false" ht="15" hidden="false" customHeight="false" outlineLevel="0" collapsed="false">
      <c r="A76" s="51"/>
      <c r="B76" s="50"/>
      <c r="C76" s="47" t="str">
        <f aca="false">IF($B76="","",$A76-INDEX('Animal Register'!$K:$K,MATCH($B76,'Animal Register'!$A:$A,0)))</f>
        <v/>
      </c>
      <c r="D76" s="47" t="str">
        <f aca="false">IF($B76="","",IF(C76&lt;=INDEX('Animal Register'!$L:$L,MATCH($B76,'Animal Register'!$A:$A,0))*0.33,"Phase 1 - Adaptation",IF(C76&lt;=INDEX('Animal Register'!$L:$L,MATCH($B76,'Animal Register'!$A:$A,0))*0.66,"Phase 2 - Growth","Phase 3 - Finishing")))</f>
        <v/>
      </c>
      <c r="E76" s="34" t="str">
        <f aca="false">IF($B76="","",IF(SUMPRODUCT(MAX(('Weight Log'!$A$5:$A$154=$B76)*('Weight Log'!$C$5:$C$154)))=0,INDEX('Animal Register'!$I:$I,MATCH($B76,'Animal Register'!$A:$A,0)),SUMPRODUCT(MAX(('Weight Log'!$A$5:$A$154=$B76)*('Weight Log'!$C$5:$C$154)))))</f>
        <v/>
      </c>
      <c r="F76" s="34" t="str">
        <f aca="false">IF($B76="","",E76*0.03)</f>
        <v/>
      </c>
      <c r="G76" s="46" t="str">
        <f aca="false">IF($B76="","",INDEX('Ration Formulator'!$D:$D,MATCH($D76,'Ration Formulator'!$A:$A,0)))</f>
        <v/>
      </c>
      <c r="H76" s="46" t="str">
        <f aca="false">IF($B76="","",INDEX('Ration Formulator'!$E:$E,MATCH($D76,'Ration Formulator'!$A:$A,0)))</f>
        <v/>
      </c>
      <c r="I76" s="34" t="str">
        <f aca="false">IF($B76="","",F76*G76)</f>
        <v/>
      </c>
      <c r="J76" s="34" t="str">
        <f aca="false">IF($B76="","",F76*H76)</f>
        <v/>
      </c>
      <c r="K76" s="34" t="str">
        <f aca="false">IF($B76="","",I76/'Ration Formulator'!$E$21)</f>
        <v/>
      </c>
      <c r="L76" s="34" t="str">
        <f aca="false">IF($B76="","",J76/INDEX('Ration Formulator'!$D$56:$D$58,MATCH($D76,'Ration Formulator'!$A$56:$A$58,0)))</f>
        <v/>
      </c>
      <c r="M76" s="34" t="str">
        <f aca="false">IF($B76="","",I76*'Ration Formulator'!$F$21+J76*INDEX('Ration Formulator'!$E$56:$E$58,MATCH($D76,'Ration Formulator'!$A$56:$A$58,0)))</f>
        <v/>
      </c>
      <c r="N76" s="32"/>
    </row>
    <row r="77" customFormat="false" ht="15" hidden="false" customHeight="false" outlineLevel="0" collapsed="false">
      <c r="A77" s="51"/>
      <c r="B77" s="50"/>
      <c r="C77" s="47" t="str">
        <f aca="false">IF($B77="","",$A77-INDEX('Animal Register'!$K:$K,MATCH($B77,'Animal Register'!$A:$A,0)))</f>
        <v/>
      </c>
      <c r="D77" s="47" t="str">
        <f aca="false">IF($B77="","",IF(C77&lt;=INDEX('Animal Register'!$L:$L,MATCH($B77,'Animal Register'!$A:$A,0))*0.33,"Phase 1 - Adaptation",IF(C77&lt;=INDEX('Animal Register'!$L:$L,MATCH($B77,'Animal Register'!$A:$A,0))*0.66,"Phase 2 - Growth","Phase 3 - Finishing")))</f>
        <v/>
      </c>
      <c r="E77" s="34" t="str">
        <f aca="false">IF($B77="","",IF(SUMPRODUCT(MAX(('Weight Log'!$A$5:$A$154=$B77)*('Weight Log'!$C$5:$C$154)))=0,INDEX('Animal Register'!$I:$I,MATCH($B77,'Animal Register'!$A:$A,0)),SUMPRODUCT(MAX(('Weight Log'!$A$5:$A$154=$B77)*('Weight Log'!$C$5:$C$154)))))</f>
        <v/>
      </c>
      <c r="F77" s="34" t="str">
        <f aca="false">IF($B77="","",E77*0.03)</f>
        <v/>
      </c>
      <c r="G77" s="46" t="str">
        <f aca="false">IF($B77="","",INDEX('Ration Formulator'!$D:$D,MATCH($D77,'Ration Formulator'!$A:$A,0)))</f>
        <v/>
      </c>
      <c r="H77" s="46" t="str">
        <f aca="false">IF($B77="","",INDEX('Ration Formulator'!$E:$E,MATCH($D77,'Ration Formulator'!$A:$A,0)))</f>
        <v/>
      </c>
      <c r="I77" s="34" t="str">
        <f aca="false">IF($B77="","",F77*G77)</f>
        <v/>
      </c>
      <c r="J77" s="34" t="str">
        <f aca="false">IF($B77="","",F77*H77)</f>
        <v/>
      </c>
      <c r="K77" s="34" t="str">
        <f aca="false">IF($B77="","",I77/'Ration Formulator'!$E$21)</f>
        <v/>
      </c>
      <c r="L77" s="34" t="str">
        <f aca="false">IF($B77="","",J77/INDEX('Ration Formulator'!$D$56:$D$58,MATCH($D77,'Ration Formulator'!$A$56:$A$58,0)))</f>
        <v/>
      </c>
      <c r="M77" s="34" t="str">
        <f aca="false">IF($B77="","",I77*'Ration Formulator'!$F$21+J77*INDEX('Ration Formulator'!$E$56:$E$58,MATCH($D77,'Ration Formulator'!$A$56:$A$58,0)))</f>
        <v/>
      </c>
      <c r="N77" s="32"/>
    </row>
    <row r="78" customFormat="false" ht="15" hidden="false" customHeight="false" outlineLevel="0" collapsed="false">
      <c r="A78" s="51"/>
      <c r="B78" s="50"/>
      <c r="C78" s="47" t="str">
        <f aca="false">IF($B78="","",$A78-INDEX('Animal Register'!$K:$K,MATCH($B78,'Animal Register'!$A:$A,0)))</f>
        <v/>
      </c>
      <c r="D78" s="47" t="str">
        <f aca="false">IF($B78="","",IF(C78&lt;=INDEX('Animal Register'!$L:$L,MATCH($B78,'Animal Register'!$A:$A,0))*0.33,"Phase 1 - Adaptation",IF(C78&lt;=INDEX('Animal Register'!$L:$L,MATCH($B78,'Animal Register'!$A:$A,0))*0.66,"Phase 2 - Growth","Phase 3 - Finishing")))</f>
        <v/>
      </c>
      <c r="E78" s="34" t="str">
        <f aca="false">IF($B78="","",IF(SUMPRODUCT(MAX(('Weight Log'!$A$5:$A$154=$B78)*('Weight Log'!$C$5:$C$154)))=0,INDEX('Animal Register'!$I:$I,MATCH($B78,'Animal Register'!$A:$A,0)),SUMPRODUCT(MAX(('Weight Log'!$A$5:$A$154=$B78)*('Weight Log'!$C$5:$C$154)))))</f>
        <v/>
      </c>
      <c r="F78" s="34" t="str">
        <f aca="false">IF($B78="","",E78*0.03)</f>
        <v/>
      </c>
      <c r="G78" s="46" t="str">
        <f aca="false">IF($B78="","",INDEX('Ration Formulator'!$D:$D,MATCH($D78,'Ration Formulator'!$A:$A,0)))</f>
        <v/>
      </c>
      <c r="H78" s="46" t="str">
        <f aca="false">IF($B78="","",INDEX('Ration Formulator'!$E:$E,MATCH($D78,'Ration Formulator'!$A:$A,0)))</f>
        <v/>
      </c>
      <c r="I78" s="34" t="str">
        <f aca="false">IF($B78="","",F78*G78)</f>
        <v/>
      </c>
      <c r="J78" s="34" t="str">
        <f aca="false">IF($B78="","",F78*H78)</f>
        <v/>
      </c>
      <c r="K78" s="34" t="str">
        <f aca="false">IF($B78="","",I78/'Ration Formulator'!$E$21)</f>
        <v/>
      </c>
      <c r="L78" s="34" t="str">
        <f aca="false">IF($B78="","",J78/INDEX('Ration Formulator'!$D$56:$D$58,MATCH($D78,'Ration Formulator'!$A$56:$A$58,0)))</f>
        <v/>
      </c>
      <c r="M78" s="34" t="str">
        <f aca="false">IF($B78="","",I78*'Ration Formulator'!$F$21+J78*INDEX('Ration Formulator'!$E$56:$E$58,MATCH($D78,'Ration Formulator'!$A$56:$A$58,0)))</f>
        <v/>
      </c>
      <c r="N78" s="32"/>
    </row>
    <row r="79" customFormat="false" ht="15" hidden="false" customHeight="false" outlineLevel="0" collapsed="false">
      <c r="A79" s="51"/>
      <c r="B79" s="50"/>
      <c r="C79" s="47" t="str">
        <f aca="false">IF($B79="","",$A79-INDEX('Animal Register'!$K:$K,MATCH($B79,'Animal Register'!$A:$A,0)))</f>
        <v/>
      </c>
      <c r="D79" s="47" t="str">
        <f aca="false">IF($B79="","",IF(C79&lt;=INDEX('Animal Register'!$L:$L,MATCH($B79,'Animal Register'!$A:$A,0))*0.33,"Phase 1 - Adaptation",IF(C79&lt;=INDEX('Animal Register'!$L:$L,MATCH($B79,'Animal Register'!$A:$A,0))*0.66,"Phase 2 - Growth","Phase 3 - Finishing")))</f>
        <v/>
      </c>
      <c r="E79" s="34" t="str">
        <f aca="false">IF($B79="","",IF(SUMPRODUCT(MAX(('Weight Log'!$A$5:$A$154=$B79)*('Weight Log'!$C$5:$C$154)))=0,INDEX('Animal Register'!$I:$I,MATCH($B79,'Animal Register'!$A:$A,0)),SUMPRODUCT(MAX(('Weight Log'!$A$5:$A$154=$B79)*('Weight Log'!$C$5:$C$154)))))</f>
        <v/>
      </c>
      <c r="F79" s="34" t="str">
        <f aca="false">IF($B79="","",E79*0.03)</f>
        <v/>
      </c>
      <c r="G79" s="46" t="str">
        <f aca="false">IF($B79="","",INDEX('Ration Formulator'!$D:$D,MATCH($D79,'Ration Formulator'!$A:$A,0)))</f>
        <v/>
      </c>
      <c r="H79" s="46" t="str">
        <f aca="false">IF($B79="","",INDEX('Ration Formulator'!$E:$E,MATCH($D79,'Ration Formulator'!$A:$A,0)))</f>
        <v/>
      </c>
      <c r="I79" s="34" t="str">
        <f aca="false">IF($B79="","",F79*G79)</f>
        <v/>
      </c>
      <c r="J79" s="34" t="str">
        <f aca="false">IF($B79="","",F79*H79)</f>
        <v/>
      </c>
      <c r="K79" s="34" t="str">
        <f aca="false">IF($B79="","",I79/'Ration Formulator'!$E$21)</f>
        <v/>
      </c>
      <c r="L79" s="34" t="str">
        <f aca="false">IF($B79="","",J79/INDEX('Ration Formulator'!$D$56:$D$58,MATCH($D79,'Ration Formulator'!$A$56:$A$58,0)))</f>
        <v/>
      </c>
      <c r="M79" s="34" t="str">
        <f aca="false">IF($B79="","",I79*'Ration Formulator'!$F$21+J79*INDEX('Ration Formulator'!$E$56:$E$58,MATCH($D79,'Ration Formulator'!$A$56:$A$58,0)))</f>
        <v/>
      </c>
      <c r="N79" s="32"/>
    </row>
    <row r="80" customFormat="false" ht="15" hidden="false" customHeight="false" outlineLevel="0" collapsed="false">
      <c r="A80" s="51"/>
      <c r="B80" s="50"/>
      <c r="C80" s="47" t="str">
        <f aca="false">IF($B80="","",$A80-INDEX('Animal Register'!$K:$K,MATCH($B80,'Animal Register'!$A:$A,0)))</f>
        <v/>
      </c>
      <c r="D80" s="47" t="str">
        <f aca="false">IF($B80="","",IF(C80&lt;=INDEX('Animal Register'!$L:$L,MATCH($B80,'Animal Register'!$A:$A,0))*0.33,"Phase 1 - Adaptation",IF(C80&lt;=INDEX('Animal Register'!$L:$L,MATCH($B80,'Animal Register'!$A:$A,0))*0.66,"Phase 2 - Growth","Phase 3 - Finishing")))</f>
        <v/>
      </c>
      <c r="E80" s="34" t="str">
        <f aca="false">IF($B80="","",IF(SUMPRODUCT(MAX(('Weight Log'!$A$5:$A$154=$B80)*('Weight Log'!$C$5:$C$154)))=0,INDEX('Animal Register'!$I:$I,MATCH($B80,'Animal Register'!$A:$A,0)),SUMPRODUCT(MAX(('Weight Log'!$A$5:$A$154=$B80)*('Weight Log'!$C$5:$C$154)))))</f>
        <v/>
      </c>
      <c r="F80" s="34" t="str">
        <f aca="false">IF($B80="","",E80*0.03)</f>
        <v/>
      </c>
      <c r="G80" s="46" t="str">
        <f aca="false">IF($B80="","",INDEX('Ration Formulator'!$D:$D,MATCH($D80,'Ration Formulator'!$A:$A,0)))</f>
        <v/>
      </c>
      <c r="H80" s="46" t="str">
        <f aca="false">IF($B80="","",INDEX('Ration Formulator'!$E:$E,MATCH($D80,'Ration Formulator'!$A:$A,0)))</f>
        <v/>
      </c>
      <c r="I80" s="34" t="str">
        <f aca="false">IF($B80="","",F80*G80)</f>
        <v/>
      </c>
      <c r="J80" s="34" t="str">
        <f aca="false">IF($B80="","",F80*H80)</f>
        <v/>
      </c>
      <c r="K80" s="34" t="str">
        <f aca="false">IF($B80="","",I80/'Ration Formulator'!$E$21)</f>
        <v/>
      </c>
      <c r="L80" s="34" t="str">
        <f aca="false">IF($B80="","",J80/INDEX('Ration Formulator'!$D$56:$D$58,MATCH($D80,'Ration Formulator'!$A$56:$A$58,0)))</f>
        <v/>
      </c>
      <c r="M80" s="34" t="str">
        <f aca="false">IF($B80="","",I80*'Ration Formulator'!$F$21+J80*INDEX('Ration Formulator'!$E$56:$E$58,MATCH($D80,'Ration Formulator'!$A$56:$A$58,0)))</f>
        <v/>
      </c>
      <c r="N80" s="32"/>
    </row>
    <row r="81" customFormat="false" ht="15" hidden="false" customHeight="false" outlineLevel="0" collapsed="false">
      <c r="A81" s="51"/>
      <c r="B81" s="50"/>
      <c r="C81" s="47" t="str">
        <f aca="false">IF($B81="","",$A81-INDEX('Animal Register'!$K:$K,MATCH($B81,'Animal Register'!$A:$A,0)))</f>
        <v/>
      </c>
      <c r="D81" s="47" t="str">
        <f aca="false">IF($B81="","",IF(C81&lt;=INDEX('Animal Register'!$L:$L,MATCH($B81,'Animal Register'!$A:$A,0))*0.33,"Phase 1 - Adaptation",IF(C81&lt;=INDEX('Animal Register'!$L:$L,MATCH($B81,'Animal Register'!$A:$A,0))*0.66,"Phase 2 - Growth","Phase 3 - Finishing")))</f>
        <v/>
      </c>
      <c r="E81" s="34" t="str">
        <f aca="false">IF($B81="","",IF(SUMPRODUCT(MAX(('Weight Log'!$A$5:$A$154=$B81)*('Weight Log'!$C$5:$C$154)))=0,INDEX('Animal Register'!$I:$I,MATCH($B81,'Animal Register'!$A:$A,0)),SUMPRODUCT(MAX(('Weight Log'!$A$5:$A$154=$B81)*('Weight Log'!$C$5:$C$154)))))</f>
        <v/>
      </c>
      <c r="F81" s="34" t="str">
        <f aca="false">IF($B81="","",E81*0.03)</f>
        <v/>
      </c>
      <c r="G81" s="46" t="str">
        <f aca="false">IF($B81="","",INDEX('Ration Formulator'!$D:$D,MATCH($D81,'Ration Formulator'!$A:$A,0)))</f>
        <v/>
      </c>
      <c r="H81" s="46" t="str">
        <f aca="false">IF($B81="","",INDEX('Ration Formulator'!$E:$E,MATCH($D81,'Ration Formulator'!$A:$A,0)))</f>
        <v/>
      </c>
      <c r="I81" s="34" t="str">
        <f aca="false">IF($B81="","",F81*G81)</f>
        <v/>
      </c>
      <c r="J81" s="34" t="str">
        <f aca="false">IF($B81="","",F81*H81)</f>
        <v/>
      </c>
      <c r="K81" s="34" t="str">
        <f aca="false">IF($B81="","",I81/'Ration Formulator'!$E$21)</f>
        <v/>
      </c>
      <c r="L81" s="34" t="str">
        <f aca="false">IF($B81="","",J81/INDEX('Ration Formulator'!$D$56:$D$58,MATCH($D81,'Ration Formulator'!$A$56:$A$58,0)))</f>
        <v/>
      </c>
      <c r="M81" s="34" t="str">
        <f aca="false">IF($B81="","",I81*'Ration Formulator'!$F$21+J81*INDEX('Ration Formulator'!$E$56:$E$58,MATCH($D81,'Ration Formulator'!$A$56:$A$58,0)))</f>
        <v/>
      </c>
      <c r="N81" s="32"/>
    </row>
    <row r="82" customFormat="false" ht="15" hidden="false" customHeight="false" outlineLevel="0" collapsed="false">
      <c r="A82" s="51"/>
      <c r="B82" s="50"/>
      <c r="C82" s="47" t="str">
        <f aca="false">IF($B82="","",$A82-INDEX('Animal Register'!$K:$K,MATCH($B82,'Animal Register'!$A:$A,0)))</f>
        <v/>
      </c>
      <c r="D82" s="47" t="str">
        <f aca="false">IF($B82="","",IF(C82&lt;=INDEX('Animal Register'!$L:$L,MATCH($B82,'Animal Register'!$A:$A,0))*0.33,"Phase 1 - Adaptation",IF(C82&lt;=INDEX('Animal Register'!$L:$L,MATCH($B82,'Animal Register'!$A:$A,0))*0.66,"Phase 2 - Growth","Phase 3 - Finishing")))</f>
        <v/>
      </c>
      <c r="E82" s="34" t="str">
        <f aca="false">IF($B82="","",IF(SUMPRODUCT(MAX(('Weight Log'!$A$5:$A$154=$B82)*('Weight Log'!$C$5:$C$154)))=0,INDEX('Animal Register'!$I:$I,MATCH($B82,'Animal Register'!$A:$A,0)),SUMPRODUCT(MAX(('Weight Log'!$A$5:$A$154=$B82)*('Weight Log'!$C$5:$C$154)))))</f>
        <v/>
      </c>
      <c r="F82" s="34" t="str">
        <f aca="false">IF($B82="","",E82*0.03)</f>
        <v/>
      </c>
      <c r="G82" s="46" t="str">
        <f aca="false">IF($B82="","",INDEX('Ration Formulator'!$D:$D,MATCH($D82,'Ration Formulator'!$A:$A,0)))</f>
        <v/>
      </c>
      <c r="H82" s="46" t="str">
        <f aca="false">IF($B82="","",INDEX('Ration Formulator'!$E:$E,MATCH($D82,'Ration Formulator'!$A:$A,0)))</f>
        <v/>
      </c>
      <c r="I82" s="34" t="str">
        <f aca="false">IF($B82="","",F82*G82)</f>
        <v/>
      </c>
      <c r="J82" s="34" t="str">
        <f aca="false">IF($B82="","",F82*H82)</f>
        <v/>
      </c>
      <c r="K82" s="34" t="str">
        <f aca="false">IF($B82="","",I82/'Ration Formulator'!$E$21)</f>
        <v/>
      </c>
      <c r="L82" s="34" t="str">
        <f aca="false">IF($B82="","",J82/INDEX('Ration Formulator'!$D$56:$D$58,MATCH($D82,'Ration Formulator'!$A$56:$A$58,0)))</f>
        <v/>
      </c>
      <c r="M82" s="34" t="str">
        <f aca="false">IF($B82="","",I82*'Ration Formulator'!$F$21+J82*INDEX('Ration Formulator'!$E$56:$E$58,MATCH($D82,'Ration Formulator'!$A$56:$A$58,0)))</f>
        <v/>
      </c>
      <c r="N82" s="32"/>
    </row>
    <row r="83" customFormat="false" ht="15" hidden="false" customHeight="false" outlineLevel="0" collapsed="false">
      <c r="A83" s="51"/>
      <c r="B83" s="50"/>
      <c r="C83" s="47" t="str">
        <f aca="false">IF($B83="","",$A83-INDEX('Animal Register'!$K:$K,MATCH($B83,'Animal Register'!$A:$A,0)))</f>
        <v/>
      </c>
      <c r="D83" s="47" t="str">
        <f aca="false">IF($B83="","",IF(C83&lt;=INDEX('Animal Register'!$L:$L,MATCH($B83,'Animal Register'!$A:$A,0))*0.33,"Phase 1 - Adaptation",IF(C83&lt;=INDEX('Animal Register'!$L:$L,MATCH($B83,'Animal Register'!$A:$A,0))*0.66,"Phase 2 - Growth","Phase 3 - Finishing")))</f>
        <v/>
      </c>
      <c r="E83" s="34" t="str">
        <f aca="false">IF($B83="","",IF(SUMPRODUCT(MAX(('Weight Log'!$A$5:$A$154=$B83)*('Weight Log'!$C$5:$C$154)))=0,INDEX('Animal Register'!$I:$I,MATCH($B83,'Animal Register'!$A:$A,0)),SUMPRODUCT(MAX(('Weight Log'!$A$5:$A$154=$B83)*('Weight Log'!$C$5:$C$154)))))</f>
        <v/>
      </c>
      <c r="F83" s="34" t="str">
        <f aca="false">IF($B83="","",E83*0.03)</f>
        <v/>
      </c>
      <c r="G83" s="46" t="str">
        <f aca="false">IF($B83="","",INDEX('Ration Formulator'!$D:$D,MATCH($D83,'Ration Formulator'!$A:$A,0)))</f>
        <v/>
      </c>
      <c r="H83" s="46" t="str">
        <f aca="false">IF($B83="","",INDEX('Ration Formulator'!$E:$E,MATCH($D83,'Ration Formulator'!$A:$A,0)))</f>
        <v/>
      </c>
      <c r="I83" s="34" t="str">
        <f aca="false">IF($B83="","",F83*G83)</f>
        <v/>
      </c>
      <c r="J83" s="34" t="str">
        <f aca="false">IF($B83="","",F83*H83)</f>
        <v/>
      </c>
      <c r="K83" s="34" t="str">
        <f aca="false">IF($B83="","",I83/'Ration Formulator'!$E$21)</f>
        <v/>
      </c>
      <c r="L83" s="34" t="str">
        <f aca="false">IF($B83="","",J83/INDEX('Ration Formulator'!$D$56:$D$58,MATCH($D83,'Ration Formulator'!$A$56:$A$58,0)))</f>
        <v/>
      </c>
      <c r="M83" s="34" t="str">
        <f aca="false">IF($B83="","",I83*'Ration Formulator'!$F$21+J83*INDEX('Ration Formulator'!$E$56:$E$58,MATCH($D83,'Ration Formulator'!$A$56:$A$58,0)))</f>
        <v/>
      </c>
      <c r="N83" s="32"/>
    </row>
    <row r="84" customFormat="false" ht="15" hidden="false" customHeight="false" outlineLevel="0" collapsed="false">
      <c r="A84" s="51"/>
      <c r="B84" s="50"/>
      <c r="C84" s="47" t="str">
        <f aca="false">IF($B84="","",$A84-INDEX('Animal Register'!$K:$K,MATCH($B84,'Animal Register'!$A:$A,0)))</f>
        <v/>
      </c>
      <c r="D84" s="47" t="str">
        <f aca="false">IF($B84="","",IF(C84&lt;=INDEX('Animal Register'!$L:$L,MATCH($B84,'Animal Register'!$A:$A,0))*0.33,"Phase 1 - Adaptation",IF(C84&lt;=INDEX('Animal Register'!$L:$L,MATCH($B84,'Animal Register'!$A:$A,0))*0.66,"Phase 2 - Growth","Phase 3 - Finishing")))</f>
        <v/>
      </c>
      <c r="E84" s="34" t="str">
        <f aca="false">IF($B84="","",IF(SUMPRODUCT(MAX(('Weight Log'!$A$5:$A$154=$B84)*('Weight Log'!$C$5:$C$154)))=0,INDEX('Animal Register'!$I:$I,MATCH($B84,'Animal Register'!$A:$A,0)),SUMPRODUCT(MAX(('Weight Log'!$A$5:$A$154=$B84)*('Weight Log'!$C$5:$C$154)))))</f>
        <v/>
      </c>
      <c r="F84" s="34" t="str">
        <f aca="false">IF($B84="","",E84*0.03)</f>
        <v/>
      </c>
      <c r="G84" s="46" t="str">
        <f aca="false">IF($B84="","",INDEX('Ration Formulator'!$D:$D,MATCH($D84,'Ration Formulator'!$A:$A,0)))</f>
        <v/>
      </c>
      <c r="H84" s="46" t="str">
        <f aca="false">IF($B84="","",INDEX('Ration Formulator'!$E:$E,MATCH($D84,'Ration Formulator'!$A:$A,0)))</f>
        <v/>
      </c>
      <c r="I84" s="34" t="str">
        <f aca="false">IF($B84="","",F84*G84)</f>
        <v/>
      </c>
      <c r="J84" s="34" t="str">
        <f aca="false">IF($B84="","",F84*H84)</f>
        <v/>
      </c>
      <c r="K84" s="34" t="str">
        <f aca="false">IF($B84="","",I84/'Ration Formulator'!$E$21)</f>
        <v/>
      </c>
      <c r="L84" s="34" t="str">
        <f aca="false">IF($B84="","",J84/INDEX('Ration Formulator'!$D$56:$D$58,MATCH($D84,'Ration Formulator'!$A$56:$A$58,0)))</f>
        <v/>
      </c>
      <c r="M84" s="34" t="str">
        <f aca="false">IF($B84="","",I84*'Ration Formulator'!$F$21+J84*INDEX('Ration Formulator'!$E$56:$E$58,MATCH($D84,'Ration Formulator'!$A$56:$A$58,0)))</f>
        <v/>
      </c>
      <c r="N84" s="32"/>
    </row>
    <row r="85" customFormat="false" ht="15" hidden="false" customHeight="false" outlineLevel="0" collapsed="false">
      <c r="A85" s="51"/>
      <c r="B85" s="50"/>
      <c r="C85" s="47" t="str">
        <f aca="false">IF($B85="","",$A85-INDEX('Animal Register'!$K:$K,MATCH($B85,'Animal Register'!$A:$A,0)))</f>
        <v/>
      </c>
      <c r="D85" s="47" t="str">
        <f aca="false">IF($B85="","",IF(C85&lt;=INDEX('Animal Register'!$L:$L,MATCH($B85,'Animal Register'!$A:$A,0))*0.33,"Phase 1 - Adaptation",IF(C85&lt;=INDEX('Animal Register'!$L:$L,MATCH($B85,'Animal Register'!$A:$A,0))*0.66,"Phase 2 - Growth","Phase 3 - Finishing")))</f>
        <v/>
      </c>
      <c r="E85" s="34" t="str">
        <f aca="false">IF($B85="","",IF(SUMPRODUCT(MAX(('Weight Log'!$A$5:$A$154=$B85)*('Weight Log'!$C$5:$C$154)))=0,INDEX('Animal Register'!$I:$I,MATCH($B85,'Animal Register'!$A:$A,0)),SUMPRODUCT(MAX(('Weight Log'!$A$5:$A$154=$B85)*('Weight Log'!$C$5:$C$154)))))</f>
        <v/>
      </c>
      <c r="F85" s="34" t="str">
        <f aca="false">IF($B85="","",E85*0.03)</f>
        <v/>
      </c>
      <c r="G85" s="46" t="str">
        <f aca="false">IF($B85="","",INDEX('Ration Formulator'!$D:$D,MATCH($D85,'Ration Formulator'!$A:$A,0)))</f>
        <v/>
      </c>
      <c r="H85" s="46" t="str">
        <f aca="false">IF($B85="","",INDEX('Ration Formulator'!$E:$E,MATCH($D85,'Ration Formulator'!$A:$A,0)))</f>
        <v/>
      </c>
      <c r="I85" s="34" t="str">
        <f aca="false">IF($B85="","",F85*G85)</f>
        <v/>
      </c>
      <c r="J85" s="34" t="str">
        <f aca="false">IF($B85="","",F85*H85)</f>
        <v/>
      </c>
      <c r="K85" s="34" t="str">
        <f aca="false">IF($B85="","",I85/'Ration Formulator'!$E$21)</f>
        <v/>
      </c>
      <c r="L85" s="34" t="str">
        <f aca="false">IF($B85="","",J85/INDEX('Ration Formulator'!$D$56:$D$58,MATCH($D85,'Ration Formulator'!$A$56:$A$58,0)))</f>
        <v/>
      </c>
      <c r="M85" s="34" t="str">
        <f aca="false">IF($B85="","",I85*'Ration Formulator'!$F$21+J85*INDEX('Ration Formulator'!$E$56:$E$58,MATCH($D85,'Ration Formulator'!$A$56:$A$58,0)))</f>
        <v/>
      </c>
      <c r="N85" s="32"/>
    </row>
    <row r="86" customFormat="false" ht="15" hidden="false" customHeight="false" outlineLevel="0" collapsed="false">
      <c r="A86" s="51"/>
      <c r="B86" s="50"/>
      <c r="C86" s="47" t="str">
        <f aca="false">IF($B86="","",$A86-INDEX('Animal Register'!$K:$K,MATCH($B86,'Animal Register'!$A:$A,0)))</f>
        <v/>
      </c>
      <c r="D86" s="47" t="str">
        <f aca="false">IF($B86="","",IF(C86&lt;=INDEX('Animal Register'!$L:$L,MATCH($B86,'Animal Register'!$A:$A,0))*0.33,"Phase 1 - Adaptation",IF(C86&lt;=INDEX('Animal Register'!$L:$L,MATCH($B86,'Animal Register'!$A:$A,0))*0.66,"Phase 2 - Growth","Phase 3 - Finishing")))</f>
        <v/>
      </c>
      <c r="E86" s="34" t="str">
        <f aca="false">IF($B86="","",IF(SUMPRODUCT(MAX(('Weight Log'!$A$5:$A$154=$B86)*('Weight Log'!$C$5:$C$154)))=0,INDEX('Animal Register'!$I:$I,MATCH($B86,'Animal Register'!$A:$A,0)),SUMPRODUCT(MAX(('Weight Log'!$A$5:$A$154=$B86)*('Weight Log'!$C$5:$C$154)))))</f>
        <v/>
      </c>
      <c r="F86" s="34" t="str">
        <f aca="false">IF($B86="","",E86*0.03)</f>
        <v/>
      </c>
      <c r="G86" s="46" t="str">
        <f aca="false">IF($B86="","",INDEX('Ration Formulator'!$D:$D,MATCH($D86,'Ration Formulator'!$A:$A,0)))</f>
        <v/>
      </c>
      <c r="H86" s="46" t="str">
        <f aca="false">IF($B86="","",INDEX('Ration Formulator'!$E:$E,MATCH($D86,'Ration Formulator'!$A:$A,0)))</f>
        <v/>
      </c>
      <c r="I86" s="34" t="str">
        <f aca="false">IF($B86="","",F86*G86)</f>
        <v/>
      </c>
      <c r="J86" s="34" t="str">
        <f aca="false">IF($B86="","",F86*H86)</f>
        <v/>
      </c>
      <c r="K86" s="34" t="str">
        <f aca="false">IF($B86="","",I86/'Ration Formulator'!$E$21)</f>
        <v/>
      </c>
      <c r="L86" s="34" t="str">
        <f aca="false">IF($B86="","",J86/INDEX('Ration Formulator'!$D$56:$D$58,MATCH($D86,'Ration Formulator'!$A$56:$A$58,0)))</f>
        <v/>
      </c>
      <c r="M86" s="34" t="str">
        <f aca="false">IF($B86="","",I86*'Ration Formulator'!$F$21+J86*INDEX('Ration Formulator'!$E$56:$E$58,MATCH($D86,'Ration Formulator'!$A$56:$A$58,0)))</f>
        <v/>
      </c>
      <c r="N86" s="32"/>
    </row>
    <row r="87" customFormat="false" ht="15" hidden="false" customHeight="false" outlineLevel="0" collapsed="false">
      <c r="A87" s="51"/>
      <c r="B87" s="50"/>
      <c r="C87" s="47" t="str">
        <f aca="false">IF($B87="","",$A87-INDEX('Animal Register'!$K:$K,MATCH($B87,'Animal Register'!$A:$A,0)))</f>
        <v/>
      </c>
      <c r="D87" s="47" t="str">
        <f aca="false">IF($B87="","",IF(C87&lt;=INDEX('Animal Register'!$L:$L,MATCH($B87,'Animal Register'!$A:$A,0))*0.33,"Phase 1 - Adaptation",IF(C87&lt;=INDEX('Animal Register'!$L:$L,MATCH($B87,'Animal Register'!$A:$A,0))*0.66,"Phase 2 - Growth","Phase 3 - Finishing")))</f>
        <v/>
      </c>
      <c r="E87" s="34" t="str">
        <f aca="false">IF($B87="","",IF(SUMPRODUCT(MAX(('Weight Log'!$A$5:$A$154=$B87)*('Weight Log'!$C$5:$C$154)))=0,INDEX('Animal Register'!$I:$I,MATCH($B87,'Animal Register'!$A:$A,0)),SUMPRODUCT(MAX(('Weight Log'!$A$5:$A$154=$B87)*('Weight Log'!$C$5:$C$154)))))</f>
        <v/>
      </c>
      <c r="F87" s="34" t="str">
        <f aca="false">IF($B87="","",E87*0.03)</f>
        <v/>
      </c>
      <c r="G87" s="46" t="str">
        <f aca="false">IF($B87="","",INDEX('Ration Formulator'!$D:$D,MATCH($D87,'Ration Formulator'!$A:$A,0)))</f>
        <v/>
      </c>
      <c r="H87" s="46" t="str">
        <f aca="false">IF($B87="","",INDEX('Ration Formulator'!$E:$E,MATCH($D87,'Ration Formulator'!$A:$A,0)))</f>
        <v/>
      </c>
      <c r="I87" s="34" t="str">
        <f aca="false">IF($B87="","",F87*G87)</f>
        <v/>
      </c>
      <c r="J87" s="34" t="str">
        <f aca="false">IF($B87="","",F87*H87)</f>
        <v/>
      </c>
      <c r="K87" s="34" t="str">
        <f aca="false">IF($B87="","",I87/'Ration Formulator'!$E$21)</f>
        <v/>
      </c>
      <c r="L87" s="34" t="str">
        <f aca="false">IF($B87="","",J87/INDEX('Ration Formulator'!$D$56:$D$58,MATCH($D87,'Ration Formulator'!$A$56:$A$58,0)))</f>
        <v/>
      </c>
      <c r="M87" s="34" t="str">
        <f aca="false">IF($B87="","",I87*'Ration Formulator'!$F$21+J87*INDEX('Ration Formulator'!$E$56:$E$58,MATCH($D87,'Ration Formulator'!$A$56:$A$58,0)))</f>
        <v/>
      </c>
      <c r="N87" s="32"/>
    </row>
    <row r="88" customFormat="false" ht="15" hidden="false" customHeight="false" outlineLevel="0" collapsed="false">
      <c r="A88" s="51"/>
      <c r="B88" s="50"/>
      <c r="C88" s="47" t="str">
        <f aca="false">IF($B88="","",$A88-INDEX('Animal Register'!$K:$K,MATCH($B88,'Animal Register'!$A:$A,0)))</f>
        <v/>
      </c>
      <c r="D88" s="47" t="str">
        <f aca="false">IF($B88="","",IF(C88&lt;=INDEX('Animal Register'!$L:$L,MATCH($B88,'Animal Register'!$A:$A,0))*0.33,"Phase 1 - Adaptation",IF(C88&lt;=INDEX('Animal Register'!$L:$L,MATCH($B88,'Animal Register'!$A:$A,0))*0.66,"Phase 2 - Growth","Phase 3 - Finishing")))</f>
        <v/>
      </c>
      <c r="E88" s="34" t="str">
        <f aca="false">IF($B88="","",IF(SUMPRODUCT(MAX(('Weight Log'!$A$5:$A$154=$B88)*('Weight Log'!$C$5:$C$154)))=0,INDEX('Animal Register'!$I:$I,MATCH($B88,'Animal Register'!$A:$A,0)),SUMPRODUCT(MAX(('Weight Log'!$A$5:$A$154=$B88)*('Weight Log'!$C$5:$C$154)))))</f>
        <v/>
      </c>
      <c r="F88" s="34" t="str">
        <f aca="false">IF($B88="","",E88*0.03)</f>
        <v/>
      </c>
      <c r="G88" s="46" t="str">
        <f aca="false">IF($B88="","",INDEX('Ration Formulator'!$D:$D,MATCH($D88,'Ration Formulator'!$A:$A,0)))</f>
        <v/>
      </c>
      <c r="H88" s="46" t="str">
        <f aca="false">IF($B88="","",INDEX('Ration Formulator'!$E:$E,MATCH($D88,'Ration Formulator'!$A:$A,0)))</f>
        <v/>
      </c>
      <c r="I88" s="34" t="str">
        <f aca="false">IF($B88="","",F88*G88)</f>
        <v/>
      </c>
      <c r="J88" s="34" t="str">
        <f aca="false">IF($B88="","",F88*H88)</f>
        <v/>
      </c>
      <c r="K88" s="34" t="str">
        <f aca="false">IF($B88="","",I88/'Ration Formulator'!$E$21)</f>
        <v/>
      </c>
      <c r="L88" s="34" t="str">
        <f aca="false">IF($B88="","",J88/INDEX('Ration Formulator'!$D$56:$D$58,MATCH($D88,'Ration Formulator'!$A$56:$A$58,0)))</f>
        <v/>
      </c>
      <c r="M88" s="34" t="str">
        <f aca="false">IF($B88="","",I88*'Ration Formulator'!$F$21+J88*INDEX('Ration Formulator'!$E$56:$E$58,MATCH($D88,'Ration Formulator'!$A$56:$A$58,0)))</f>
        <v/>
      </c>
      <c r="N88" s="32"/>
    </row>
    <row r="89" customFormat="false" ht="15" hidden="false" customHeight="false" outlineLevel="0" collapsed="false">
      <c r="A89" s="51"/>
      <c r="B89" s="50"/>
      <c r="C89" s="47" t="str">
        <f aca="false">IF($B89="","",$A89-INDEX('Animal Register'!$K:$K,MATCH($B89,'Animal Register'!$A:$A,0)))</f>
        <v/>
      </c>
      <c r="D89" s="47" t="str">
        <f aca="false">IF($B89="","",IF(C89&lt;=INDEX('Animal Register'!$L:$L,MATCH($B89,'Animal Register'!$A:$A,0))*0.33,"Phase 1 - Adaptation",IF(C89&lt;=INDEX('Animal Register'!$L:$L,MATCH($B89,'Animal Register'!$A:$A,0))*0.66,"Phase 2 - Growth","Phase 3 - Finishing")))</f>
        <v/>
      </c>
      <c r="E89" s="34" t="str">
        <f aca="false">IF($B89="","",IF(SUMPRODUCT(MAX(('Weight Log'!$A$5:$A$154=$B89)*('Weight Log'!$C$5:$C$154)))=0,INDEX('Animal Register'!$I:$I,MATCH($B89,'Animal Register'!$A:$A,0)),SUMPRODUCT(MAX(('Weight Log'!$A$5:$A$154=$B89)*('Weight Log'!$C$5:$C$154)))))</f>
        <v/>
      </c>
      <c r="F89" s="34" t="str">
        <f aca="false">IF($B89="","",E89*0.03)</f>
        <v/>
      </c>
      <c r="G89" s="46" t="str">
        <f aca="false">IF($B89="","",INDEX('Ration Formulator'!$D:$D,MATCH($D89,'Ration Formulator'!$A:$A,0)))</f>
        <v/>
      </c>
      <c r="H89" s="46" t="str">
        <f aca="false">IF($B89="","",INDEX('Ration Formulator'!$E:$E,MATCH($D89,'Ration Formulator'!$A:$A,0)))</f>
        <v/>
      </c>
      <c r="I89" s="34" t="str">
        <f aca="false">IF($B89="","",F89*G89)</f>
        <v/>
      </c>
      <c r="J89" s="34" t="str">
        <f aca="false">IF($B89="","",F89*H89)</f>
        <v/>
      </c>
      <c r="K89" s="34" t="str">
        <f aca="false">IF($B89="","",I89/'Ration Formulator'!$E$21)</f>
        <v/>
      </c>
      <c r="L89" s="34" t="str">
        <f aca="false">IF($B89="","",J89/INDEX('Ration Formulator'!$D$56:$D$58,MATCH($D89,'Ration Formulator'!$A$56:$A$58,0)))</f>
        <v/>
      </c>
      <c r="M89" s="34" t="str">
        <f aca="false">IF($B89="","",I89*'Ration Formulator'!$F$21+J89*INDEX('Ration Formulator'!$E$56:$E$58,MATCH($D89,'Ration Formulator'!$A$56:$A$58,0)))</f>
        <v/>
      </c>
      <c r="N89" s="32"/>
    </row>
    <row r="90" customFormat="false" ht="15" hidden="false" customHeight="false" outlineLevel="0" collapsed="false">
      <c r="A90" s="51"/>
      <c r="B90" s="50"/>
      <c r="C90" s="47" t="str">
        <f aca="false">IF($B90="","",$A90-INDEX('Animal Register'!$K:$K,MATCH($B90,'Animal Register'!$A:$A,0)))</f>
        <v/>
      </c>
      <c r="D90" s="47" t="str">
        <f aca="false">IF($B90="","",IF(C90&lt;=INDEX('Animal Register'!$L:$L,MATCH($B90,'Animal Register'!$A:$A,0))*0.33,"Phase 1 - Adaptation",IF(C90&lt;=INDEX('Animal Register'!$L:$L,MATCH($B90,'Animal Register'!$A:$A,0))*0.66,"Phase 2 - Growth","Phase 3 - Finishing")))</f>
        <v/>
      </c>
      <c r="E90" s="34" t="str">
        <f aca="false">IF($B90="","",IF(SUMPRODUCT(MAX(('Weight Log'!$A$5:$A$154=$B90)*('Weight Log'!$C$5:$C$154)))=0,INDEX('Animal Register'!$I:$I,MATCH($B90,'Animal Register'!$A:$A,0)),SUMPRODUCT(MAX(('Weight Log'!$A$5:$A$154=$B90)*('Weight Log'!$C$5:$C$154)))))</f>
        <v/>
      </c>
      <c r="F90" s="34" t="str">
        <f aca="false">IF($B90="","",E90*0.03)</f>
        <v/>
      </c>
      <c r="G90" s="46" t="str">
        <f aca="false">IF($B90="","",INDEX('Ration Formulator'!$D:$D,MATCH($D90,'Ration Formulator'!$A:$A,0)))</f>
        <v/>
      </c>
      <c r="H90" s="46" t="str">
        <f aca="false">IF($B90="","",INDEX('Ration Formulator'!$E:$E,MATCH($D90,'Ration Formulator'!$A:$A,0)))</f>
        <v/>
      </c>
      <c r="I90" s="34" t="str">
        <f aca="false">IF($B90="","",F90*G90)</f>
        <v/>
      </c>
      <c r="J90" s="34" t="str">
        <f aca="false">IF($B90="","",F90*H90)</f>
        <v/>
      </c>
      <c r="K90" s="34" t="str">
        <f aca="false">IF($B90="","",I90/'Ration Formulator'!$E$21)</f>
        <v/>
      </c>
      <c r="L90" s="34" t="str">
        <f aca="false">IF($B90="","",J90/INDEX('Ration Formulator'!$D$56:$D$58,MATCH($D90,'Ration Formulator'!$A$56:$A$58,0)))</f>
        <v/>
      </c>
      <c r="M90" s="34" t="str">
        <f aca="false">IF($B90="","",I90*'Ration Formulator'!$F$21+J90*INDEX('Ration Formulator'!$E$56:$E$58,MATCH($D90,'Ration Formulator'!$A$56:$A$58,0)))</f>
        <v/>
      </c>
      <c r="N90" s="32"/>
    </row>
    <row r="91" customFormat="false" ht="15" hidden="false" customHeight="false" outlineLevel="0" collapsed="false">
      <c r="A91" s="51"/>
      <c r="B91" s="50"/>
      <c r="C91" s="47" t="str">
        <f aca="false">IF($B91="","",$A91-INDEX('Animal Register'!$K:$K,MATCH($B91,'Animal Register'!$A:$A,0)))</f>
        <v/>
      </c>
      <c r="D91" s="47" t="str">
        <f aca="false">IF($B91="","",IF(C91&lt;=INDEX('Animal Register'!$L:$L,MATCH($B91,'Animal Register'!$A:$A,0))*0.33,"Phase 1 - Adaptation",IF(C91&lt;=INDEX('Animal Register'!$L:$L,MATCH($B91,'Animal Register'!$A:$A,0))*0.66,"Phase 2 - Growth","Phase 3 - Finishing")))</f>
        <v/>
      </c>
      <c r="E91" s="34" t="str">
        <f aca="false">IF($B91="","",IF(SUMPRODUCT(MAX(('Weight Log'!$A$5:$A$154=$B91)*('Weight Log'!$C$5:$C$154)))=0,INDEX('Animal Register'!$I:$I,MATCH($B91,'Animal Register'!$A:$A,0)),SUMPRODUCT(MAX(('Weight Log'!$A$5:$A$154=$B91)*('Weight Log'!$C$5:$C$154)))))</f>
        <v/>
      </c>
      <c r="F91" s="34" t="str">
        <f aca="false">IF($B91="","",E91*0.03)</f>
        <v/>
      </c>
      <c r="G91" s="46" t="str">
        <f aca="false">IF($B91="","",INDEX('Ration Formulator'!$D:$D,MATCH($D91,'Ration Formulator'!$A:$A,0)))</f>
        <v/>
      </c>
      <c r="H91" s="46" t="str">
        <f aca="false">IF($B91="","",INDEX('Ration Formulator'!$E:$E,MATCH($D91,'Ration Formulator'!$A:$A,0)))</f>
        <v/>
      </c>
      <c r="I91" s="34" t="str">
        <f aca="false">IF($B91="","",F91*G91)</f>
        <v/>
      </c>
      <c r="J91" s="34" t="str">
        <f aca="false">IF($B91="","",F91*H91)</f>
        <v/>
      </c>
      <c r="K91" s="34" t="str">
        <f aca="false">IF($B91="","",I91/'Ration Formulator'!$E$21)</f>
        <v/>
      </c>
      <c r="L91" s="34" t="str">
        <f aca="false">IF($B91="","",J91/INDEX('Ration Formulator'!$D$56:$D$58,MATCH($D91,'Ration Formulator'!$A$56:$A$58,0)))</f>
        <v/>
      </c>
      <c r="M91" s="34" t="str">
        <f aca="false">IF($B91="","",I91*'Ration Formulator'!$F$21+J91*INDEX('Ration Formulator'!$E$56:$E$58,MATCH($D91,'Ration Formulator'!$A$56:$A$58,0)))</f>
        <v/>
      </c>
      <c r="N91" s="32"/>
    </row>
    <row r="92" customFormat="false" ht="15" hidden="false" customHeight="false" outlineLevel="0" collapsed="false">
      <c r="A92" s="51"/>
      <c r="B92" s="50"/>
      <c r="C92" s="47" t="str">
        <f aca="false">IF($B92="","",$A92-INDEX('Animal Register'!$K:$K,MATCH($B92,'Animal Register'!$A:$A,0)))</f>
        <v/>
      </c>
      <c r="D92" s="47" t="str">
        <f aca="false">IF($B92="","",IF(C92&lt;=INDEX('Animal Register'!$L:$L,MATCH($B92,'Animal Register'!$A:$A,0))*0.33,"Phase 1 - Adaptation",IF(C92&lt;=INDEX('Animal Register'!$L:$L,MATCH($B92,'Animal Register'!$A:$A,0))*0.66,"Phase 2 - Growth","Phase 3 - Finishing")))</f>
        <v/>
      </c>
      <c r="E92" s="34" t="str">
        <f aca="false">IF($B92="","",IF(SUMPRODUCT(MAX(('Weight Log'!$A$5:$A$154=$B92)*('Weight Log'!$C$5:$C$154)))=0,INDEX('Animal Register'!$I:$I,MATCH($B92,'Animal Register'!$A:$A,0)),SUMPRODUCT(MAX(('Weight Log'!$A$5:$A$154=$B92)*('Weight Log'!$C$5:$C$154)))))</f>
        <v/>
      </c>
      <c r="F92" s="34" t="str">
        <f aca="false">IF($B92="","",E92*0.03)</f>
        <v/>
      </c>
      <c r="G92" s="46" t="str">
        <f aca="false">IF($B92="","",INDEX('Ration Formulator'!$D:$D,MATCH($D92,'Ration Formulator'!$A:$A,0)))</f>
        <v/>
      </c>
      <c r="H92" s="46" t="str">
        <f aca="false">IF($B92="","",INDEX('Ration Formulator'!$E:$E,MATCH($D92,'Ration Formulator'!$A:$A,0)))</f>
        <v/>
      </c>
      <c r="I92" s="34" t="str">
        <f aca="false">IF($B92="","",F92*G92)</f>
        <v/>
      </c>
      <c r="J92" s="34" t="str">
        <f aca="false">IF($B92="","",F92*H92)</f>
        <v/>
      </c>
      <c r="K92" s="34" t="str">
        <f aca="false">IF($B92="","",I92/'Ration Formulator'!$E$21)</f>
        <v/>
      </c>
      <c r="L92" s="34" t="str">
        <f aca="false">IF($B92="","",J92/INDEX('Ration Formulator'!$D$56:$D$58,MATCH($D92,'Ration Formulator'!$A$56:$A$58,0)))</f>
        <v/>
      </c>
      <c r="M92" s="34" t="str">
        <f aca="false">IF($B92="","",I92*'Ration Formulator'!$F$21+J92*INDEX('Ration Formulator'!$E$56:$E$58,MATCH($D92,'Ration Formulator'!$A$56:$A$58,0)))</f>
        <v/>
      </c>
      <c r="N92" s="32"/>
    </row>
    <row r="93" customFormat="false" ht="15" hidden="false" customHeight="false" outlineLevel="0" collapsed="false">
      <c r="A93" s="51"/>
      <c r="B93" s="50"/>
      <c r="C93" s="47" t="str">
        <f aca="false">IF($B93="","",$A93-INDEX('Animal Register'!$K:$K,MATCH($B93,'Animal Register'!$A:$A,0)))</f>
        <v/>
      </c>
      <c r="D93" s="47" t="str">
        <f aca="false">IF($B93="","",IF(C93&lt;=INDEX('Animal Register'!$L:$L,MATCH($B93,'Animal Register'!$A:$A,0))*0.33,"Phase 1 - Adaptation",IF(C93&lt;=INDEX('Animal Register'!$L:$L,MATCH($B93,'Animal Register'!$A:$A,0))*0.66,"Phase 2 - Growth","Phase 3 - Finishing")))</f>
        <v/>
      </c>
      <c r="E93" s="34" t="str">
        <f aca="false">IF($B93="","",IF(SUMPRODUCT(MAX(('Weight Log'!$A$5:$A$154=$B93)*('Weight Log'!$C$5:$C$154)))=0,INDEX('Animal Register'!$I:$I,MATCH($B93,'Animal Register'!$A:$A,0)),SUMPRODUCT(MAX(('Weight Log'!$A$5:$A$154=$B93)*('Weight Log'!$C$5:$C$154)))))</f>
        <v/>
      </c>
      <c r="F93" s="34" t="str">
        <f aca="false">IF($B93="","",E93*0.03)</f>
        <v/>
      </c>
      <c r="G93" s="46" t="str">
        <f aca="false">IF($B93="","",INDEX('Ration Formulator'!$D:$D,MATCH($D93,'Ration Formulator'!$A:$A,0)))</f>
        <v/>
      </c>
      <c r="H93" s="46" t="str">
        <f aca="false">IF($B93="","",INDEX('Ration Formulator'!$E:$E,MATCH($D93,'Ration Formulator'!$A:$A,0)))</f>
        <v/>
      </c>
      <c r="I93" s="34" t="str">
        <f aca="false">IF($B93="","",F93*G93)</f>
        <v/>
      </c>
      <c r="J93" s="34" t="str">
        <f aca="false">IF($B93="","",F93*H93)</f>
        <v/>
      </c>
      <c r="K93" s="34" t="str">
        <f aca="false">IF($B93="","",I93/'Ration Formulator'!$E$21)</f>
        <v/>
      </c>
      <c r="L93" s="34" t="str">
        <f aca="false">IF($B93="","",J93/INDEX('Ration Formulator'!$D$56:$D$58,MATCH($D93,'Ration Formulator'!$A$56:$A$58,0)))</f>
        <v/>
      </c>
      <c r="M93" s="34" t="str">
        <f aca="false">IF($B93="","",I93*'Ration Formulator'!$F$21+J93*INDEX('Ration Formulator'!$E$56:$E$58,MATCH($D93,'Ration Formulator'!$A$56:$A$58,0)))</f>
        <v/>
      </c>
      <c r="N93" s="32"/>
    </row>
    <row r="94" customFormat="false" ht="15" hidden="false" customHeight="false" outlineLevel="0" collapsed="false">
      <c r="A94" s="51"/>
      <c r="B94" s="50"/>
      <c r="C94" s="47" t="str">
        <f aca="false">IF($B94="","",$A94-INDEX('Animal Register'!$K:$K,MATCH($B94,'Animal Register'!$A:$A,0)))</f>
        <v/>
      </c>
      <c r="D94" s="47" t="str">
        <f aca="false">IF($B94="","",IF(C94&lt;=INDEX('Animal Register'!$L:$L,MATCH($B94,'Animal Register'!$A:$A,0))*0.33,"Phase 1 - Adaptation",IF(C94&lt;=INDEX('Animal Register'!$L:$L,MATCH($B94,'Animal Register'!$A:$A,0))*0.66,"Phase 2 - Growth","Phase 3 - Finishing")))</f>
        <v/>
      </c>
      <c r="E94" s="34" t="str">
        <f aca="false">IF($B94="","",IF(SUMPRODUCT(MAX(('Weight Log'!$A$5:$A$154=$B94)*('Weight Log'!$C$5:$C$154)))=0,INDEX('Animal Register'!$I:$I,MATCH($B94,'Animal Register'!$A:$A,0)),SUMPRODUCT(MAX(('Weight Log'!$A$5:$A$154=$B94)*('Weight Log'!$C$5:$C$154)))))</f>
        <v/>
      </c>
      <c r="F94" s="34" t="str">
        <f aca="false">IF($B94="","",E94*0.03)</f>
        <v/>
      </c>
      <c r="G94" s="46" t="str">
        <f aca="false">IF($B94="","",INDEX('Ration Formulator'!$D:$D,MATCH($D94,'Ration Formulator'!$A:$A,0)))</f>
        <v/>
      </c>
      <c r="H94" s="46" t="str">
        <f aca="false">IF($B94="","",INDEX('Ration Formulator'!$E:$E,MATCH($D94,'Ration Formulator'!$A:$A,0)))</f>
        <v/>
      </c>
      <c r="I94" s="34" t="str">
        <f aca="false">IF($B94="","",F94*G94)</f>
        <v/>
      </c>
      <c r="J94" s="34" t="str">
        <f aca="false">IF($B94="","",F94*H94)</f>
        <v/>
      </c>
      <c r="K94" s="34" t="str">
        <f aca="false">IF($B94="","",I94/'Ration Formulator'!$E$21)</f>
        <v/>
      </c>
      <c r="L94" s="34" t="str">
        <f aca="false">IF($B94="","",J94/INDEX('Ration Formulator'!$D$56:$D$58,MATCH($D94,'Ration Formulator'!$A$56:$A$58,0)))</f>
        <v/>
      </c>
      <c r="M94" s="34" t="str">
        <f aca="false">IF($B94="","",I94*'Ration Formulator'!$F$21+J94*INDEX('Ration Formulator'!$E$56:$E$58,MATCH($D94,'Ration Formulator'!$A$56:$A$58,0)))</f>
        <v/>
      </c>
      <c r="N94" s="32"/>
    </row>
    <row r="95" customFormat="false" ht="15" hidden="false" customHeight="false" outlineLevel="0" collapsed="false">
      <c r="A95" s="51"/>
      <c r="B95" s="50"/>
      <c r="C95" s="47" t="str">
        <f aca="false">IF($B95="","",$A95-INDEX('Animal Register'!$K:$K,MATCH($B95,'Animal Register'!$A:$A,0)))</f>
        <v/>
      </c>
      <c r="D95" s="47" t="str">
        <f aca="false">IF($B95="","",IF(C95&lt;=INDEX('Animal Register'!$L:$L,MATCH($B95,'Animal Register'!$A:$A,0))*0.33,"Phase 1 - Adaptation",IF(C95&lt;=INDEX('Animal Register'!$L:$L,MATCH($B95,'Animal Register'!$A:$A,0))*0.66,"Phase 2 - Growth","Phase 3 - Finishing")))</f>
        <v/>
      </c>
      <c r="E95" s="34" t="str">
        <f aca="false">IF($B95="","",IF(SUMPRODUCT(MAX(('Weight Log'!$A$5:$A$154=$B95)*('Weight Log'!$C$5:$C$154)))=0,INDEX('Animal Register'!$I:$I,MATCH($B95,'Animal Register'!$A:$A,0)),SUMPRODUCT(MAX(('Weight Log'!$A$5:$A$154=$B95)*('Weight Log'!$C$5:$C$154)))))</f>
        <v/>
      </c>
      <c r="F95" s="34" t="str">
        <f aca="false">IF($B95="","",E95*0.03)</f>
        <v/>
      </c>
      <c r="G95" s="46" t="str">
        <f aca="false">IF($B95="","",INDEX('Ration Formulator'!$D:$D,MATCH($D95,'Ration Formulator'!$A:$A,0)))</f>
        <v/>
      </c>
      <c r="H95" s="46" t="str">
        <f aca="false">IF($B95="","",INDEX('Ration Formulator'!$E:$E,MATCH($D95,'Ration Formulator'!$A:$A,0)))</f>
        <v/>
      </c>
      <c r="I95" s="34" t="str">
        <f aca="false">IF($B95="","",F95*G95)</f>
        <v/>
      </c>
      <c r="J95" s="34" t="str">
        <f aca="false">IF($B95="","",F95*H95)</f>
        <v/>
      </c>
      <c r="K95" s="34" t="str">
        <f aca="false">IF($B95="","",I95/'Ration Formulator'!$E$21)</f>
        <v/>
      </c>
      <c r="L95" s="34" t="str">
        <f aca="false">IF($B95="","",J95/INDEX('Ration Formulator'!$D$56:$D$58,MATCH($D95,'Ration Formulator'!$A$56:$A$58,0)))</f>
        <v/>
      </c>
      <c r="M95" s="34" t="str">
        <f aca="false">IF($B95="","",I95*'Ration Formulator'!$F$21+J95*INDEX('Ration Formulator'!$E$56:$E$58,MATCH($D95,'Ration Formulator'!$A$56:$A$58,0)))</f>
        <v/>
      </c>
      <c r="N95" s="32"/>
    </row>
    <row r="96" customFormat="false" ht="15" hidden="false" customHeight="false" outlineLevel="0" collapsed="false">
      <c r="A96" s="51"/>
      <c r="B96" s="50"/>
      <c r="C96" s="47" t="str">
        <f aca="false">IF($B96="","",$A96-INDEX('Animal Register'!$K:$K,MATCH($B96,'Animal Register'!$A:$A,0)))</f>
        <v/>
      </c>
      <c r="D96" s="47" t="str">
        <f aca="false">IF($B96="","",IF(C96&lt;=INDEX('Animal Register'!$L:$L,MATCH($B96,'Animal Register'!$A:$A,0))*0.33,"Phase 1 - Adaptation",IF(C96&lt;=INDEX('Animal Register'!$L:$L,MATCH($B96,'Animal Register'!$A:$A,0))*0.66,"Phase 2 - Growth","Phase 3 - Finishing")))</f>
        <v/>
      </c>
      <c r="E96" s="34" t="str">
        <f aca="false">IF($B96="","",IF(SUMPRODUCT(MAX(('Weight Log'!$A$5:$A$154=$B96)*('Weight Log'!$C$5:$C$154)))=0,INDEX('Animal Register'!$I:$I,MATCH($B96,'Animal Register'!$A:$A,0)),SUMPRODUCT(MAX(('Weight Log'!$A$5:$A$154=$B96)*('Weight Log'!$C$5:$C$154)))))</f>
        <v/>
      </c>
      <c r="F96" s="34" t="str">
        <f aca="false">IF($B96="","",E96*0.03)</f>
        <v/>
      </c>
      <c r="G96" s="46" t="str">
        <f aca="false">IF($B96="","",INDEX('Ration Formulator'!$D:$D,MATCH($D96,'Ration Formulator'!$A:$A,0)))</f>
        <v/>
      </c>
      <c r="H96" s="46" t="str">
        <f aca="false">IF($B96="","",INDEX('Ration Formulator'!$E:$E,MATCH($D96,'Ration Formulator'!$A:$A,0)))</f>
        <v/>
      </c>
      <c r="I96" s="34" t="str">
        <f aca="false">IF($B96="","",F96*G96)</f>
        <v/>
      </c>
      <c r="J96" s="34" t="str">
        <f aca="false">IF($B96="","",F96*H96)</f>
        <v/>
      </c>
      <c r="K96" s="34" t="str">
        <f aca="false">IF($B96="","",I96/'Ration Formulator'!$E$21)</f>
        <v/>
      </c>
      <c r="L96" s="34" t="str">
        <f aca="false">IF($B96="","",J96/INDEX('Ration Formulator'!$D$56:$D$58,MATCH($D96,'Ration Formulator'!$A$56:$A$58,0)))</f>
        <v/>
      </c>
      <c r="M96" s="34" t="str">
        <f aca="false">IF($B96="","",I96*'Ration Formulator'!$F$21+J96*INDEX('Ration Formulator'!$E$56:$E$58,MATCH($D96,'Ration Formulator'!$A$56:$A$58,0)))</f>
        <v/>
      </c>
      <c r="N96" s="32"/>
    </row>
    <row r="97" customFormat="false" ht="15" hidden="false" customHeight="false" outlineLevel="0" collapsed="false">
      <c r="A97" s="51"/>
      <c r="B97" s="50"/>
      <c r="C97" s="47" t="str">
        <f aca="false">IF($B97="","",$A97-INDEX('Animal Register'!$K:$K,MATCH($B97,'Animal Register'!$A:$A,0)))</f>
        <v/>
      </c>
      <c r="D97" s="47" t="str">
        <f aca="false">IF($B97="","",IF(C97&lt;=INDEX('Animal Register'!$L:$L,MATCH($B97,'Animal Register'!$A:$A,0))*0.33,"Phase 1 - Adaptation",IF(C97&lt;=INDEX('Animal Register'!$L:$L,MATCH($B97,'Animal Register'!$A:$A,0))*0.66,"Phase 2 - Growth","Phase 3 - Finishing")))</f>
        <v/>
      </c>
      <c r="E97" s="34" t="str">
        <f aca="false">IF($B97="","",IF(SUMPRODUCT(MAX(('Weight Log'!$A$5:$A$154=$B97)*('Weight Log'!$C$5:$C$154)))=0,INDEX('Animal Register'!$I:$I,MATCH($B97,'Animal Register'!$A:$A,0)),SUMPRODUCT(MAX(('Weight Log'!$A$5:$A$154=$B97)*('Weight Log'!$C$5:$C$154)))))</f>
        <v/>
      </c>
      <c r="F97" s="34" t="str">
        <f aca="false">IF($B97="","",E97*0.03)</f>
        <v/>
      </c>
      <c r="G97" s="46" t="str">
        <f aca="false">IF($B97="","",INDEX('Ration Formulator'!$D:$D,MATCH($D97,'Ration Formulator'!$A:$A,0)))</f>
        <v/>
      </c>
      <c r="H97" s="46" t="str">
        <f aca="false">IF($B97="","",INDEX('Ration Formulator'!$E:$E,MATCH($D97,'Ration Formulator'!$A:$A,0)))</f>
        <v/>
      </c>
      <c r="I97" s="34" t="str">
        <f aca="false">IF($B97="","",F97*G97)</f>
        <v/>
      </c>
      <c r="J97" s="34" t="str">
        <f aca="false">IF($B97="","",F97*H97)</f>
        <v/>
      </c>
      <c r="K97" s="34" t="str">
        <f aca="false">IF($B97="","",I97/'Ration Formulator'!$E$21)</f>
        <v/>
      </c>
      <c r="L97" s="34" t="str">
        <f aca="false">IF($B97="","",J97/INDEX('Ration Formulator'!$D$56:$D$58,MATCH($D97,'Ration Formulator'!$A$56:$A$58,0)))</f>
        <v/>
      </c>
      <c r="M97" s="34" t="str">
        <f aca="false">IF($B97="","",I97*'Ration Formulator'!$F$21+J97*INDEX('Ration Formulator'!$E$56:$E$58,MATCH($D97,'Ration Formulator'!$A$56:$A$58,0)))</f>
        <v/>
      </c>
      <c r="N97" s="32"/>
    </row>
    <row r="98" customFormat="false" ht="15" hidden="false" customHeight="false" outlineLevel="0" collapsed="false">
      <c r="A98" s="51"/>
      <c r="B98" s="50"/>
      <c r="C98" s="47" t="str">
        <f aca="false">IF($B98="","",$A98-INDEX('Animal Register'!$K:$K,MATCH($B98,'Animal Register'!$A:$A,0)))</f>
        <v/>
      </c>
      <c r="D98" s="47" t="str">
        <f aca="false">IF($B98="","",IF(C98&lt;=INDEX('Animal Register'!$L:$L,MATCH($B98,'Animal Register'!$A:$A,0))*0.33,"Phase 1 - Adaptation",IF(C98&lt;=INDEX('Animal Register'!$L:$L,MATCH($B98,'Animal Register'!$A:$A,0))*0.66,"Phase 2 - Growth","Phase 3 - Finishing")))</f>
        <v/>
      </c>
      <c r="E98" s="34" t="str">
        <f aca="false">IF($B98="","",IF(SUMPRODUCT(MAX(('Weight Log'!$A$5:$A$154=$B98)*('Weight Log'!$C$5:$C$154)))=0,INDEX('Animal Register'!$I:$I,MATCH($B98,'Animal Register'!$A:$A,0)),SUMPRODUCT(MAX(('Weight Log'!$A$5:$A$154=$B98)*('Weight Log'!$C$5:$C$154)))))</f>
        <v/>
      </c>
      <c r="F98" s="34" t="str">
        <f aca="false">IF($B98="","",E98*0.03)</f>
        <v/>
      </c>
      <c r="G98" s="46" t="str">
        <f aca="false">IF($B98="","",INDEX('Ration Formulator'!$D:$D,MATCH($D98,'Ration Formulator'!$A:$A,0)))</f>
        <v/>
      </c>
      <c r="H98" s="46" t="str">
        <f aca="false">IF($B98="","",INDEX('Ration Formulator'!$E:$E,MATCH($D98,'Ration Formulator'!$A:$A,0)))</f>
        <v/>
      </c>
      <c r="I98" s="34" t="str">
        <f aca="false">IF($B98="","",F98*G98)</f>
        <v/>
      </c>
      <c r="J98" s="34" t="str">
        <f aca="false">IF($B98="","",F98*H98)</f>
        <v/>
      </c>
      <c r="K98" s="34" t="str">
        <f aca="false">IF($B98="","",I98/'Ration Formulator'!$E$21)</f>
        <v/>
      </c>
      <c r="L98" s="34" t="str">
        <f aca="false">IF($B98="","",J98/INDEX('Ration Formulator'!$D$56:$D$58,MATCH($D98,'Ration Formulator'!$A$56:$A$58,0)))</f>
        <v/>
      </c>
      <c r="M98" s="34" t="str">
        <f aca="false">IF($B98="","",I98*'Ration Formulator'!$F$21+J98*INDEX('Ration Formulator'!$E$56:$E$58,MATCH($D98,'Ration Formulator'!$A$56:$A$58,0)))</f>
        <v/>
      </c>
      <c r="N98" s="32"/>
    </row>
    <row r="99" customFormat="false" ht="15" hidden="false" customHeight="false" outlineLevel="0" collapsed="false">
      <c r="A99" s="51"/>
      <c r="B99" s="50"/>
      <c r="C99" s="47" t="str">
        <f aca="false">IF($B99="","",$A99-INDEX('Animal Register'!$K:$K,MATCH($B99,'Animal Register'!$A:$A,0)))</f>
        <v/>
      </c>
      <c r="D99" s="47" t="str">
        <f aca="false">IF($B99="","",IF(C99&lt;=INDEX('Animal Register'!$L:$L,MATCH($B99,'Animal Register'!$A:$A,0))*0.33,"Phase 1 - Adaptation",IF(C99&lt;=INDEX('Animal Register'!$L:$L,MATCH($B99,'Animal Register'!$A:$A,0))*0.66,"Phase 2 - Growth","Phase 3 - Finishing")))</f>
        <v/>
      </c>
      <c r="E99" s="34" t="str">
        <f aca="false">IF($B99="","",IF(SUMPRODUCT(MAX(('Weight Log'!$A$5:$A$154=$B99)*('Weight Log'!$C$5:$C$154)))=0,INDEX('Animal Register'!$I:$I,MATCH($B99,'Animal Register'!$A:$A,0)),SUMPRODUCT(MAX(('Weight Log'!$A$5:$A$154=$B99)*('Weight Log'!$C$5:$C$154)))))</f>
        <v/>
      </c>
      <c r="F99" s="34" t="str">
        <f aca="false">IF($B99="","",E99*0.03)</f>
        <v/>
      </c>
      <c r="G99" s="46" t="str">
        <f aca="false">IF($B99="","",INDEX('Ration Formulator'!$D:$D,MATCH($D99,'Ration Formulator'!$A:$A,0)))</f>
        <v/>
      </c>
      <c r="H99" s="46" t="str">
        <f aca="false">IF($B99="","",INDEX('Ration Formulator'!$E:$E,MATCH($D99,'Ration Formulator'!$A:$A,0)))</f>
        <v/>
      </c>
      <c r="I99" s="34" t="str">
        <f aca="false">IF($B99="","",F99*G99)</f>
        <v/>
      </c>
      <c r="J99" s="34" t="str">
        <f aca="false">IF($B99="","",F99*H99)</f>
        <v/>
      </c>
      <c r="K99" s="34" t="str">
        <f aca="false">IF($B99="","",I99/'Ration Formulator'!$E$21)</f>
        <v/>
      </c>
      <c r="L99" s="34" t="str">
        <f aca="false">IF($B99="","",J99/INDEX('Ration Formulator'!$D$56:$D$58,MATCH($D99,'Ration Formulator'!$A$56:$A$58,0)))</f>
        <v/>
      </c>
      <c r="M99" s="34" t="str">
        <f aca="false">IF($B99="","",I99*'Ration Formulator'!$F$21+J99*INDEX('Ration Formulator'!$E$56:$E$58,MATCH($D99,'Ration Formulator'!$A$56:$A$58,0)))</f>
        <v/>
      </c>
      <c r="N99" s="32"/>
    </row>
    <row r="100" customFormat="false" ht="15" hidden="false" customHeight="false" outlineLevel="0" collapsed="false">
      <c r="A100" s="51"/>
      <c r="B100" s="50"/>
      <c r="C100" s="47" t="str">
        <f aca="false">IF($B100="","",$A100-INDEX('Animal Register'!$K:$K,MATCH($B100,'Animal Register'!$A:$A,0)))</f>
        <v/>
      </c>
      <c r="D100" s="47" t="str">
        <f aca="false">IF($B100="","",IF(C100&lt;=INDEX('Animal Register'!$L:$L,MATCH($B100,'Animal Register'!$A:$A,0))*0.33,"Phase 1 - Adaptation",IF(C100&lt;=INDEX('Animal Register'!$L:$L,MATCH($B100,'Animal Register'!$A:$A,0))*0.66,"Phase 2 - Growth","Phase 3 - Finishing")))</f>
        <v/>
      </c>
      <c r="E100" s="34" t="str">
        <f aca="false">IF($B100="","",IF(SUMPRODUCT(MAX(('Weight Log'!$A$5:$A$154=$B100)*('Weight Log'!$C$5:$C$154)))=0,INDEX('Animal Register'!$I:$I,MATCH($B100,'Animal Register'!$A:$A,0)),SUMPRODUCT(MAX(('Weight Log'!$A$5:$A$154=$B100)*('Weight Log'!$C$5:$C$154)))))</f>
        <v/>
      </c>
      <c r="F100" s="34" t="str">
        <f aca="false">IF($B100="","",E100*0.03)</f>
        <v/>
      </c>
      <c r="G100" s="46" t="str">
        <f aca="false">IF($B100="","",INDEX('Ration Formulator'!$D:$D,MATCH($D100,'Ration Formulator'!$A:$A,0)))</f>
        <v/>
      </c>
      <c r="H100" s="46" t="str">
        <f aca="false">IF($B100="","",INDEX('Ration Formulator'!$E:$E,MATCH($D100,'Ration Formulator'!$A:$A,0)))</f>
        <v/>
      </c>
      <c r="I100" s="34" t="str">
        <f aca="false">IF($B100="","",F100*G100)</f>
        <v/>
      </c>
      <c r="J100" s="34" t="str">
        <f aca="false">IF($B100="","",F100*H100)</f>
        <v/>
      </c>
      <c r="K100" s="34" t="str">
        <f aca="false">IF($B100="","",I100/'Ration Formulator'!$E$21)</f>
        <v/>
      </c>
      <c r="L100" s="34" t="str">
        <f aca="false">IF($B100="","",J100/INDEX('Ration Formulator'!$D$56:$D$58,MATCH($D100,'Ration Formulator'!$A$56:$A$58,0)))</f>
        <v/>
      </c>
      <c r="M100" s="34" t="str">
        <f aca="false">IF($B100="","",I100*'Ration Formulator'!$F$21+J100*INDEX('Ration Formulator'!$E$56:$E$58,MATCH($D100,'Ration Formulator'!$A$56:$A$58,0)))</f>
        <v/>
      </c>
      <c r="N100" s="32"/>
    </row>
    <row r="101" customFormat="false" ht="15" hidden="false" customHeight="false" outlineLevel="0" collapsed="false">
      <c r="A101" s="51"/>
      <c r="B101" s="50"/>
      <c r="C101" s="47" t="str">
        <f aca="false">IF($B101="","",$A101-INDEX('Animal Register'!$K:$K,MATCH($B101,'Animal Register'!$A:$A,0)))</f>
        <v/>
      </c>
      <c r="D101" s="47" t="str">
        <f aca="false">IF($B101="","",IF(C101&lt;=INDEX('Animal Register'!$L:$L,MATCH($B101,'Animal Register'!$A:$A,0))*0.33,"Phase 1 - Adaptation",IF(C101&lt;=INDEX('Animal Register'!$L:$L,MATCH($B101,'Animal Register'!$A:$A,0))*0.66,"Phase 2 - Growth","Phase 3 - Finishing")))</f>
        <v/>
      </c>
      <c r="E101" s="34" t="str">
        <f aca="false">IF($B101="","",IF(SUMPRODUCT(MAX(('Weight Log'!$A$5:$A$154=$B101)*('Weight Log'!$C$5:$C$154)))=0,INDEX('Animal Register'!$I:$I,MATCH($B101,'Animal Register'!$A:$A,0)),SUMPRODUCT(MAX(('Weight Log'!$A$5:$A$154=$B101)*('Weight Log'!$C$5:$C$154)))))</f>
        <v/>
      </c>
      <c r="F101" s="34" t="str">
        <f aca="false">IF($B101="","",E101*0.03)</f>
        <v/>
      </c>
      <c r="G101" s="46" t="str">
        <f aca="false">IF($B101="","",INDEX('Ration Formulator'!$D:$D,MATCH($D101,'Ration Formulator'!$A:$A,0)))</f>
        <v/>
      </c>
      <c r="H101" s="46" t="str">
        <f aca="false">IF($B101="","",INDEX('Ration Formulator'!$E:$E,MATCH($D101,'Ration Formulator'!$A:$A,0)))</f>
        <v/>
      </c>
      <c r="I101" s="34" t="str">
        <f aca="false">IF($B101="","",F101*G101)</f>
        <v/>
      </c>
      <c r="J101" s="34" t="str">
        <f aca="false">IF($B101="","",F101*H101)</f>
        <v/>
      </c>
      <c r="K101" s="34" t="str">
        <f aca="false">IF($B101="","",I101/'Ration Formulator'!$E$21)</f>
        <v/>
      </c>
      <c r="L101" s="34" t="str">
        <f aca="false">IF($B101="","",J101/INDEX('Ration Formulator'!$D$56:$D$58,MATCH($D101,'Ration Formulator'!$A$56:$A$58,0)))</f>
        <v/>
      </c>
      <c r="M101" s="34" t="str">
        <f aca="false">IF($B101="","",I101*'Ration Formulator'!$F$21+J101*INDEX('Ration Formulator'!$E$56:$E$58,MATCH($D101,'Ration Formulator'!$A$56:$A$58,0)))</f>
        <v/>
      </c>
      <c r="N101" s="32"/>
    </row>
    <row r="102" customFormat="false" ht="15" hidden="false" customHeight="false" outlineLevel="0" collapsed="false">
      <c r="A102" s="51"/>
      <c r="B102" s="50"/>
      <c r="C102" s="47" t="str">
        <f aca="false">IF($B102="","",$A102-INDEX('Animal Register'!$K:$K,MATCH($B102,'Animal Register'!$A:$A,0)))</f>
        <v/>
      </c>
      <c r="D102" s="47" t="str">
        <f aca="false">IF($B102="","",IF(C102&lt;=INDEX('Animal Register'!$L:$L,MATCH($B102,'Animal Register'!$A:$A,0))*0.33,"Phase 1 - Adaptation",IF(C102&lt;=INDEX('Animal Register'!$L:$L,MATCH($B102,'Animal Register'!$A:$A,0))*0.66,"Phase 2 - Growth","Phase 3 - Finishing")))</f>
        <v/>
      </c>
      <c r="E102" s="34" t="str">
        <f aca="false">IF($B102="","",IF(SUMPRODUCT(MAX(('Weight Log'!$A$5:$A$154=$B102)*('Weight Log'!$C$5:$C$154)))=0,INDEX('Animal Register'!$I:$I,MATCH($B102,'Animal Register'!$A:$A,0)),SUMPRODUCT(MAX(('Weight Log'!$A$5:$A$154=$B102)*('Weight Log'!$C$5:$C$154)))))</f>
        <v/>
      </c>
      <c r="F102" s="34" t="str">
        <f aca="false">IF($B102="","",E102*0.03)</f>
        <v/>
      </c>
      <c r="G102" s="46" t="str">
        <f aca="false">IF($B102="","",INDEX('Ration Formulator'!$D:$D,MATCH($D102,'Ration Formulator'!$A:$A,0)))</f>
        <v/>
      </c>
      <c r="H102" s="46" t="str">
        <f aca="false">IF($B102="","",INDEX('Ration Formulator'!$E:$E,MATCH($D102,'Ration Formulator'!$A:$A,0)))</f>
        <v/>
      </c>
      <c r="I102" s="34" t="str">
        <f aca="false">IF($B102="","",F102*G102)</f>
        <v/>
      </c>
      <c r="J102" s="34" t="str">
        <f aca="false">IF($B102="","",F102*H102)</f>
        <v/>
      </c>
      <c r="K102" s="34" t="str">
        <f aca="false">IF($B102="","",I102/'Ration Formulator'!$E$21)</f>
        <v/>
      </c>
      <c r="L102" s="34" t="str">
        <f aca="false">IF($B102="","",J102/INDEX('Ration Formulator'!$D$56:$D$58,MATCH($D102,'Ration Formulator'!$A$56:$A$58,0)))</f>
        <v/>
      </c>
      <c r="M102" s="34" t="str">
        <f aca="false">IF($B102="","",I102*'Ration Formulator'!$F$21+J102*INDEX('Ration Formulator'!$E$56:$E$58,MATCH($D102,'Ration Formulator'!$A$56:$A$58,0)))</f>
        <v/>
      </c>
      <c r="N102" s="32"/>
    </row>
    <row r="103" customFormat="false" ht="15" hidden="false" customHeight="false" outlineLevel="0" collapsed="false">
      <c r="A103" s="51"/>
      <c r="B103" s="50"/>
      <c r="C103" s="47" t="str">
        <f aca="false">IF($B103="","",$A103-INDEX('Animal Register'!$K:$K,MATCH($B103,'Animal Register'!$A:$A,0)))</f>
        <v/>
      </c>
      <c r="D103" s="47" t="str">
        <f aca="false">IF($B103="","",IF(C103&lt;=INDEX('Animal Register'!$L:$L,MATCH($B103,'Animal Register'!$A:$A,0))*0.33,"Phase 1 - Adaptation",IF(C103&lt;=INDEX('Animal Register'!$L:$L,MATCH($B103,'Animal Register'!$A:$A,0))*0.66,"Phase 2 - Growth","Phase 3 - Finishing")))</f>
        <v/>
      </c>
      <c r="E103" s="34" t="str">
        <f aca="false">IF($B103="","",IF(SUMPRODUCT(MAX(('Weight Log'!$A$5:$A$154=$B103)*('Weight Log'!$C$5:$C$154)))=0,INDEX('Animal Register'!$I:$I,MATCH($B103,'Animal Register'!$A:$A,0)),SUMPRODUCT(MAX(('Weight Log'!$A$5:$A$154=$B103)*('Weight Log'!$C$5:$C$154)))))</f>
        <v/>
      </c>
      <c r="F103" s="34" t="str">
        <f aca="false">IF($B103="","",E103*0.03)</f>
        <v/>
      </c>
      <c r="G103" s="46" t="str">
        <f aca="false">IF($B103="","",INDEX('Ration Formulator'!$D:$D,MATCH($D103,'Ration Formulator'!$A:$A,0)))</f>
        <v/>
      </c>
      <c r="H103" s="46" t="str">
        <f aca="false">IF($B103="","",INDEX('Ration Formulator'!$E:$E,MATCH($D103,'Ration Formulator'!$A:$A,0)))</f>
        <v/>
      </c>
      <c r="I103" s="34" t="str">
        <f aca="false">IF($B103="","",F103*G103)</f>
        <v/>
      </c>
      <c r="J103" s="34" t="str">
        <f aca="false">IF($B103="","",F103*H103)</f>
        <v/>
      </c>
      <c r="K103" s="34" t="str">
        <f aca="false">IF($B103="","",I103/'Ration Formulator'!$E$21)</f>
        <v/>
      </c>
      <c r="L103" s="34" t="str">
        <f aca="false">IF($B103="","",J103/INDEX('Ration Formulator'!$D$56:$D$58,MATCH($D103,'Ration Formulator'!$A$56:$A$58,0)))</f>
        <v/>
      </c>
      <c r="M103" s="34" t="str">
        <f aca="false">IF($B103="","",I103*'Ration Formulator'!$F$21+J103*INDEX('Ration Formulator'!$E$56:$E$58,MATCH($D103,'Ration Formulator'!$A$56:$A$58,0)))</f>
        <v/>
      </c>
      <c r="N103" s="32"/>
    </row>
    <row r="104" customFormat="false" ht="15" hidden="false" customHeight="false" outlineLevel="0" collapsed="false">
      <c r="A104" s="51"/>
      <c r="B104" s="50"/>
      <c r="C104" s="47" t="str">
        <f aca="false">IF($B104="","",$A104-INDEX('Animal Register'!$K:$K,MATCH($B104,'Animal Register'!$A:$A,0)))</f>
        <v/>
      </c>
      <c r="D104" s="47" t="str">
        <f aca="false">IF($B104="","",IF(C104&lt;=INDEX('Animal Register'!$L:$L,MATCH($B104,'Animal Register'!$A:$A,0))*0.33,"Phase 1 - Adaptation",IF(C104&lt;=INDEX('Animal Register'!$L:$L,MATCH($B104,'Animal Register'!$A:$A,0))*0.66,"Phase 2 - Growth","Phase 3 - Finishing")))</f>
        <v/>
      </c>
      <c r="E104" s="34" t="str">
        <f aca="false">IF($B104="","",IF(SUMPRODUCT(MAX(('Weight Log'!$A$5:$A$154=$B104)*('Weight Log'!$C$5:$C$154)))=0,INDEX('Animal Register'!$I:$I,MATCH($B104,'Animal Register'!$A:$A,0)),SUMPRODUCT(MAX(('Weight Log'!$A$5:$A$154=$B104)*('Weight Log'!$C$5:$C$154)))))</f>
        <v/>
      </c>
      <c r="F104" s="34" t="str">
        <f aca="false">IF($B104="","",E104*0.03)</f>
        <v/>
      </c>
      <c r="G104" s="46" t="str">
        <f aca="false">IF($B104="","",INDEX('Ration Formulator'!$D:$D,MATCH($D104,'Ration Formulator'!$A:$A,0)))</f>
        <v/>
      </c>
      <c r="H104" s="46" t="str">
        <f aca="false">IF($B104="","",INDEX('Ration Formulator'!$E:$E,MATCH($D104,'Ration Formulator'!$A:$A,0)))</f>
        <v/>
      </c>
      <c r="I104" s="34" t="str">
        <f aca="false">IF($B104="","",F104*G104)</f>
        <v/>
      </c>
      <c r="J104" s="34" t="str">
        <f aca="false">IF($B104="","",F104*H104)</f>
        <v/>
      </c>
      <c r="K104" s="34" t="str">
        <f aca="false">IF($B104="","",I104/'Ration Formulator'!$E$21)</f>
        <v/>
      </c>
      <c r="L104" s="34" t="str">
        <f aca="false">IF($B104="","",J104/INDEX('Ration Formulator'!$D$56:$D$58,MATCH($D104,'Ration Formulator'!$A$56:$A$58,0)))</f>
        <v/>
      </c>
      <c r="M104" s="34" t="str">
        <f aca="false">IF($B104="","",I104*'Ration Formulator'!$F$21+J104*INDEX('Ration Formulator'!$E$56:$E$58,MATCH($D104,'Ration Formulator'!$A$56:$A$58,0)))</f>
        <v/>
      </c>
      <c r="N104" s="32"/>
    </row>
  </sheetData>
  <mergeCells count="2">
    <mergeCell ref="A1:N1"/>
    <mergeCell ref="A2:N2"/>
  </mergeCells>
  <dataValidations count="1">
    <dataValidation allowBlank="true" errorStyle="stop" operator="between" showDropDown="false" showErrorMessage="false" showInputMessage="false" sqref="B5:B104" type="list">
      <formula1>'Animal Register'!$A$5:$A$74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30" t="s">
        <v>341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48" t="s">
        <v>342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customFormat="false" ht="39.55" hidden="false" customHeight="false" outlineLevel="0" collapsed="false">
      <c r="A4" s="31" t="s">
        <v>216</v>
      </c>
      <c r="B4" s="31" t="s">
        <v>286</v>
      </c>
      <c r="C4" s="31" t="s">
        <v>95</v>
      </c>
      <c r="D4" s="31" t="s">
        <v>343</v>
      </c>
      <c r="E4" s="31" t="s">
        <v>68</v>
      </c>
      <c r="F4" s="31" t="s">
        <v>344</v>
      </c>
      <c r="G4" s="31" t="s">
        <v>345</v>
      </c>
      <c r="H4" s="31" t="s">
        <v>346</v>
      </c>
      <c r="I4" s="31" t="s">
        <v>347</v>
      </c>
      <c r="J4" s="31" t="s">
        <v>228</v>
      </c>
      <c r="K4" s="31" t="s">
        <v>212</v>
      </c>
    </row>
    <row r="5" customFormat="false" ht="15" hidden="false" customHeight="false" outlineLevel="0" collapsed="false">
      <c r="A5" s="50" t="s">
        <v>238</v>
      </c>
      <c r="B5" s="51" t="n">
        <v>46240</v>
      </c>
      <c r="C5" s="50" t="n">
        <v>212</v>
      </c>
      <c r="D5" s="38" t="s">
        <v>348</v>
      </c>
      <c r="E5" s="38" t="n">
        <v>2.5</v>
      </c>
      <c r="F5" s="47" t="str">
        <f aca="false">IF($A5="","",IF($A5=$A4,$B5-$B4,"-"))</f>
        <v>-</v>
      </c>
      <c r="G5" s="67" t="str">
        <f aca="false">IF($A5="","",IF(AND($A5=$A4,ISNUMBER(F5)),(C5-C4)*1000/F5,"-"))</f>
        <v>-</v>
      </c>
      <c r="H5" s="47" t="n">
        <f aca="false">IF($A5="","",$B5-INDEX('Animal Register'!$K:$K,MATCH($A5,'Animal Register'!$A:$A,0)))</f>
        <v>0</v>
      </c>
      <c r="I5" s="67" t="str">
        <f aca="false">IF($A5="","",IF(H5=0,"-",(C5-INDEX('Animal Register'!$I:$I,MATCH($A5,'Animal Register'!$A:$A,0)))*1000/H5))</f>
        <v>-</v>
      </c>
      <c r="J5" s="67" t="n">
        <f aca="false">IF($A5="","",INDEX('Animal Register'!$M:$M,MATCH($A5,'Animal Register'!$A:$A,0)))</f>
        <v>1150</v>
      </c>
      <c r="K5" s="47" t="str">
        <f aca="false">IF($A5="","",IF(ISNUMBER(I5),IF(I5&gt;=J5*0.9,"On Track","Behind Target"),"-"))</f>
        <v>-</v>
      </c>
    </row>
    <row r="6" customFormat="false" ht="15" hidden="false" customHeight="false" outlineLevel="0" collapsed="false">
      <c r="A6" s="50"/>
      <c r="B6" s="51"/>
      <c r="C6" s="50"/>
      <c r="D6" s="38"/>
      <c r="E6" s="38"/>
      <c r="F6" s="47" t="str">
        <f aca="false">IF($A6="","",IF($A6=$A5,$B6-$B5,"-"))</f>
        <v/>
      </c>
      <c r="G6" s="67" t="str">
        <f aca="false">IF($A6="","",IF(AND($A6=$A5,ISNUMBER(F6)),(C6-C5)*1000/F6,"-"))</f>
        <v/>
      </c>
      <c r="H6" s="47" t="str">
        <f aca="false">IF($A6="","",$B6-INDEX('Animal Register'!$K:$K,MATCH($A6,'Animal Register'!$A:$A,0)))</f>
        <v/>
      </c>
      <c r="I6" s="67" t="str">
        <f aca="false">IF($A6="","",IF(H6=0,"-",(C6-INDEX('Animal Register'!$I:$I,MATCH($A6,'Animal Register'!$A:$A,0)))*1000/H6))</f>
        <v/>
      </c>
      <c r="J6" s="67" t="str">
        <f aca="false">IF($A6="","",INDEX('Animal Register'!$M:$M,MATCH($A6,'Animal Register'!$A:$A,0)))</f>
        <v/>
      </c>
      <c r="K6" s="47" t="str">
        <f aca="false">IF($A6="","",IF(ISNUMBER(I6),IF(I6&gt;=J6*0.9,"On Track","Behind Target"),"-"))</f>
        <v/>
      </c>
    </row>
    <row r="7" customFormat="false" ht="15" hidden="false" customHeight="false" outlineLevel="0" collapsed="false">
      <c r="A7" s="50"/>
      <c r="B7" s="51"/>
      <c r="C7" s="50"/>
      <c r="D7" s="38"/>
      <c r="E7" s="38"/>
      <c r="F7" s="47" t="str">
        <f aca="false">IF($A7="","",IF($A7=$A6,$B7-$B6,"-"))</f>
        <v/>
      </c>
      <c r="G7" s="67" t="str">
        <f aca="false">IF($A7="","",IF(AND($A7=$A6,ISNUMBER(F7)),(C7-C6)*1000/F7,"-"))</f>
        <v/>
      </c>
      <c r="H7" s="47" t="str">
        <f aca="false">IF($A7="","",$B7-INDEX('Animal Register'!$K:$K,MATCH($A7,'Animal Register'!$A:$A,0)))</f>
        <v/>
      </c>
      <c r="I7" s="67" t="str">
        <f aca="false">IF($A7="","",IF(H7=0,"-",(C7-INDEX('Animal Register'!$I:$I,MATCH($A7,'Animal Register'!$A:$A,0)))*1000/H7))</f>
        <v/>
      </c>
      <c r="J7" s="67" t="str">
        <f aca="false">IF($A7="","",INDEX('Animal Register'!$M:$M,MATCH($A7,'Animal Register'!$A:$A,0)))</f>
        <v/>
      </c>
      <c r="K7" s="47" t="str">
        <f aca="false">IF($A7="","",IF(ISNUMBER(I7),IF(I7&gt;=J7*0.9,"On Track","Behind Target"),"-"))</f>
        <v/>
      </c>
    </row>
    <row r="8" customFormat="false" ht="15" hidden="false" customHeight="false" outlineLevel="0" collapsed="false">
      <c r="A8" s="50"/>
      <c r="B8" s="51"/>
      <c r="C8" s="50"/>
      <c r="D8" s="38"/>
      <c r="E8" s="38"/>
      <c r="F8" s="47" t="str">
        <f aca="false">IF($A8="","",IF($A8=$A7,$B8-$B7,"-"))</f>
        <v/>
      </c>
      <c r="G8" s="67" t="str">
        <f aca="false">IF($A8="","",IF(AND($A8=$A7,ISNUMBER(F8)),(C8-C7)*1000/F8,"-"))</f>
        <v/>
      </c>
      <c r="H8" s="47" t="str">
        <f aca="false">IF($A8="","",$B8-INDEX('Animal Register'!$K:$K,MATCH($A8,'Animal Register'!$A:$A,0)))</f>
        <v/>
      </c>
      <c r="I8" s="67" t="str">
        <f aca="false">IF($A8="","",IF(H8=0,"-",(C8-INDEX('Animal Register'!$I:$I,MATCH($A8,'Animal Register'!$A:$A,0)))*1000/H8))</f>
        <v/>
      </c>
      <c r="J8" s="67" t="str">
        <f aca="false">IF($A8="","",INDEX('Animal Register'!$M:$M,MATCH($A8,'Animal Register'!$A:$A,0)))</f>
        <v/>
      </c>
      <c r="K8" s="47" t="str">
        <f aca="false">IF($A8="","",IF(ISNUMBER(I8),IF(I8&gt;=J8*0.9,"On Track","Behind Target"),"-"))</f>
        <v/>
      </c>
    </row>
    <row r="9" customFormat="false" ht="15" hidden="false" customHeight="false" outlineLevel="0" collapsed="false">
      <c r="A9" s="50"/>
      <c r="B9" s="51"/>
      <c r="C9" s="50"/>
      <c r="D9" s="38"/>
      <c r="E9" s="38"/>
      <c r="F9" s="47" t="str">
        <f aca="false">IF($A9="","",IF($A9=$A8,$B9-$B8,"-"))</f>
        <v/>
      </c>
      <c r="G9" s="67" t="str">
        <f aca="false">IF($A9="","",IF(AND($A9=$A8,ISNUMBER(F9)),(C9-C8)*1000/F9,"-"))</f>
        <v/>
      </c>
      <c r="H9" s="47" t="str">
        <f aca="false">IF($A9="","",$B9-INDEX('Animal Register'!$K:$K,MATCH($A9,'Animal Register'!$A:$A,0)))</f>
        <v/>
      </c>
      <c r="I9" s="67" t="str">
        <f aca="false">IF($A9="","",IF(H9=0,"-",(C9-INDEX('Animal Register'!$I:$I,MATCH($A9,'Animal Register'!$A:$A,0)))*1000/H9))</f>
        <v/>
      </c>
      <c r="J9" s="67" t="str">
        <f aca="false">IF($A9="","",INDEX('Animal Register'!$M:$M,MATCH($A9,'Animal Register'!$A:$A,0)))</f>
        <v/>
      </c>
      <c r="K9" s="47" t="str">
        <f aca="false">IF($A9="","",IF(ISNUMBER(I9),IF(I9&gt;=J9*0.9,"On Track","Behind Target"),"-"))</f>
        <v/>
      </c>
    </row>
    <row r="10" customFormat="false" ht="15" hidden="false" customHeight="false" outlineLevel="0" collapsed="false">
      <c r="A10" s="50"/>
      <c r="B10" s="51"/>
      <c r="C10" s="50"/>
      <c r="D10" s="38"/>
      <c r="E10" s="38"/>
      <c r="F10" s="47" t="str">
        <f aca="false">IF($A10="","",IF($A10=$A9,$B10-$B9,"-"))</f>
        <v/>
      </c>
      <c r="G10" s="67" t="str">
        <f aca="false">IF($A10="","",IF(AND($A10=$A9,ISNUMBER(F10)),(C10-C9)*1000/F10,"-"))</f>
        <v/>
      </c>
      <c r="H10" s="47" t="str">
        <f aca="false">IF($A10="","",$B10-INDEX('Animal Register'!$K:$K,MATCH($A10,'Animal Register'!$A:$A,0)))</f>
        <v/>
      </c>
      <c r="I10" s="67" t="str">
        <f aca="false">IF($A10="","",IF(H10=0,"-",(C10-INDEX('Animal Register'!$I:$I,MATCH($A10,'Animal Register'!$A:$A,0)))*1000/H10))</f>
        <v/>
      </c>
      <c r="J10" s="67" t="str">
        <f aca="false">IF($A10="","",INDEX('Animal Register'!$M:$M,MATCH($A10,'Animal Register'!$A:$A,0)))</f>
        <v/>
      </c>
      <c r="K10" s="47" t="str">
        <f aca="false">IF($A10="","",IF(ISNUMBER(I10),IF(I10&gt;=J10*0.9,"On Track","Behind Target"),"-"))</f>
        <v/>
      </c>
    </row>
    <row r="11" customFormat="false" ht="15" hidden="false" customHeight="false" outlineLevel="0" collapsed="false">
      <c r="A11" s="50"/>
      <c r="B11" s="51"/>
      <c r="C11" s="50"/>
      <c r="D11" s="38"/>
      <c r="E11" s="38"/>
      <c r="F11" s="47" t="str">
        <f aca="false">IF($A11="","",IF($A11=$A10,$B11-$B10,"-"))</f>
        <v/>
      </c>
      <c r="G11" s="67" t="str">
        <f aca="false">IF($A11="","",IF(AND($A11=$A10,ISNUMBER(F11)),(C11-C10)*1000/F11,"-"))</f>
        <v/>
      </c>
      <c r="H11" s="47" t="str">
        <f aca="false">IF($A11="","",$B11-INDEX('Animal Register'!$K:$K,MATCH($A11,'Animal Register'!$A:$A,0)))</f>
        <v/>
      </c>
      <c r="I11" s="67" t="str">
        <f aca="false">IF($A11="","",IF(H11=0,"-",(C11-INDEX('Animal Register'!$I:$I,MATCH($A11,'Animal Register'!$A:$A,0)))*1000/H11))</f>
        <v/>
      </c>
      <c r="J11" s="67" t="str">
        <f aca="false">IF($A11="","",INDEX('Animal Register'!$M:$M,MATCH($A11,'Animal Register'!$A:$A,0)))</f>
        <v/>
      </c>
      <c r="K11" s="47" t="str">
        <f aca="false">IF($A11="","",IF(ISNUMBER(I11),IF(I11&gt;=J11*0.9,"On Track","Behind Target"),"-"))</f>
        <v/>
      </c>
    </row>
    <row r="12" customFormat="false" ht="15" hidden="false" customHeight="false" outlineLevel="0" collapsed="false">
      <c r="A12" s="50"/>
      <c r="B12" s="51"/>
      <c r="C12" s="50"/>
      <c r="D12" s="38"/>
      <c r="E12" s="38"/>
      <c r="F12" s="47" t="str">
        <f aca="false">IF($A12="","",IF($A12=$A11,$B12-$B11,"-"))</f>
        <v/>
      </c>
      <c r="G12" s="67" t="str">
        <f aca="false">IF($A12="","",IF(AND($A12=$A11,ISNUMBER(F12)),(C12-C11)*1000/F12,"-"))</f>
        <v/>
      </c>
      <c r="H12" s="47" t="str">
        <f aca="false">IF($A12="","",$B12-INDEX('Animal Register'!$K:$K,MATCH($A12,'Animal Register'!$A:$A,0)))</f>
        <v/>
      </c>
      <c r="I12" s="67" t="str">
        <f aca="false">IF($A12="","",IF(H12=0,"-",(C12-INDEX('Animal Register'!$I:$I,MATCH($A12,'Animal Register'!$A:$A,0)))*1000/H12))</f>
        <v/>
      </c>
      <c r="J12" s="67" t="str">
        <f aca="false">IF($A12="","",INDEX('Animal Register'!$M:$M,MATCH($A12,'Animal Register'!$A:$A,0)))</f>
        <v/>
      </c>
      <c r="K12" s="47" t="str">
        <f aca="false">IF($A12="","",IF(ISNUMBER(I12),IF(I12&gt;=J12*0.9,"On Track","Behind Target"),"-"))</f>
        <v/>
      </c>
    </row>
    <row r="13" customFormat="false" ht="15" hidden="false" customHeight="false" outlineLevel="0" collapsed="false">
      <c r="A13" s="50"/>
      <c r="B13" s="51"/>
      <c r="C13" s="50"/>
      <c r="D13" s="38"/>
      <c r="E13" s="38"/>
      <c r="F13" s="47" t="str">
        <f aca="false">IF($A13="","",IF($A13=$A12,$B13-$B12,"-"))</f>
        <v/>
      </c>
      <c r="G13" s="67" t="str">
        <f aca="false">IF($A13="","",IF(AND($A13=$A12,ISNUMBER(F13)),(C13-C12)*1000/F13,"-"))</f>
        <v/>
      </c>
      <c r="H13" s="47" t="str">
        <f aca="false">IF($A13="","",$B13-INDEX('Animal Register'!$K:$K,MATCH($A13,'Animal Register'!$A:$A,0)))</f>
        <v/>
      </c>
      <c r="I13" s="67" t="str">
        <f aca="false">IF($A13="","",IF(H13=0,"-",(C13-INDEX('Animal Register'!$I:$I,MATCH($A13,'Animal Register'!$A:$A,0)))*1000/H13))</f>
        <v/>
      </c>
      <c r="J13" s="67" t="str">
        <f aca="false">IF($A13="","",INDEX('Animal Register'!$M:$M,MATCH($A13,'Animal Register'!$A:$A,0)))</f>
        <v/>
      </c>
      <c r="K13" s="47" t="str">
        <f aca="false">IF($A13="","",IF(ISNUMBER(I13),IF(I13&gt;=J13*0.9,"On Track","Behind Target"),"-"))</f>
        <v/>
      </c>
    </row>
    <row r="14" customFormat="false" ht="15" hidden="false" customHeight="false" outlineLevel="0" collapsed="false">
      <c r="A14" s="50"/>
      <c r="B14" s="51"/>
      <c r="C14" s="50"/>
      <c r="D14" s="38"/>
      <c r="E14" s="38"/>
      <c r="F14" s="47" t="str">
        <f aca="false">IF($A14="","",IF($A14=$A13,$B14-$B13,"-"))</f>
        <v/>
      </c>
      <c r="G14" s="67" t="str">
        <f aca="false">IF($A14="","",IF(AND($A14=$A13,ISNUMBER(F14)),(C14-C13)*1000/F14,"-"))</f>
        <v/>
      </c>
      <c r="H14" s="47" t="str">
        <f aca="false">IF($A14="","",$B14-INDEX('Animal Register'!$K:$K,MATCH($A14,'Animal Register'!$A:$A,0)))</f>
        <v/>
      </c>
      <c r="I14" s="67" t="str">
        <f aca="false">IF($A14="","",IF(H14=0,"-",(C14-INDEX('Animal Register'!$I:$I,MATCH($A14,'Animal Register'!$A:$A,0)))*1000/H14))</f>
        <v/>
      </c>
      <c r="J14" s="67" t="str">
        <f aca="false">IF($A14="","",INDEX('Animal Register'!$M:$M,MATCH($A14,'Animal Register'!$A:$A,0)))</f>
        <v/>
      </c>
      <c r="K14" s="47" t="str">
        <f aca="false">IF($A14="","",IF(ISNUMBER(I14),IF(I14&gt;=J14*0.9,"On Track","Behind Target"),"-"))</f>
        <v/>
      </c>
    </row>
    <row r="15" customFormat="false" ht="15" hidden="false" customHeight="false" outlineLevel="0" collapsed="false">
      <c r="A15" s="50"/>
      <c r="B15" s="51"/>
      <c r="C15" s="50"/>
      <c r="D15" s="38"/>
      <c r="E15" s="38"/>
      <c r="F15" s="47" t="str">
        <f aca="false">IF($A15="","",IF($A15=$A14,$B15-$B14,"-"))</f>
        <v/>
      </c>
      <c r="G15" s="67" t="str">
        <f aca="false">IF($A15="","",IF(AND($A15=$A14,ISNUMBER(F15)),(C15-C14)*1000/F15,"-"))</f>
        <v/>
      </c>
      <c r="H15" s="47" t="str">
        <f aca="false">IF($A15="","",$B15-INDEX('Animal Register'!$K:$K,MATCH($A15,'Animal Register'!$A:$A,0)))</f>
        <v/>
      </c>
      <c r="I15" s="67" t="str">
        <f aca="false">IF($A15="","",IF(H15=0,"-",(C15-INDEX('Animal Register'!$I:$I,MATCH($A15,'Animal Register'!$A:$A,0)))*1000/H15))</f>
        <v/>
      </c>
      <c r="J15" s="67" t="str">
        <f aca="false">IF($A15="","",INDEX('Animal Register'!$M:$M,MATCH($A15,'Animal Register'!$A:$A,0)))</f>
        <v/>
      </c>
      <c r="K15" s="47" t="str">
        <f aca="false">IF($A15="","",IF(ISNUMBER(I15),IF(I15&gt;=J15*0.9,"On Track","Behind Target"),"-"))</f>
        <v/>
      </c>
    </row>
    <row r="16" customFormat="false" ht="15" hidden="false" customHeight="false" outlineLevel="0" collapsed="false">
      <c r="A16" s="50"/>
      <c r="B16" s="51"/>
      <c r="C16" s="50"/>
      <c r="D16" s="38"/>
      <c r="E16" s="38"/>
      <c r="F16" s="47" t="str">
        <f aca="false">IF($A16="","",IF($A16=$A15,$B16-$B15,"-"))</f>
        <v/>
      </c>
      <c r="G16" s="67" t="str">
        <f aca="false">IF($A16="","",IF(AND($A16=$A15,ISNUMBER(F16)),(C16-C15)*1000/F16,"-"))</f>
        <v/>
      </c>
      <c r="H16" s="47" t="str">
        <f aca="false">IF($A16="","",$B16-INDEX('Animal Register'!$K:$K,MATCH($A16,'Animal Register'!$A:$A,0)))</f>
        <v/>
      </c>
      <c r="I16" s="67" t="str">
        <f aca="false">IF($A16="","",IF(H16=0,"-",(C16-INDEX('Animal Register'!$I:$I,MATCH($A16,'Animal Register'!$A:$A,0)))*1000/H16))</f>
        <v/>
      </c>
      <c r="J16" s="67" t="str">
        <f aca="false">IF($A16="","",INDEX('Animal Register'!$M:$M,MATCH($A16,'Animal Register'!$A:$A,0)))</f>
        <v/>
      </c>
      <c r="K16" s="47" t="str">
        <f aca="false">IF($A16="","",IF(ISNUMBER(I16),IF(I16&gt;=J16*0.9,"On Track","Behind Target"),"-"))</f>
        <v/>
      </c>
    </row>
    <row r="17" customFormat="false" ht="15" hidden="false" customHeight="false" outlineLevel="0" collapsed="false">
      <c r="A17" s="50"/>
      <c r="B17" s="51"/>
      <c r="C17" s="50"/>
      <c r="D17" s="38"/>
      <c r="E17" s="38"/>
      <c r="F17" s="47" t="str">
        <f aca="false">IF($A17="","",IF($A17=$A16,$B17-$B16,"-"))</f>
        <v/>
      </c>
      <c r="G17" s="67" t="str">
        <f aca="false">IF($A17="","",IF(AND($A17=$A16,ISNUMBER(F17)),(C17-C16)*1000/F17,"-"))</f>
        <v/>
      </c>
      <c r="H17" s="47" t="str">
        <f aca="false">IF($A17="","",$B17-INDEX('Animal Register'!$K:$K,MATCH($A17,'Animal Register'!$A:$A,0)))</f>
        <v/>
      </c>
      <c r="I17" s="67" t="str">
        <f aca="false">IF($A17="","",IF(H17=0,"-",(C17-INDEX('Animal Register'!$I:$I,MATCH($A17,'Animal Register'!$A:$A,0)))*1000/H17))</f>
        <v/>
      </c>
      <c r="J17" s="67" t="str">
        <f aca="false">IF($A17="","",INDEX('Animal Register'!$M:$M,MATCH($A17,'Animal Register'!$A:$A,0)))</f>
        <v/>
      </c>
      <c r="K17" s="47" t="str">
        <f aca="false">IF($A17="","",IF(ISNUMBER(I17),IF(I17&gt;=J17*0.9,"On Track","Behind Target"),"-"))</f>
        <v/>
      </c>
    </row>
    <row r="18" customFormat="false" ht="15" hidden="false" customHeight="false" outlineLevel="0" collapsed="false">
      <c r="A18" s="50"/>
      <c r="B18" s="51"/>
      <c r="C18" s="50"/>
      <c r="D18" s="38"/>
      <c r="E18" s="38"/>
      <c r="F18" s="47" t="str">
        <f aca="false">IF($A18="","",IF($A18=$A17,$B18-$B17,"-"))</f>
        <v/>
      </c>
      <c r="G18" s="67" t="str">
        <f aca="false">IF($A18="","",IF(AND($A18=$A17,ISNUMBER(F18)),(C18-C17)*1000/F18,"-"))</f>
        <v/>
      </c>
      <c r="H18" s="47" t="str">
        <f aca="false">IF($A18="","",$B18-INDEX('Animal Register'!$K:$K,MATCH($A18,'Animal Register'!$A:$A,0)))</f>
        <v/>
      </c>
      <c r="I18" s="67" t="str">
        <f aca="false">IF($A18="","",IF(H18=0,"-",(C18-INDEX('Animal Register'!$I:$I,MATCH($A18,'Animal Register'!$A:$A,0)))*1000/H18))</f>
        <v/>
      </c>
      <c r="J18" s="67" t="str">
        <f aca="false">IF($A18="","",INDEX('Animal Register'!$M:$M,MATCH($A18,'Animal Register'!$A:$A,0)))</f>
        <v/>
      </c>
      <c r="K18" s="47" t="str">
        <f aca="false">IF($A18="","",IF(ISNUMBER(I18),IF(I18&gt;=J18*0.9,"On Track","Behind Target"),"-"))</f>
        <v/>
      </c>
    </row>
    <row r="19" customFormat="false" ht="15" hidden="false" customHeight="false" outlineLevel="0" collapsed="false">
      <c r="A19" s="50"/>
      <c r="B19" s="51"/>
      <c r="C19" s="50"/>
      <c r="D19" s="38"/>
      <c r="E19" s="38"/>
      <c r="F19" s="47" t="str">
        <f aca="false">IF($A19="","",IF($A19=$A18,$B19-$B18,"-"))</f>
        <v/>
      </c>
      <c r="G19" s="67" t="str">
        <f aca="false">IF($A19="","",IF(AND($A19=$A18,ISNUMBER(F19)),(C19-C18)*1000/F19,"-"))</f>
        <v/>
      </c>
      <c r="H19" s="47" t="str">
        <f aca="false">IF($A19="","",$B19-INDEX('Animal Register'!$K:$K,MATCH($A19,'Animal Register'!$A:$A,0)))</f>
        <v/>
      </c>
      <c r="I19" s="67" t="str">
        <f aca="false">IF($A19="","",IF(H19=0,"-",(C19-INDEX('Animal Register'!$I:$I,MATCH($A19,'Animal Register'!$A:$A,0)))*1000/H19))</f>
        <v/>
      </c>
      <c r="J19" s="67" t="str">
        <f aca="false">IF($A19="","",INDEX('Animal Register'!$M:$M,MATCH($A19,'Animal Register'!$A:$A,0)))</f>
        <v/>
      </c>
      <c r="K19" s="47" t="str">
        <f aca="false">IF($A19="","",IF(ISNUMBER(I19),IF(I19&gt;=J19*0.9,"On Track","Behind Target"),"-"))</f>
        <v/>
      </c>
    </row>
    <row r="20" customFormat="false" ht="15" hidden="false" customHeight="false" outlineLevel="0" collapsed="false">
      <c r="A20" s="50"/>
      <c r="B20" s="51"/>
      <c r="C20" s="50"/>
      <c r="D20" s="38"/>
      <c r="E20" s="38"/>
      <c r="F20" s="47" t="str">
        <f aca="false">IF($A20="","",IF($A20=$A19,$B20-$B19,"-"))</f>
        <v/>
      </c>
      <c r="G20" s="67" t="str">
        <f aca="false">IF($A20="","",IF(AND($A20=$A19,ISNUMBER(F20)),(C20-C19)*1000/F20,"-"))</f>
        <v/>
      </c>
      <c r="H20" s="47" t="str">
        <f aca="false">IF($A20="","",$B20-INDEX('Animal Register'!$K:$K,MATCH($A20,'Animal Register'!$A:$A,0)))</f>
        <v/>
      </c>
      <c r="I20" s="67" t="str">
        <f aca="false">IF($A20="","",IF(H20=0,"-",(C20-INDEX('Animal Register'!$I:$I,MATCH($A20,'Animal Register'!$A:$A,0)))*1000/H20))</f>
        <v/>
      </c>
      <c r="J20" s="67" t="str">
        <f aca="false">IF($A20="","",INDEX('Animal Register'!$M:$M,MATCH($A20,'Animal Register'!$A:$A,0)))</f>
        <v/>
      </c>
      <c r="K20" s="47" t="str">
        <f aca="false">IF($A20="","",IF(ISNUMBER(I20),IF(I20&gt;=J20*0.9,"On Track","Behind Target"),"-"))</f>
        <v/>
      </c>
    </row>
    <row r="21" customFormat="false" ht="15" hidden="false" customHeight="false" outlineLevel="0" collapsed="false">
      <c r="A21" s="50"/>
      <c r="B21" s="51"/>
      <c r="C21" s="50"/>
      <c r="D21" s="38"/>
      <c r="E21" s="38"/>
      <c r="F21" s="47" t="str">
        <f aca="false">IF($A21="","",IF($A21=$A20,$B21-$B20,"-"))</f>
        <v/>
      </c>
      <c r="G21" s="67" t="str">
        <f aca="false">IF($A21="","",IF(AND($A21=$A20,ISNUMBER(F21)),(C21-C20)*1000/F21,"-"))</f>
        <v/>
      </c>
      <c r="H21" s="47" t="str">
        <f aca="false">IF($A21="","",$B21-INDEX('Animal Register'!$K:$K,MATCH($A21,'Animal Register'!$A:$A,0)))</f>
        <v/>
      </c>
      <c r="I21" s="67" t="str">
        <f aca="false">IF($A21="","",IF(H21=0,"-",(C21-INDEX('Animal Register'!$I:$I,MATCH($A21,'Animal Register'!$A:$A,0)))*1000/H21))</f>
        <v/>
      </c>
      <c r="J21" s="67" t="str">
        <f aca="false">IF($A21="","",INDEX('Animal Register'!$M:$M,MATCH($A21,'Animal Register'!$A:$A,0)))</f>
        <v/>
      </c>
      <c r="K21" s="47" t="str">
        <f aca="false">IF($A21="","",IF(ISNUMBER(I21),IF(I21&gt;=J21*0.9,"On Track","Behind Target"),"-"))</f>
        <v/>
      </c>
    </row>
    <row r="22" customFormat="false" ht="15" hidden="false" customHeight="false" outlineLevel="0" collapsed="false">
      <c r="A22" s="50"/>
      <c r="B22" s="51"/>
      <c r="C22" s="50"/>
      <c r="D22" s="38"/>
      <c r="E22" s="38"/>
      <c r="F22" s="47" t="str">
        <f aca="false">IF($A22="","",IF($A22=$A21,$B22-$B21,"-"))</f>
        <v/>
      </c>
      <c r="G22" s="67" t="str">
        <f aca="false">IF($A22="","",IF(AND($A22=$A21,ISNUMBER(F22)),(C22-C21)*1000/F22,"-"))</f>
        <v/>
      </c>
      <c r="H22" s="47" t="str">
        <f aca="false">IF($A22="","",$B22-INDEX('Animal Register'!$K:$K,MATCH($A22,'Animal Register'!$A:$A,0)))</f>
        <v/>
      </c>
      <c r="I22" s="67" t="str">
        <f aca="false">IF($A22="","",IF(H22=0,"-",(C22-INDEX('Animal Register'!$I:$I,MATCH($A22,'Animal Register'!$A:$A,0)))*1000/H22))</f>
        <v/>
      </c>
      <c r="J22" s="67" t="str">
        <f aca="false">IF($A22="","",INDEX('Animal Register'!$M:$M,MATCH($A22,'Animal Register'!$A:$A,0)))</f>
        <v/>
      </c>
      <c r="K22" s="47" t="str">
        <f aca="false">IF($A22="","",IF(ISNUMBER(I22),IF(I22&gt;=J22*0.9,"On Track","Behind Target"),"-"))</f>
        <v/>
      </c>
    </row>
    <row r="23" customFormat="false" ht="15" hidden="false" customHeight="false" outlineLevel="0" collapsed="false">
      <c r="A23" s="50"/>
      <c r="B23" s="51"/>
      <c r="C23" s="50"/>
      <c r="D23" s="38"/>
      <c r="E23" s="38"/>
      <c r="F23" s="47" t="str">
        <f aca="false">IF($A23="","",IF($A23=$A22,$B23-$B22,"-"))</f>
        <v/>
      </c>
      <c r="G23" s="67" t="str">
        <f aca="false">IF($A23="","",IF(AND($A23=$A22,ISNUMBER(F23)),(C23-C22)*1000/F23,"-"))</f>
        <v/>
      </c>
      <c r="H23" s="47" t="str">
        <f aca="false">IF($A23="","",$B23-INDEX('Animal Register'!$K:$K,MATCH($A23,'Animal Register'!$A:$A,0)))</f>
        <v/>
      </c>
      <c r="I23" s="67" t="str">
        <f aca="false">IF($A23="","",IF(H23=0,"-",(C23-INDEX('Animal Register'!$I:$I,MATCH($A23,'Animal Register'!$A:$A,0)))*1000/H23))</f>
        <v/>
      </c>
      <c r="J23" s="67" t="str">
        <f aca="false">IF($A23="","",INDEX('Animal Register'!$M:$M,MATCH($A23,'Animal Register'!$A:$A,0)))</f>
        <v/>
      </c>
      <c r="K23" s="47" t="str">
        <f aca="false">IF($A23="","",IF(ISNUMBER(I23),IF(I23&gt;=J23*0.9,"On Track","Behind Target"),"-"))</f>
        <v/>
      </c>
    </row>
    <row r="24" customFormat="false" ht="15" hidden="false" customHeight="false" outlineLevel="0" collapsed="false">
      <c r="A24" s="50"/>
      <c r="B24" s="51"/>
      <c r="C24" s="50"/>
      <c r="D24" s="38"/>
      <c r="E24" s="38"/>
      <c r="F24" s="47" t="str">
        <f aca="false">IF($A24="","",IF($A24=$A23,$B24-$B23,"-"))</f>
        <v/>
      </c>
      <c r="G24" s="67" t="str">
        <f aca="false">IF($A24="","",IF(AND($A24=$A23,ISNUMBER(F24)),(C24-C23)*1000/F24,"-"))</f>
        <v/>
      </c>
      <c r="H24" s="47" t="str">
        <f aca="false">IF($A24="","",$B24-INDEX('Animal Register'!$K:$K,MATCH($A24,'Animal Register'!$A:$A,0)))</f>
        <v/>
      </c>
      <c r="I24" s="67" t="str">
        <f aca="false">IF($A24="","",IF(H24=0,"-",(C24-INDEX('Animal Register'!$I:$I,MATCH($A24,'Animal Register'!$A:$A,0)))*1000/H24))</f>
        <v/>
      </c>
      <c r="J24" s="67" t="str">
        <f aca="false">IF($A24="","",INDEX('Animal Register'!$M:$M,MATCH($A24,'Animal Register'!$A:$A,0)))</f>
        <v/>
      </c>
      <c r="K24" s="47" t="str">
        <f aca="false">IF($A24="","",IF(ISNUMBER(I24),IF(I24&gt;=J24*0.9,"On Track","Behind Target"),"-"))</f>
        <v/>
      </c>
    </row>
    <row r="25" customFormat="false" ht="15" hidden="false" customHeight="false" outlineLevel="0" collapsed="false">
      <c r="A25" s="50"/>
      <c r="B25" s="51"/>
      <c r="C25" s="50"/>
      <c r="D25" s="38"/>
      <c r="E25" s="38"/>
      <c r="F25" s="47" t="str">
        <f aca="false">IF($A25="","",IF($A25=$A24,$B25-$B24,"-"))</f>
        <v/>
      </c>
      <c r="G25" s="67" t="str">
        <f aca="false">IF($A25="","",IF(AND($A25=$A24,ISNUMBER(F25)),(C25-C24)*1000/F25,"-"))</f>
        <v/>
      </c>
      <c r="H25" s="47" t="str">
        <f aca="false">IF($A25="","",$B25-INDEX('Animal Register'!$K:$K,MATCH($A25,'Animal Register'!$A:$A,0)))</f>
        <v/>
      </c>
      <c r="I25" s="67" t="str">
        <f aca="false">IF($A25="","",IF(H25=0,"-",(C25-INDEX('Animal Register'!$I:$I,MATCH($A25,'Animal Register'!$A:$A,0)))*1000/H25))</f>
        <v/>
      </c>
      <c r="J25" s="67" t="str">
        <f aca="false">IF($A25="","",INDEX('Animal Register'!$M:$M,MATCH($A25,'Animal Register'!$A:$A,0)))</f>
        <v/>
      </c>
      <c r="K25" s="47" t="str">
        <f aca="false">IF($A25="","",IF(ISNUMBER(I25),IF(I25&gt;=J25*0.9,"On Track","Behind Target"),"-"))</f>
        <v/>
      </c>
    </row>
    <row r="26" customFormat="false" ht="15" hidden="false" customHeight="false" outlineLevel="0" collapsed="false">
      <c r="A26" s="50"/>
      <c r="B26" s="51"/>
      <c r="C26" s="50"/>
      <c r="D26" s="38"/>
      <c r="E26" s="38"/>
      <c r="F26" s="47" t="str">
        <f aca="false">IF($A26="","",IF($A26=$A25,$B26-$B25,"-"))</f>
        <v/>
      </c>
      <c r="G26" s="67" t="str">
        <f aca="false">IF($A26="","",IF(AND($A26=$A25,ISNUMBER(F26)),(C26-C25)*1000/F26,"-"))</f>
        <v/>
      </c>
      <c r="H26" s="47" t="str">
        <f aca="false">IF($A26="","",$B26-INDEX('Animal Register'!$K:$K,MATCH($A26,'Animal Register'!$A:$A,0)))</f>
        <v/>
      </c>
      <c r="I26" s="67" t="str">
        <f aca="false">IF($A26="","",IF(H26=0,"-",(C26-INDEX('Animal Register'!$I:$I,MATCH($A26,'Animal Register'!$A:$A,0)))*1000/H26))</f>
        <v/>
      </c>
      <c r="J26" s="67" t="str">
        <f aca="false">IF($A26="","",INDEX('Animal Register'!$M:$M,MATCH($A26,'Animal Register'!$A:$A,0)))</f>
        <v/>
      </c>
      <c r="K26" s="47" t="str">
        <f aca="false">IF($A26="","",IF(ISNUMBER(I26),IF(I26&gt;=J26*0.9,"On Track","Behind Target"),"-"))</f>
        <v/>
      </c>
    </row>
    <row r="27" customFormat="false" ht="15" hidden="false" customHeight="false" outlineLevel="0" collapsed="false">
      <c r="A27" s="50"/>
      <c r="B27" s="51"/>
      <c r="C27" s="50"/>
      <c r="D27" s="38"/>
      <c r="E27" s="38"/>
      <c r="F27" s="47" t="str">
        <f aca="false">IF($A27="","",IF($A27=$A26,$B27-$B26,"-"))</f>
        <v/>
      </c>
      <c r="G27" s="67" t="str">
        <f aca="false">IF($A27="","",IF(AND($A27=$A26,ISNUMBER(F27)),(C27-C26)*1000/F27,"-"))</f>
        <v/>
      </c>
      <c r="H27" s="47" t="str">
        <f aca="false">IF($A27="","",$B27-INDEX('Animal Register'!$K:$K,MATCH($A27,'Animal Register'!$A:$A,0)))</f>
        <v/>
      </c>
      <c r="I27" s="67" t="str">
        <f aca="false">IF($A27="","",IF(H27=0,"-",(C27-INDEX('Animal Register'!$I:$I,MATCH($A27,'Animal Register'!$A:$A,0)))*1000/H27))</f>
        <v/>
      </c>
      <c r="J27" s="67" t="str">
        <f aca="false">IF($A27="","",INDEX('Animal Register'!$M:$M,MATCH($A27,'Animal Register'!$A:$A,0)))</f>
        <v/>
      </c>
      <c r="K27" s="47" t="str">
        <f aca="false">IF($A27="","",IF(ISNUMBER(I27),IF(I27&gt;=J27*0.9,"On Track","Behind Target"),"-"))</f>
        <v/>
      </c>
    </row>
    <row r="28" customFormat="false" ht="15" hidden="false" customHeight="false" outlineLevel="0" collapsed="false">
      <c r="A28" s="50"/>
      <c r="B28" s="51"/>
      <c r="C28" s="50"/>
      <c r="D28" s="38"/>
      <c r="E28" s="38"/>
      <c r="F28" s="47" t="str">
        <f aca="false">IF($A28="","",IF($A28=$A27,$B28-$B27,"-"))</f>
        <v/>
      </c>
      <c r="G28" s="67" t="str">
        <f aca="false">IF($A28="","",IF(AND($A28=$A27,ISNUMBER(F28)),(C28-C27)*1000/F28,"-"))</f>
        <v/>
      </c>
      <c r="H28" s="47" t="str">
        <f aca="false">IF($A28="","",$B28-INDEX('Animal Register'!$K:$K,MATCH($A28,'Animal Register'!$A:$A,0)))</f>
        <v/>
      </c>
      <c r="I28" s="67" t="str">
        <f aca="false">IF($A28="","",IF(H28=0,"-",(C28-INDEX('Animal Register'!$I:$I,MATCH($A28,'Animal Register'!$A:$A,0)))*1000/H28))</f>
        <v/>
      </c>
      <c r="J28" s="67" t="str">
        <f aca="false">IF($A28="","",INDEX('Animal Register'!$M:$M,MATCH($A28,'Animal Register'!$A:$A,0)))</f>
        <v/>
      </c>
      <c r="K28" s="47" t="str">
        <f aca="false">IF($A28="","",IF(ISNUMBER(I28),IF(I28&gt;=J28*0.9,"On Track","Behind Target"),"-"))</f>
        <v/>
      </c>
    </row>
    <row r="29" customFormat="false" ht="15" hidden="false" customHeight="false" outlineLevel="0" collapsed="false">
      <c r="A29" s="50"/>
      <c r="B29" s="51"/>
      <c r="C29" s="50"/>
      <c r="D29" s="38"/>
      <c r="E29" s="38"/>
      <c r="F29" s="47" t="str">
        <f aca="false">IF($A29="","",IF($A29=$A28,$B29-$B28,"-"))</f>
        <v/>
      </c>
      <c r="G29" s="67" t="str">
        <f aca="false">IF($A29="","",IF(AND($A29=$A28,ISNUMBER(F29)),(C29-C28)*1000/F29,"-"))</f>
        <v/>
      </c>
      <c r="H29" s="47" t="str">
        <f aca="false">IF($A29="","",$B29-INDEX('Animal Register'!$K:$K,MATCH($A29,'Animal Register'!$A:$A,0)))</f>
        <v/>
      </c>
      <c r="I29" s="67" t="str">
        <f aca="false">IF($A29="","",IF(H29=0,"-",(C29-INDEX('Animal Register'!$I:$I,MATCH($A29,'Animal Register'!$A:$A,0)))*1000/H29))</f>
        <v/>
      </c>
      <c r="J29" s="67" t="str">
        <f aca="false">IF($A29="","",INDEX('Animal Register'!$M:$M,MATCH($A29,'Animal Register'!$A:$A,0)))</f>
        <v/>
      </c>
      <c r="K29" s="47" t="str">
        <f aca="false">IF($A29="","",IF(ISNUMBER(I29),IF(I29&gt;=J29*0.9,"On Track","Behind Target"),"-"))</f>
        <v/>
      </c>
    </row>
    <row r="30" customFormat="false" ht="15" hidden="false" customHeight="false" outlineLevel="0" collapsed="false">
      <c r="A30" s="50"/>
      <c r="B30" s="51"/>
      <c r="C30" s="50"/>
      <c r="D30" s="38"/>
      <c r="E30" s="38"/>
      <c r="F30" s="47" t="str">
        <f aca="false">IF($A30="","",IF($A30=$A29,$B30-$B29,"-"))</f>
        <v/>
      </c>
      <c r="G30" s="67" t="str">
        <f aca="false">IF($A30="","",IF(AND($A30=$A29,ISNUMBER(F30)),(C30-C29)*1000/F30,"-"))</f>
        <v/>
      </c>
      <c r="H30" s="47" t="str">
        <f aca="false">IF($A30="","",$B30-INDEX('Animal Register'!$K:$K,MATCH($A30,'Animal Register'!$A:$A,0)))</f>
        <v/>
      </c>
      <c r="I30" s="67" t="str">
        <f aca="false">IF($A30="","",IF(H30=0,"-",(C30-INDEX('Animal Register'!$I:$I,MATCH($A30,'Animal Register'!$A:$A,0)))*1000/H30))</f>
        <v/>
      </c>
      <c r="J30" s="67" t="str">
        <f aca="false">IF($A30="","",INDEX('Animal Register'!$M:$M,MATCH($A30,'Animal Register'!$A:$A,0)))</f>
        <v/>
      </c>
      <c r="K30" s="47" t="str">
        <f aca="false">IF($A30="","",IF(ISNUMBER(I30),IF(I30&gt;=J30*0.9,"On Track","Behind Target"),"-"))</f>
        <v/>
      </c>
    </row>
    <row r="31" customFormat="false" ht="15" hidden="false" customHeight="false" outlineLevel="0" collapsed="false">
      <c r="A31" s="50"/>
      <c r="B31" s="51"/>
      <c r="C31" s="50"/>
      <c r="D31" s="38"/>
      <c r="E31" s="38"/>
      <c r="F31" s="47" t="str">
        <f aca="false">IF($A31="","",IF($A31=$A30,$B31-$B30,"-"))</f>
        <v/>
      </c>
      <c r="G31" s="67" t="str">
        <f aca="false">IF($A31="","",IF(AND($A31=$A30,ISNUMBER(F31)),(C31-C30)*1000/F31,"-"))</f>
        <v/>
      </c>
      <c r="H31" s="47" t="str">
        <f aca="false">IF($A31="","",$B31-INDEX('Animal Register'!$K:$K,MATCH($A31,'Animal Register'!$A:$A,0)))</f>
        <v/>
      </c>
      <c r="I31" s="67" t="str">
        <f aca="false">IF($A31="","",IF(H31=0,"-",(C31-INDEX('Animal Register'!$I:$I,MATCH($A31,'Animal Register'!$A:$A,0)))*1000/H31))</f>
        <v/>
      </c>
      <c r="J31" s="67" t="str">
        <f aca="false">IF($A31="","",INDEX('Animal Register'!$M:$M,MATCH($A31,'Animal Register'!$A:$A,0)))</f>
        <v/>
      </c>
      <c r="K31" s="47" t="str">
        <f aca="false">IF($A31="","",IF(ISNUMBER(I31),IF(I31&gt;=J31*0.9,"On Track","Behind Target"),"-"))</f>
        <v/>
      </c>
    </row>
    <row r="32" customFormat="false" ht="15" hidden="false" customHeight="false" outlineLevel="0" collapsed="false">
      <c r="A32" s="50"/>
      <c r="B32" s="51"/>
      <c r="C32" s="50"/>
      <c r="D32" s="38"/>
      <c r="E32" s="38"/>
      <c r="F32" s="47" t="str">
        <f aca="false">IF($A32="","",IF($A32=$A31,$B32-$B31,"-"))</f>
        <v/>
      </c>
      <c r="G32" s="67" t="str">
        <f aca="false">IF($A32="","",IF(AND($A32=$A31,ISNUMBER(F32)),(C32-C31)*1000/F32,"-"))</f>
        <v/>
      </c>
      <c r="H32" s="47" t="str">
        <f aca="false">IF($A32="","",$B32-INDEX('Animal Register'!$K:$K,MATCH($A32,'Animal Register'!$A:$A,0)))</f>
        <v/>
      </c>
      <c r="I32" s="67" t="str">
        <f aca="false">IF($A32="","",IF(H32=0,"-",(C32-INDEX('Animal Register'!$I:$I,MATCH($A32,'Animal Register'!$A:$A,0)))*1000/H32))</f>
        <v/>
      </c>
      <c r="J32" s="67" t="str">
        <f aca="false">IF($A32="","",INDEX('Animal Register'!$M:$M,MATCH($A32,'Animal Register'!$A:$A,0)))</f>
        <v/>
      </c>
      <c r="K32" s="47" t="str">
        <f aca="false">IF($A32="","",IF(ISNUMBER(I32),IF(I32&gt;=J32*0.9,"On Track","Behind Target"),"-"))</f>
        <v/>
      </c>
    </row>
    <row r="33" customFormat="false" ht="15" hidden="false" customHeight="false" outlineLevel="0" collapsed="false">
      <c r="A33" s="50"/>
      <c r="B33" s="51"/>
      <c r="C33" s="50"/>
      <c r="D33" s="38"/>
      <c r="E33" s="38"/>
      <c r="F33" s="47" t="str">
        <f aca="false">IF($A33="","",IF($A33=$A32,$B33-$B32,"-"))</f>
        <v/>
      </c>
      <c r="G33" s="67" t="str">
        <f aca="false">IF($A33="","",IF(AND($A33=$A32,ISNUMBER(F33)),(C33-C32)*1000/F33,"-"))</f>
        <v/>
      </c>
      <c r="H33" s="47" t="str">
        <f aca="false">IF($A33="","",$B33-INDEX('Animal Register'!$K:$K,MATCH($A33,'Animal Register'!$A:$A,0)))</f>
        <v/>
      </c>
      <c r="I33" s="67" t="str">
        <f aca="false">IF($A33="","",IF(H33=0,"-",(C33-INDEX('Animal Register'!$I:$I,MATCH($A33,'Animal Register'!$A:$A,0)))*1000/H33))</f>
        <v/>
      </c>
      <c r="J33" s="67" t="str">
        <f aca="false">IF($A33="","",INDEX('Animal Register'!$M:$M,MATCH($A33,'Animal Register'!$A:$A,0)))</f>
        <v/>
      </c>
      <c r="K33" s="47" t="str">
        <f aca="false">IF($A33="","",IF(ISNUMBER(I33),IF(I33&gt;=J33*0.9,"On Track","Behind Target"),"-"))</f>
        <v/>
      </c>
    </row>
    <row r="34" customFormat="false" ht="15" hidden="false" customHeight="false" outlineLevel="0" collapsed="false">
      <c r="A34" s="50"/>
      <c r="B34" s="51"/>
      <c r="C34" s="50"/>
      <c r="D34" s="38"/>
      <c r="E34" s="38"/>
      <c r="F34" s="47" t="str">
        <f aca="false">IF($A34="","",IF($A34=$A33,$B34-$B33,"-"))</f>
        <v/>
      </c>
      <c r="G34" s="67" t="str">
        <f aca="false">IF($A34="","",IF(AND($A34=$A33,ISNUMBER(F34)),(C34-C33)*1000/F34,"-"))</f>
        <v/>
      </c>
      <c r="H34" s="47" t="str">
        <f aca="false">IF($A34="","",$B34-INDEX('Animal Register'!$K:$K,MATCH($A34,'Animal Register'!$A:$A,0)))</f>
        <v/>
      </c>
      <c r="I34" s="67" t="str">
        <f aca="false">IF($A34="","",IF(H34=0,"-",(C34-INDEX('Animal Register'!$I:$I,MATCH($A34,'Animal Register'!$A:$A,0)))*1000/H34))</f>
        <v/>
      </c>
      <c r="J34" s="67" t="str">
        <f aca="false">IF($A34="","",INDEX('Animal Register'!$M:$M,MATCH($A34,'Animal Register'!$A:$A,0)))</f>
        <v/>
      </c>
      <c r="K34" s="47" t="str">
        <f aca="false">IF($A34="","",IF(ISNUMBER(I34),IF(I34&gt;=J34*0.9,"On Track","Behind Target"),"-"))</f>
        <v/>
      </c>
    </row>
    <row r="35" customFormat="false" ht="15" hidden="false" customHeight="false" outlineLevel="0" collapsed="false">
      <c r="A35" s="50"/>
      <c r="B35" s="51"/>
      <c r="C35" s="50"/>
      <c r="D35" s="38"/>
      <c r="E35" s="38"/>
      <c r="F35" s="47" t="str">
        <f aca="false">IF($A35="","",IF($A35=$A34,$B35-$B34,"-"))</f>
        <v/>
      </c>
      <c r="G35" s="67" t="str">
        <f aca="false">IF($A35="","",IF(AND($A35=$A34,ISNUMBER(F35)),(C35-C34)*1000/F35,"-"))</f>
        <v/>
      </c>
      <c r="H35" s="47" t="str">
        <f aca="false">IF($A35="","",$B35-INDEX('Animal Register'!$K:$K,MATCH($A35,'Animal Register'!$A:$A,0)))</f>
        <v/>
      </c>
      <c r="I35" s="67" t="str">
        <f aca="false">IF($A35="","",IF(H35=0,"-",(C35-INDEX('Animal Register'!$I:$I,MATCH($A35,'Animal Register'!$A:$A,0)))*1000/H35))</f>
        <v/>
      </c>
      <c r="J35" s="67" t="str">
        <f aca="false">IF($A35="","",INDEX('Animal Register'!$M:$M,MATCH($A35,'Animal Register'!$A:$A,0)))</f>
        <v/>
      </c>
      <c r="K35" s="47" t="str">
        <f aca="false">IF($A35="","",IF(ISNUMBER(I35),IF(I35&gt;=J35*0.9,"On Track","Behind Target"),"-"))</f>
        <v/>
      </c>
    </row>
    <row r="36" customFormat="false" ht="15" hidden="false" customHeight="false" outlineLevel="0" collapsed="false">
      <c r="A36" s="50"/>
      <c r="B36" s="51"/>
      <c r="C36" s="50"/>
      <c r="D36" s="38"/>
      <c r="E36" s="38"/>
      <c r="F36" s="47" t="str">
        <f aca="false">IF($A36="","",IF($A36=$A35,$B36-$B35,"-"))</f>
        <v/>
      </c>
      <c r="G36" s="67" t="str">
        <f aca="false">IF($A36="","",IF(AND($A36=$A35,ISNUMBER(F36)),(C36-C35)*1000/F36,"-"))</f>
        <v/>
      </c>
      <c r="H36" s="47" t="str">
        <f aca="false">IF($A36="","",$B36-INDEX('Animal Register'!$K:$K,MATCH($A36,'Animal Register'!$A:$A,0)))</f>
        <v/>
      </c>
      <c r="I36" s="67" t="str">
        <f aca="false">IF($A36="","",IF(H36=0,"-",(C36-INDEX('Animal Register'!$I:$I,MATCH($A36,'Animal Register'!$A:$A,0)))*1000/H36))</f>
        <v/>
      </c>
      <c r="J36" s="67" t="str">
        <f aca="false">IF($A36="","",INDEX('Animal Register'!$M:$M,MATCH($A36,'Animal Register'!$A:$A,0)))</f>
        <v/>
      </c>
      <c r="K36" s="47" t="str">
        <f aca="false">IF($A36="","",IF(ISNUMBER(I36),IF(I36&gt;=J36*0.9,"On Track","Behind Target"),"-"))</f>
        <v/>
      </c>
    </row>
    <row r="37" customFormat="false" ht="15" hidden="false" customHeight="false" outlineLevel="0" collapsed="false">
      <c r="A37" s="50"/>
      <c r="B37" s="51"/>
      <c r="C37" s="50"/>
      <c r="D37" s="38"/>
      <c r="E37" s="38"/>
      <c r="F37" s="47" t="str">
        <f aca="false">IF($A37="","",IF($A37=$A36,$B37-$B36,"-"))</f>
        <v/>
      </c>
      <c r="G37" s="67" t="str">
        <f aca="false">IF($A37="","",IF(AND($A37=$A36,ISNUMBER(F37)),(C37-C36)*1000/F37,"-"))</f>
        <v/>
      </c>
      <c r="H37" s="47" t="str">
        <f aca="false">IF($A37="","",$B37-INDEX('Animal Register'!$K:$K,MATCH($A37,'Animal Register'!$A:$A,0)))</f>
        <v/>
      </c>
      <c r="I37" s="67" t="str">
        <f aca="false">IF($A37="","",IF(H37=0,"-",(C37-INDEX('Animal Register'!$I:$I,MATCH($A37,'Animal Register'!$A:$A,0)))*1000/H37))</f>
        <v/>
      </c>
      <c r="J37" s="67" t="str">
        <f aca="false">IF($A37="","",INDEX('Animal Register'!$M:$M,MATCH($A37,'Animal Register'!$A:$A,0)))</f>
        <v/>
      </c>
      <c r="K37" s="47" t="str">
        <f aca="false">IF($A37="","",IF(ISNUMBER(I37),IF(I37&gt;=J37*0.9,"On Track","Behind Target"),"-"))</f>
        <v/>
      </c>
    </row>
    <row r="38" customFormat="false" ht="15" hidden="false" customHeight="false" outlineLevel="0" collapsed="false">
      <c r="A38" s="50"/>
      <c r="B38" s="51"/>
      <c r="C38" s="50"/>
      <c r="D38" s="38"/>
      <c r="E38" s="38"/>
      <c r="F38" s="47" t="str">
        <f aca="false">IF($A38="","",IF($A38=$A37,$B38-$B37,"-"))</f>
        <v/>
      </c>
      <c r="G38" s="67" t="str">
        <f aca="false">IF($A38="","",IF(AND($A38=$A37,ISNUMBER(F38)),(C38-C37)*1000/F38,"-"))</f>
        <v/>
      </c>
      <c r="H38" s="47" t="str">
        <f aca="false">IF($A38="","",$B38-INDEX('Animal Register'!$K:$K,MATCH($A38,'Animal Register'!$A:$A,0)))</f>
        <v/>
      </c>
      <c r="I38" s="67" t="str">
        <f aca="false">IF($A38="","",IF(H38=0,"-",(C38-INDEX('Animal Register'!$I:$I,MATCH($A38,'Animal Register'!$A:$A,0)))*1000/H38))</f>
        <v/>
      </c>
      <c r="J38" s="67" t="str">
        <f aca="false">IF($A38="","",INDEX('Animal Register'!$M:$M,MATCH($A38,'Animal Register'!$A:$A,0)))</f>
        <v/>
      </c>
      <c r="K38" s="47" t="str">
        <f aca="false">IF($A38="","",IF(ISNUMBER(I38),IF(I38&gt;=J38*0.9,"On Track","Behind Target"),"-"))</f>
        <v/>
      </c>
    </row>
    <row r="39" customFormat="false" ht="15" hidden="false" customHeight="false" outlineLevel="0" collapsed="false">
      <c r="A39" s="50"/>
      <c r="B39" s="51"/>
      <c r="C39" s="50"/>
      <c r="D39" s="38"/>
      <c r="E39" s="38"/>
      <c r="F39" s="47" t="str">
        <f aca="false">IF($A39="","",IF($A39=$A38,$B39-$B38,"-"))</f>
        <v/>
      </c>
      <c r="G39" s="67" t="str">
        <f aca="false">IF($A39="","",IF(AND($A39=$A38,ISNUMBER(F39)),(C39-C38)*1000/F39,"-"))</f>
        <v/>
      </c>
      <c r="H39" s="47" t="str">
        <f aca="false">IF($A39="","",$B39-INDEX('Animal Register'!$K:$K,MATCH($A39,'Animal Register'!$A:$A,0)))</f>
        <v/>
      </c>
      <c r="I39" s="67" t="str">
        <f aca="false">IF($A39="","",IF(H39=0,"-",(C39-INDEX('Animal Register'!$I:$I,MATCH($A39,'Animal Register'!$A:$A,0)))*1000/H39))</f>
        <v/>
      </c>
      <c r="J39" s="67" t="str">
        <f aca="false">IF($A39="","",INDEX('Animal Register'!$M:$M,MATCH($A39,'Animal Register'!$A:$A,0)))</f>
        <v/>
      </c>
      <c r="K39" s="47" t="str">
        <f aca="false">IF($A39="","",IF(ISNUMBER(I39),IF(I39&gt;=J39*0.9,"On Track","Behind Target"),"-"))</f>
        <v/>
      </c>
    </row>
    <row r="40" customFormat="false" ht="15" hidden="false" customHeight="false" outlineLevel="0" collapsed="false">
      <c r="A40" s="50"/>
      <c r="B40" s="51"/>
      <c r="C40" s="50"/>
      <c r="D40" s="38"/>
      <c r="E40" s="38"/>
      <c r="F40" s="47" t="str">
        <f aca="false">IF($A40="","",IF($A40=$A39,$B40-$B39,"-"))</f>
        <v/>
      </c>
      <c r="G40" s="67" t="str">
        <f aca="false">IF($A40="","",IF(AND($A40=$A39,ISNUMBER(F40)),(C40-C39)*1000/F40,"-"))</f>
        <v/>
      </c>
      <c r="H40" s="47" t="str">
        <f aca="false">IF($A40="","",$B40-INDEX('Animal Register'!$K:$K,MATCH($A40,'Animal Register'!$A:$A,0)))</f>
        <v/>
      </c>
      <c r="I40" s="67" t="str">
        <f aca="false">IF($A40="","",IF(H40=0,"-",(C40-INDEX('Animal Register'!$I:$I,MATCH($A40,'Animal Register'!$A:$A,0)))*1000/H40))</f>
        <v/>
      </c>
      <c r="J40" s="67" t="str">
        <f aca="false">IF($A40="","",INDEX('Animal Register'!$M:$M,MATCH($A40,'Animal Register'!$A:$A,0)))</f>
        <v/>
      </c>
      <c r="K40" s="47" t="str">
        <f aca="false">IF($A40="","",IF(ISNUMBER(I40),IF(I40&gt;=J40*0.9,"On Track","Behind Target"),"-"))</f>
        <v/>
      </c>
    </row>
    <row r="41" customFormat="false" ht="15" hidden="false" customHeight="false" outlineLevel="0" collapsed="false">
      <c r="A41" s="50"/>
      <c r="B41" s="51"/>
      <c r="C41" s="50"/>
      <c r="D41" s="38"/>
      <c r="E41" s="38"/>
      <c r="F41" s="47" t="str">
        <f aca="false">IF($A41="","",IF($A41=$A40,$B41-$B40,"-"))</f>
        <v/>
      </c>
      <c r="G41" s="67" t="str">
        <f aca="false">IF($A41="","",IF(AND($A41=$A40,ISNUMBER(F41)),(C41-C40)*1000/F41,"-"))</f>
        <v/>
      </c>
      <c r="H41" s="47" t="str">
        <f aca="false">IF($A41="","",$B41-INDEX('Animal Register'!$K:$K,MATCH($A41,'Animal Register'!$A:$A,0)))</f>
        <v/>
      </c>
      <c r="I41" s="67" t="str">
        <f aca="false">IF($A41="","",IF(H41=0,"-",(C41-INDEX('Animal Register'!$I:$I,MATCH($A41,'Animal Register'!$A:$A,0)))*1000/H41))</f>
        <v/>
      </c>
      <c r="J41" s="67" t="str">
        <f aca="false">IF($A41="","",INDEX('Animal Register'!$M:$M,MATCH($A41,'Animal Register'!$A:$A,0)))</f>
        <v/>
      </c>
      <c r="K41" s="47" t="str">
        <f aca="false">IF($A41="","",IF(ISNUMBER(I41),IF(I41&gt;=J41*0.9,"On Track","Behind Target"),"-"))</f>
        <v/>
      </c>
    </row>
    <row r="42" customFormat="false" ht="15" hidden="false" customHeight="false" outlineLevel="0" collapsed="false">
      <c r="A42" s="50"/>
      <c r="B42" s="51"/>
      <c r="C42" s="50"/>
      <c r="D42" s="38"/>
      <c r="E42" s="38"/>
      <c r="F42" s="47" t="str">
        <f aca="false">IF($A42="","",IF($A42=$A41,$B42-$B41,"-"))</f>
        <v/>
      </c>
      <c r="G42" s="67" t="str">
        <f aca="false">IF($A42="","",IF(AND($A42=$A41,ISNUMBER(F42)),(C42-C41)*1000/F42,"-"))</f>
        <v/>
      </c>
      <c r="H42" s="47" t="str">
        <f aca="false">IF($A42="","",$B42-INDEX('Animal Register'!$K:$K,MATCH($A42,'Animal Register'!$A:$A,0)))</f>
        <v/>
      </c>
      <c r="I42" s="67" t="str">
        <f aca="false">IF($A42="","",IF(H42=0,"-",(C42-INDEX('Animal Register'!$I:$I,MATCH($A42,'Animal Register'!$A:$A,0)))*1000/H42))</f>
        <v/>
      </c>
      <c r="J42" s="67" t="str">
        <f aca="false">IF($A42="","",INDEX('Animal Register'!$M:$M,MATCH($A42,'Animal Register'!$A:$A,0)))</f>
        <v/>
      </c>
      <c r="K42" s="47" t="str">
        <f aca="false">IF($A42="","",IF(ISNUMBER(I42),IF(I42&gt;=J42*0.9,"On Track","Behind Target"),"-"))</f>
        <v/>
      </c>
    </row>
    <row r="43" customFormat="false" ht="15" hidden="false" customHeight="false" outlineLevel="0" collapsed="false">
      <c r="A43" s="50"/>
      <c r="B43" s="51"/>
      <c r="C43" s="50"/>
      <c r="D43" s="38"/>
      <c r="E43" s="38"/>
      <c r="F43" s="47" t="str">
        <f aca="false">IF($A43="","",IF($A43=$A42,$B43-$B42,"-"))</f>
        <v/>
      </c>
      <c r="G43" s="67" t="str">
        <f aca="false">IF($A43="","",IF(AND($A43=$A42,ISNUMBER(F43)),(C43-C42)*1000/F43,"-"))</f>
        <v/>
      </c>
      <c r="H43" s="47" t="str">
        <f aca="false">IF($A43="","",$B43-INDEX('Animal Register'!$K:$K,MATCH($A43,'Animal Register'!$A:$A,0)))</f>
        <v/>
      </c>
      <c r="I43" s="67" t="str">
        <f aca="false">IF($A43="","",IF(H43=0,"-",(C43-INDEX('Animal Register'!$I:$I,MATCH($A43,'Animal Register'!$A:$A,0)))*1000/H43))</f>
        <v/>
      </c>
      <c r="J43" s="67" t="str">
        <f aca="false">IF($A43="","",INDEX('Animal Register'!$M:$M,MATCH($A43,'Animal Register'!$A:$A,0)))</f>
        <v/>
      </c>
      <c r="K43" s="47" t="str">
        <f aca="false">IF($A43="","",IF(ISNUMBER(I43),IF(I43&gt;=J43*0.9,"On Track","Behind Target"),"-"))</f>
        <v/>
      </c>
    </row>
    <row r="44" customFormat="false" ht="15" hidden="false" customHeight="false" outlineLevel="0" collapsed="false">
      <c r="A44" s="50"/>
      <c r="B44" s="51"/>
      <c r="C44" s="50"/>
      <c r="D44" s="38"/>
      <c r="E44" s="38"/>
      <c r="F44" s="47" t="str">
        <f aca="false">IF($A44="","",IF($A44=$A43,$B44-$B43,"-"))</f>
        <v/>
      </c>
      <c r="G44" s="67" t="str">
        <f aca="false">IF($A44="","",IF(AND($A44=$A43,ISNUMBER(F44)),(C44-C43)*1000/F44,"-"))</f>
        <v/>
      </c>
      <c r="H44" s="47" t="str">
        <f aca="false">IF($A44="","",$B44-INDEX('Animal Register'!$K:$K,MATCH($A44,'Animal Register'!$A:$A,0)))</f>
        <v/>
      </c>
      <c r="I44" s="67" t="str">
        <f aca="false">IF($A44="","",IF(H44=0,"-",(C44-INDEX('Animal Register'!$I:$I,MATCH($A44,'Animal Register'!$A:$A,0)))*1000/H44))</f>
        <v/>
      </c>
      <c r="J44" s="67" t="str">
        <f aca="false">IF($A44="","",INDEX('Animal Register'!$M:$M,MATCH($A44,'Animal Register'!$A:$A,0)))</f>
        <v/>
      </c>
      <c r="K44" s="47" t="str">
        <f aca="false">IF($A44="","",IF(ISNUMBER(I44),IF(I44&gt;=J44*0.9,"On Track","Behind Target"),"-"))</f>
        <v/>
      </c>
    </row>
    <row r="45" customFormat="false" ht="15" hidden="false" customHeight="false" outlineLevel="0" collapsed="false">
      <c r="A45" s="50"/>
      <c r="B45" s="51"/>
      <c r="C45" s="50"/>
      <c r="D45" s="38"/>
      <c r="E45" s="38"/>
      <c r="F45" s="47" t="str">
        <f aca="false">IF($A45="","",IF($A45=$A44,$B45-$B44,"-"))</f>
        <v/>
      </c>
      <c r="G45" s="67" t="str">
        <f aca="false">IF($A45="","",IF(AND($A45=$A44,ISNUMBER(F45)),(C45-C44)*1000/F45,"-"))</f>
        <v/>
      </c>
      <c r="H45" s="47" t="str">
        <f aca="false">IF($A45="","",$B45-INDEX('Animal Register'!$K:$K,MATCH($A45,'Animal Register'!$A:$A,0)))</f>
        <v/>
      </c>
      <c r="I45" s="67" t="str">
        <f aca="false">IF($A45="","",IF(H45=0,"-",(C45-INDEX('Animal Register'!$I:$I,MATCH($A45,'Animal Register'!$A:$A,0)))*1000/H45))</f>
        <v/>
      </c>
      <c r="J45" s="67" t="str">
        <f aca="false">IF($A45="","",INDEX('Animal Register'!$M:$M,MATCH($A45,'Animal Register'!$A:$A,0)))</f>
        <v/>
      </c>
      <c r="K45" s="47" t="str">
        <f aca="false">IF($A45="","",IF(ISNUMBER(I45),IF(I45&gt;=J45*0.9,"On Track","Behind Target"),"-"))</f>
        <v/>
      </c>
    </row>
    <row r="46" customFormat="false" ht="15" hidden="false" customHeight="false" outlineLevel="0" collapsed="false">
      <c r="A46" s="50"/>
      <c r="B46" s="51"/>
      <c r="C46" s="50"/>
      <c r="D46" s="38"/>
      <c r="E46" s="38"/>
      <c r="F46" s="47" t="str">
        <f aca="false">IF($A46="","",IF($A46=$A45,$B46-$B45,"-"))</f>
        <v/>
      </c>
      <c r="G46" s="67" t="str">
        <f aca="false">IF($A46="","",IF(AND($A46=$A45,ISNUMBER(F46)),(C46-C45)*1000/F46,"-"))</f>
        <v/>
      </c>
      <c r="H46" s="47" t="str">
        <f aca="false">IF($A46="","",$B46-INDEX('Animal Register'!$K:$K,MATCH($A46,'Animal Register'!$A:$A,0)))</f>
        <v/>
      </c>
      <c r="I46" s="67" t="str">
        <f aca="false">IF($A46="","",IF(H46=0,"-",(C46-INDEX('Animal Register'!$I:$I,MATCH($A46,'Animal Register'!$A:$A,0)))*1000/H46))</f>
        <v/>
      </c>
      <c r="J46" s="67" t="str">
        <f aca="false">IF($A46="","",INDEX('Animal Register'!$M:$M,MATCH($A46,'Animal Register'!$A:$A,0)))</f>
        <v/>
      </c>
      <c r="K46" s="47" t="str">
        <f aca="false">IF($A46="","",IF(ISNUMBER(I46),IF(I46&gt;=J46*0.9,"On Track","Behind Target"),"-"))</f>
        <v/>
      </c>
    </row>
    <row r="47" customFormat="false" ht="15" hidden="false" customHeight="false" outlineLevel="0" collapsed="false">
      <c r="A47" s="50"/>
      <c r="B47" s="51"/>
      <c r="C47" s="50"/>
      <c r="D47" s="38"/>
      <c r="E47" s="38"/>
      <c r="F47" s="47" t="str">
        <f aca="false">IF($A47="","",IF($A47=$A46,$B47-$B46,"-"))</f>
        <v/>
      </c>
      <c r="G47" s="67" t="str">
        <f aca="false">IF($A47="","",IF(AND($A47=$A46,ISNUMBER(F47)),(C47-C46)*1000/F47,"-"))</f>
        <v/>
      </c>
      <c r="H47" s="47" t="str">
        <f aca="false">IF($A47="","",$B47-INDEX('Animal Register'!$K:$K,MATCH($A47,'Animal Register'!$A:$A,0)))</f>
        <v/>
      </c>
      <c r="I47" s="67" t="str">
        <f aca="false">IF($A47="","",IF(H47=0,"-",(C47-INDEX('Animal Register'!$I:$I,MATCH($A47,'Animal Register'!$A:$A,0)))*1000/H47))</f>
        <v/>
      </c>
      <c r="J47" s="67" t="str">
        <f aca="false">IF($A47="","",INDEX('Animal Register'!$M:$M,MATCH($A47,'Animal Register'!$A:$A,0)))</f>
        <v/>
      </c>
      <c r="K47" s="47" t="str">
        <f aca="false">IF($A47="","",IF(ISNUMBER(I47),IF(I47&gt;=J47*0.9,"On Track","Behind Target"),"-"))</f>
        <v/>
      </c>
    </row>
    <row r="48" customFormat="false" ht="15" hidden="false" customHeight="false" outlineLevel="0" collapsed="false">
      <c r="A48" s="50"/>
      <c r="B48" s="51"/>
      <c r="C48" s="50"/>
      <c r="D48" s="38"/>
      <c r="E48" s="38"/>
      <c r="F48" s="47" t="str">
        <f aca="false">IF($A48="","",IF($A48=$A47,$B48-$B47,"-"))</f>
        <v/>
      </c>
      <c r="G48" s="67" t="str">
        <f aca="false">IF($A48="","",IF(AND($A48=$A47,ISNUMBER(F48)),(C48-C47)*1000/F48,"-"))</f>
        <v/>
      </c>
      <c r="H48" s="47" t="str">
        <f aca="false">IF($A48="","",$B48-INDEX('Animal Register'!$K:$K,MATCH($A48,'Animal Register'!$A:$A,0)))</f>
        <v/>
      </c>
      <c r="I48" s="67" t="str">
        <f aca="false">IF($A48="","",IF(H48=0,"-",(C48-INDEX('Animal Register'!$I:$I,MATCH($A48,'Animal Register'!$A:$A,0)))*1000/H48))</f>
        <v/>
      </c>
      <c r="J48" s="67" t="str">
        <f aca="false">IF($A48="","",INDEX('Animal Register'!$M:$M,MATCH($A48,'Animal Register'!$A:$A,0)))</f>
        <v/>
      </c>
      <c r="K48" s="47" t="str">
        <f aca="false">IF($A48="","",IF(ISNUMBER(I48),IF(I48&gt;=J48*0.9,"On Track","Behind Target"),"-"))</f>
        <v/>
      </c>
    </row>
    <row r="49" customFormat="false" ht="15" hidden="false" customHeight="false" outlineLevel="0" collapsed="false">
      <c r="A49" s="50"/>
      <c r="B49" s="51"/>
      <c r="C49" s="50"/>
      <c r="D49" s="38"/>
      <c r="E49" s="38"/>
      <c r="F49" s="47" t="str">
        <f aca="false">IF($A49="","",IF($A49=$A48,$B49-$B48,"-"))</f>
        <v/>
      </c>
      <c r="G49" s="67" t="str">
        <f aca="false">IF($A49="","",IF(AND($A49=$A48,ISNUMBER(F49)),(C49-C48)*1000/F49,"-"))</f>
        <v/>
      </c>
      <c r="H49" s="47" t="str">
        <f aca="false">IF($A49="","",$B49-INDEX('Animal Register'!$K:$K,MATCH($A49,'Animal Register'!$A:$A,0)))</f>
        <v/>
      </c>
      <c r="I49" s="67" t="str">
        <f aca="false">IF($A49="","",IF(H49=0,"-",(C49-INDEX('Animal Register'!$I:$I,MATCH($A49,'Animal Register'!$A:$A,0)))*1000/H49))</f>
        <v/>
      </c>
      <c r="J49" s="67" t="str">
        <f aca="false">IF($A49="","",INDEX('Animal Register'!$M:$M,MATCH($A49,'Animal Register'!$A:$A,0)))</f>
        <v/>
      </c>
      <c r="K49" s="47" t="str">
        <f aca="false">IF($A49="","",IF(ISNUMBER(I49),IF(I49&gt;=J49*0.9,"On Track","Behind Target"),"-"))</f>
        <v/>
      </c>
    </row>
    <row r="50" customFormat="false" ht="15" hidden="false" customHeight="false" outlineLevel="0" collapsed="false">
      <c r="A50" s="50"/>
      <c r="B50" s="51"/>
      <c r="C50" s="50"/>
      <c r="D50" s="38"/>
      <c r="E50" s="38"/>
      <c r="F50" s="47" t="str">
        <f aca="false">IF($A50="","",IF($A50=$A49,$B50-$B49,"-"))</f>
        <v/>
      </c>
      <c r="G50" s="67" t="str">
        <f aca="false">IF($A50="","",IF(AND($A50=$A49,ISNUMBER(F50)),(C50-C49)*1000/F50,"-"))</f>
        <v/>
      </c>
      <c r="H50" s="47" t="str">
        <f aca="false">IF($A50="","",$B50-INDEX('Animal Register'!$K:$K,MATCH($A50,'Animal Register'!$A:$A,0)))</f>
        <v/>
      </c>
      <c r="I50" s="67" t="str">
        <f aca="false">IF($A50="","",IF(H50=0,"-",(C50-INDEX('Animal Register'!$I:$I,MATCH($A50,'Animal Register'!$A:$A,0)))*1000/H50))</f>
        <v/>
      </c>
      <c r="J50" s="67" t="str">
        <f aca="false">IF($A50="","",INDEX('Animal Register'!$M:$M,MATCH($A50,'Animal Register'!$A:$A,0)))</f>
        <v/>
      </c>
      <c r="K50" s="47" t="str">
        <f aca="false">IF($A50="","",IF(ISNUMBER(I50),IF(I50&gt;=J50*0.9,"On Track","Behind Target"),"-"))</f>
        <v/>
      </c>
    </row>
    <row r="51" customFormat="false" ht="15" hidden="false" customHeight="false" outlineLevel="0" collapsed="false">
      <c r="A51" s="50"/>
      <c r="B51" s="51"/>
      <c r="C51" s="50"/>
      <c r="D51" s="38"/>
      <c r="E51" s="38"/>
      <c r="F51" s="47" t="str">
        <f aca="false">IF($A51="","",IF($A51=$A50,$B51-$B50,"-"))</f>
        <v/>
      </c>
      <c r="G51" s="67" t="str">
        <f aca="false">IF($A51="","",IF(AND($A51=$A50,ISNUMBER(F51)),(C51-C50)*1000/F51,"-"))</f>
        <v/>
      </c>
      <c r="H51" s="47" t="str">
        <f aca="false">IF($A51="","",$B51-INDEX('Animal Register'!$K:$K,MATCH($A51,'Animal Register'!$A:$A,0)))</f>
        <v/>
      </c>
      <c r="I51" s="67" t="str">
        <f aca="false">IF($A51="","",IF(H51=0,"-",(C51-INDEX('Animal Register'!$I:$I,MATCH($A51,'Animal Register'!$A:$A,0)))*1000/H51))</f>
        <v/>
      </c>
      <c r="J51" s="67" t="str">
        <f aca="false">IF($A51="","",INDEX('Animal Register'!$M:$M,MATCH($A51,'Animal Register'!$A:$A,0)))</f>
        <v/>
      </c>
      <c r="K51" s="47" t="str">
        <f aca="false">IF($A51="","",IF(ISNUMBER(I51),IF(I51&gt;=J51*0.9,"On Track","Behind Target"),"-"))</f>
        <v/>
      </c>
    </row>
    <row r="52" customFormat="false" ht="15" hidden="false" customHeight="false" outlineLevel="0" collapsed="false">
      <c r="A52" s="50"/>
      <c r="B52" s="51"/>
      <c r="C52" s="50"/>
      <c r="D52" s="38"/>
      <c r="E52" s="38"/>
      <c r="F52" s="47" t="str">
        <f aca="false">IF($A52="","",IF($A52=$A51,$B52-$B51,"-"))</f>
        <v/>
      </c>
      <c r="G52" s="67" t="str">
        <f aca="false">IF($A52="","",IF(AND($A52=$A51,ISNUMBER(F52)),(C52-C51)*1000/F52,"-"))</f>
        <v/>
      </c>
      <c r="H52" s="47" t="str">
        <f aca="false">IF($A52="","",$B52-INDEX('Animal Register'!$K:$K,MATCH($A52,'Animal Register'!$A:$A,0)))</f>
        <v/>
      </c>
      <c r="I52" s="67" t="str">
        <f aca="false">IF($A52="","",IF(H52=0,"-",(C52-INDEX('Animal Register'!$I:$I,MATCH($A52,'Animal Register'!$A:$A,0)))*1000/H52))</f>
        <v/>
      </c>
      <c r="J52" s="67" t="str">
        <f aca="false">IF($A52="","",INDEX('Animal Register'!$M:$M,MATCH($A52,'Animal Register'!$A:$A,0)))</f>
        <v/>
      </c>
      <c r="K52" s="47" t="str">
        <f aca="false">IF($A52="","",IF(ISNUMBER(I52),IF(I52&gt;=J52*0.9,"On Track","Behind Target"),"-"))</f>
        <v/>
      </c>
    </row>
    <row r="53" customFormat="false" ht="15" hidden="false" customHeight="false" outlineLevel="0" collapsed="false">
      <c r="A53" s="50"/>
      <c r="B53" s="51"/>
      <c r="C53" s="50"/>
      <c r="D53" s="38"/>
      <c r="E53" s="38"/>
      <c r="F53" s="47" t="str">
        <f aca="false">IF($A53="","",IF($A53=$A52,$B53-$B52,"-"))</f>
        <v/>
      </c>
      <c r="G53" s="67" t="str">
        <f aca="false">IF($A53="","",IF(AND($A53=$A52,ISNUMBER(F53)),(C53-C52)*1000/F53,"-"))</f>
        <v/>
      </c>
      <c r="H53" s="47" t="str">
        <f aca="false">IF($A53="","",$B53-INDEX('Animal Register'!$K:$K,MATCH($A53,'Animal Register'!$A:$A,0)))</f>
        <v/>
      </c>
      <c r="I53" s="67" t="str">
        <f aca="false">IF($A53="","",IF(H53=0,"-",(C53-INDEX('Animal Register'!$I:$I,MATCH($A53,'Animal Register'!$A:$A,0)))*1000/H53))</f>
        <v/>
      </c>
      <c r="J53" s="67" t="str">
        <f aca="false">IF($A53="","",INDEX('Animal Register'!$M:$M,MATCH($A53,'Animal Register'!$A:$A,0)))</f>
        <v/>
      </c>
      <c r="K53" s="47" t="str">
        <f aca="false">IF($A53="","",IF(ISNUMBER(I53),IF(I53&gt;=J53*0.9,"On Track","Behind Target"),"-"))</f>
        <v/>
      </c>
    </row>
    <row r="54" customFormat="false" ht="15" hidden="false" customHeight="false" outlineLevel="0" collapsed="false">
      <c r="A54" s="50"/>
      <c r="B54" s="51"/>
      <c r="C54" s="50"/>
      <c r="D54" s="38"/>
      <c r="E54" s="38"/>
      <c r="F54" s="47" t="str">
        <f aca="false">IF($A54="","",IF($A54=$A53,$B54-$B53,"-"))</f>
        <v/>
      </c>
      <c r="G54" s="67" t="str">
        <f aca="false">IF($A54="","",IF(AND($A54=$A53,ISNUMBER(F54)),(C54-C53)*1000/F54,"-"))</f>
        <v/>
      </c>
      <c r="H54" s="47" t="str">
        <f aca="false">IF($A54="","",$B54-INDEX('Animal Register'!$K:$K,MATCH($A54,'Animal Register'!$A:$A,0)))</f>
        <v/>
      </c>
      <c r="I54" s="67" t="str">
        <f aca="false">IF($A54="","",IF(H54=0,"-",(C54-INDEX('Animal Register'!$I:$I,MATCH($A54,'Animal Register'!$A:$A,0)))*1000/H54))</f>
        <v/>
      </c>
      <c r="J54" s="67" t="str">
        <f aca="false">IF($A54="","",INDEX('Animal Register'!$M:$M,MATCH($A54,'Animal Register'!$A:$A,0)))</f>
        <v/>
      </c>
      <c r="K54" s="47" t="str">
        <f aca="false">IF($A54="","",IF(ISNUMBER(I54),IF(I54&gt;=J54*0.9,"On Track","Behind Target"),"-"))</f>
        <v/>
      </c>
    </row>
    <row r="55" customFormat="false" ht="15" hidden="false" customHeight="false" outlineLevel="0" collapsed="false">
      <c r="A55" s="50"/>
      <c r="B55" s="51"/>
      <c r="C55" s="50"/>
      <c r="D55" s="38"/>
      <c r="E55" s="38"/>
      <c r="F55" s="47" t="str">
        <f aca="false">IF($A55="","",IF($A55=$A54,$B55-$B54,"-"))</f>
        <v/>
      </c>
      <c r="G55" s="67" t="str">
        <f aca="false">IF($A55="","",IF(AND($A55=$A54,ISNUMBER(F55)),(C55-C54)*1000/F55,"-"))</f>
        <v/>
      </c>
      <c r="H55" s="47" t="str">
        <f aca="false">IF($A55="","",$B55-INDEX('Animal Register'!$K:$K,MATCH($A55,'Animal Register'!$A:$A,0)))</f>
        <v/>
      </c>
      <c r="I55" s="67" t="str">
        <f aca="false">IF($A55="","",IF(H55=0,"-",(C55-INDEX('Animal Register'!$I:$I,MATCH($A55,'Animal Register'!$A:$A,0)))*1000/H55))</f>
        <v/>
      </c>
      <c r="J55" s="67" t="str">
        <f aca="false">IF($A55="","",INDEX('Animal Register'!$M:$M,MATCH($A55,'Animal Register'!$A:$A,0)))</f>
        <v/>
      </c>
      <c r="K55" s="47" t="str">
        <f aca="false">IF($A55="","",IF(ISNUMBER(I55),IF(I55&gt;=J55*0.9,"On Track","Behind Target"),"-"))</f>
        <v/>
      </c>
    </row>
    <row r="56" customFormat="false" ht="15" hidden="false" customHeight="false" outlineLevel="0" collapsed="false">
      <c r="A56" s="50"/>
      <c r="B56" s="51"/>
      <c r="C56" s="50"/>
      <c r="D56" s="38"/>
      <c r="E56" s="38"/>
      <c r="F56" s="47" t="str">
        <f aca="false">IF($A56="","",IF($A56=$A55,$B56-$B55,"-"))</f>
        <v/>
      </c>
      <c r="G56" s="67" t="str">
        <f aca="false">IF($A56="","",IF(AND($A56=$A55,ISNUMBER(F56)),(C56-C55)*1000/F56,"-"))</f>
        <v/>
      </c>
      <c r="H56" s="47" t="str">
        <f aca="false">IF($A56="","",$B56-INDEX('Animal Register'!$K:$K,MATCH($A56,'Animal Register'!$A:$A,0)))</f>
        <v/>
      </c>
      <c r="I56" s="67" t="str">
        <f aca="false">IF($A56="","",IF(H56=0,"-",(C56-INDEX('Animal Register'!$I:$I,MATCH($A56,'Animal Register'!$A:$A,0)))*1000/H56))</f>
        <v/>
      </c>
      <c r="J56" s="67" t="str">
        <f aca="false">IF($A56="","",INDEX('Animal Register'!$M:$M,MATCH($A56,'Animal Register'!$A:$A,0)))</f>
        <v/>
      </c>
      <c r="K56" s="47" t="str">
        <f aca="false">IF($A56="","",IF(ISNUMBER(I56),IF(I56&gt;=J56*0.9,"On Track","Behind Target"),"-"))</f>
        <v/>
      </c>
    </row>
    <row r="57" customFormat="false" ht="15" hidden="false" customHeight="false" outlineLevel="0" collapsed="false">
      <c r="A57" s="50"/>
      <c r="B57" s="51"/>
      <c r="C57" s="50"/>
      <c r="D57" s="38"/>
      <c r="E57" s="38"/>
      <c r="F57" s="47" t="str">
        <f aca="false">IF($A57="","",IF($A57=$A56,$B57-$B56,"-"))</f>
        <v/>
      </c>
      <c r="G57" s="67" t="str">
        <f aca="false">IF($A57="","",IF(AND($A57=$A56,ISNUMBER(F57)),(C57-C56)*1000/F57,"-"))</f>
        <v/>
      </c>
      <c r="H57" s="47" t="str">
        <f aca="false">IF($A57="","",$B57-INDEX('Animal Register'!$K:$K,MATCH($A57,'Animal Register'!$A:$A,0)))</f>
        <v/>
      </c>
      <c r="I57" s="67" t="str">
        <f aca="false">IF($A57="","",IF(H57=0,"-",(C57-INDEX('Animal Register'!$I:$I,MATCH($A57,'Animal Register'!$A:$A,0)))*1000/H57))</f>
        <v/>
      </c>
      <c r="J57" s="67" t="str">
        <f aca="false">IF($A57="","",INDEX('Animal Register'!$M:$M,MATCH($A57,'Animal Register'!$A:$A,0)))</f>
        <v/>
      </c>
      <c r="K57" s="47" t="str">
        <f aca="false">IF($A57="","",IF(ISNUMBER(I57),IF(I57&gt;=J57*0.9,"On Track","Behind Target"),"-"))</f>
        <v/>
      </c>
    </row>
    <row r="58" customFormat="false" ht="15" hidden="false" customHeight="false" outlineLevel="0" collapsed="false">
      <c r="A58" s="50"/>
      <c r="B58" s="51"/>
      <c r="C58" s="50"/>
      <c r="D58" s="38"/>
      <c r="E58" s="38"/>
      <c r="F58" s="47" t="str">
        <f aca="false">IF($A58="","",IF($A58=$A57,$B58-$B57,"-"))</f>
        <v/>
      </c>
      <c r="G58" s="67" t="str">
        <f aca="false">IF($A58="","",IF(AND($A58=$A57,ISNUMBER(F58)),(C58-C57)*1000/F58,"-"))</f>
        <v/>
      </c>
      <c r="H58" s="47" t="str">
        <f aca="false">IF($A58="","",$B58-INDEX('Animal Register'!$K:$K,MATCH($A58,'Animal Register'!$A:$A,0)))</f>
        <v/>
      </c>
      <c r="I58" s="67" t="str">
        <f aca="false">IF($A58="","",IF(H58=0,"-",(C58-INDEX('Animal Register'!$I:$I,MATCH($A58,'Animal Register'!$A:$A,0)))*1000/H58))</f>
        <v/>
      </c>
      <c r="J58" s="67" t="str">
        <f aca="false">IF($A58="","",INDEX('Animal Register'!$M:$M,MATCH($A58,'Animal Register'!$A:$A,0)))</f>
        <v/>
      </c>
      <c r="K58" s="47" t="str">
        <f aca="false">IF($A58="","",IF(ISNUMBER(I58),IF(I58&gt;=J58*0.9,"On Track","Behind Target"),"-"))</f>
        <v/>
      </c>
    </row>
    <row r="59" customFormat="false" ht="15" hidden="false" customHeight="false" outlineLevel="0" collapsed="false">
      <c r="A59" s="50"/>
      <c r="B59" s="51"/>
      <c r="C59" s="50"/>
      <c r="D59" s="38"/>
      <c r="E59" s="38"/>
      <c r="F59" s="47" t="str">
        <f aca="false">IF($A59="","",IF($A59=$A58,$B59-$B58,"-"))</f>
        <v/>
      </c>
      <c r="G59" s="67" t="str">
        <f aca="false">IF($A59="","",IF(AND($A59=$A58,ISNUMBER(F59)),(C59-C58)*1000/F59,"-"))</f>
        <v/>
      </c>
      <c r="H59" s="47" t="str">
        <f aca="false">IF($A59="","",$B59-INDEX('Animal Register'!$K:$K,MATCH($A59,'Animal Register'!$A:$A,0)))</f>
        <v/>
      </c>
      <c r="I59" s="67" t="str">
        <f aca="false">IF($A59="","",IF(H59=0,"-",(C59-INDEX('Animal Register'!$I:$I,MATCH($A59,'Animal Register'!$A:$A,0)))*1000/H59))</f>
        <v/>
      </c>
      <c r="J59" s="67" t="str">
        <f aca="false">IF($A59="","",INDEX('Animal Register'!$M:$M,MATCH($A59,'Animal Register'!$A:$A,0)))</f>
        <v/>
      </c>
      <c r="K59" s="47" t="str">
        <f aca="false">IF($A59="","",IF(ISNUMBER(I59),IF(I59&gt;=J59*0.9,"On Track","Behind Target"),"-"))</f>
        <v/>
      </c>
    </row>
    <row r="60" customFormat="false" ht="15" hidden="false" customHeight="false" outlineLevel="0" collapsed="false">
      <c r="A60" s="50"/>
      <c r="B60" s="51"/>
      <c r="C60" s="50"/>
      <c r="D60" s="38"/>
      <c r="E60" s="38"/>
      <c r="F60" s="47" t="str">
        <f aca="false">IF($A60="","",IF($A60=$A59,$B60-$B59,"-"))</f>
        <v/>
      </c>
      <c r="G60" s="67" t="str">
        <f aca="false">IF($A60="","",IF(AND($A60=$A59,ISNUMBER(F60)),(C60-C59)*1000/F60,"-"))</f>
        <v/>
      </c>
      <c r="H60" s="47" t="str">
        <f aca="false">IF($A60="","",$B60-INDEX('Animal Register'!$K:$K,MATCH($A60,'Animal Register'!$A:$A,0)))</f>
        <v/>
      </c>
      <c r="I60" s="67" t="str">
        <f aca="false">IF($A60="","",IF(H60=0,"-",(C60-INDEX('Animal Register'!$I:$I,MATCH($A60,'Animal Register'!$A:$A,0)))*1000/H60))</f>
        <v/>
      </c>
      <c r="J60" s="67" t="str">
        <f aca="false">IF($A60="","",INDEX('Animal Register'!$M:$M,MATCH($A60,'Animal Register'!$A:$A,0)))</f>
        <v/>
      </c>
      <c r="K60" s="47" t="str">
        <f aca="false">IF($A60="","",IF(ISNUMBER(I60),IF(I60&gt;=J60*0.9,"On Track","Behind Target"),"-"))</f>
        <v/>
      </c>
    </row>
    <row r="61" customFormat="false" ht="15" hidden="false" customHeight="false" outlineLevel="0" collapsed="false">
      <c r="A61" s="50"/>
      <c r="B61" s="51"/>
      <c r="C61" s="50"/>
      <c r="D61" s="38"/>
      <c r="E61" s="38"/>
      <c r="F61" s="47" t="str">
        <f aca="false">IF($A61="","",IF($A61=$A60,$B61-$B60,"-"))</f>
        <v/>
      </c>
      <c r="G61" s="67" t="str">
        <f aca="false">IF($A61="","",IF(AND($A61=$A60,ISNUMBER(F61)),(C61-C60)*1000/F61,"-"))</f>
        <v/>
      </c>
      <c r="H61" s="47" t="str">
        <f aca="false">IF($A61="","",$B61-INDEX('Animal Register'!$K:$K,MATCH($A61,'Animal Register'!$A:$A,0)))</f>
        <v/>
      </c>
      <c r="I61" s="67" t="str">
        <f aca="false">IF($A61="","",IF(H61=0,"-",(C61-INDEX('Animal Register'!$I:$I,MATCH($A61,'Animal Register'!$A:$A,0)))*1000/H61))</f>
        <v/>
      </c>
      <c r="J61" s="67" t="str">
        <f aca="false">IF($A61="","",INDEX('Animal Register'!$M:$M,MATCH($A61,'Animal Register'!$A:$A,0)))</f>
        <v/>
      </c>
      <c r="K61" s="47" t="str">
        <f aca="false">IF($A61="","",IF(ISNUMBER(I61),IF(I61&gt;=J61*0.9,"On Track","Behind Target"),"-"))</f>
        <v/>
      </c>
    </row>
    <row r="62" customFormat="false" ht="15" hidden="false" customHeight="false" outlineLevel="0" collapsed="false">
      <c r="A62" s="50"/>
      <c r="B62" s="51"/>
      <c r="C62" s="50"/>
      <c r="D62" s="38"/>
      <c r="E62" s="38"/>
      <c r="F62" s="47" t="str">
        <f aca="false">IF($A62="","",IF($A62=$A61,$B62-$B61,"-"))</f>
        <v/>
      </c>
      <c r="G62" s="67" t="str">
        <f aca="false">IF($A62="","",IF(AND($A62=$A61,ISNUMBER(F62)),(C62-C61)*1000/F62,"-"))</f>
        <v/>
      </c>
      <c r="H62" s="47" t="str">
        <f aca="false">IF($A62="","",$B62-INDEX('Animal Register'!$K:$K,MATCH($A62,'Animal Register'!$A:$A,0)))</f>
        <v/>
      </c>
      <c r="I62" s="67" t="str">
        <f aca="false">IF($A62="","",IF(H62=0,"-",(C62-INDEX('Animal Register'!$I:$I,MATCH($A62,'Animal Register'!$A:$A,0)))*1000/H62))</f>
        <v/>
      </c>
      <c r="J62" s="67" t="str">
        <f aca="false">IF($A62="","",INDEX('Animal Register'!$M:$M,MATCH($A62,'Animal Register'!$A:$A,0)))</f>
        <v/>
      </c>
      <c r="K62" s="47" t="str">
        <f aca="false">IF($A62="","",IF(ISNUMBER(I62),IF(I62&gt;=J62*0.9,"On Track","Behind Target"),"-"))</f>
        <v/>
      </c>
    </row>
    <row r="63" customFormat="false" ht="15" hidden="false" customHeight="false" outlineLevel="0" collapsed="false">
      <c r="A63" s="50"/>
      <c r="B63" s="51"/>
      <c r="C63" s="50"/>
      <c r="D63" s="38"/>
      <c r="E63" s="38"/>
      <c r="F63" s="47" t="str">
        <f aca="false">IF($A63="","",IF($A63=$A62,$B63-$B62,"-"))</f>
        <v/>
      </c>
      <c r="G63" s="67" t="str">
        <f aca="false">IF($A63="","",IF(AND($A63=$A62,ISNUMBER(F63)),(C63-C62)*1000/F63,"-"))</f>
        <v/>
      </c>
      <c r="H63" s="47" t="str">
        <f aca="false">IF($A63="","",$B63-INDEX('Animal Register'!$K:$K,MATCH($A63,'Animal Register'!$A:$A,0)))</f>
        <v/>
      </c>
      <c r="I63" s="67" t="str">
        <f aca="false">IF($A63="","",IF(H63=0,"-",(C63-INDEX('Animal Register'!$I:$I,MATCH($A63,'Animal Register'!$A:$A,0)))*1000/H63))</f>
        <v/>
      </c>
      <c r="J63" s="67" t="str">
        <f aca="false">IF($A63="","",INDEX('Animal Register'!$M:$M,MATCH($A63,'Animal Register'!$A:$A,0)))</f>
        <v/>
      </c>
      <c r="K63" s="47" t="str">
        <f aca="false">IF($A63="","",IF(ISNUMBER(I63),IF(I63&gt;=J63*0.9,"On Track","Behind Target"),"-"))</f>
        <v/>
      </c>
    </row>
    <row r="64" customFormat="false" ht="15" hidden="false" customHeight="false" outlineLevel="0" collapsed="false">
      <c r="A64" s="50"/>
      <c r="B64" s="51"/>
      <c r="C64" s="50"/>
      <c r="D64" s="38"/>
      <c r="E64" s="38"/>
      <c r="F64" s="47" t="str">
        <f aca="false">IF($A64="","",IF($A64=$A63,$B64-$B63,"-"))</f>
        <v/>
      </c>
      <c r="G64" s="67" t="str">
        <f aca="false">IF($A64="","",IF(AND($A64=$A63,ISNUMBER(F64)),(C64-C63)*1000/F64,"-"))</f>
        <v/>
      </c>
      <c r="H64" s="47" t="str">
        <f aca="false">IF($A64="","",$B64-INDEX('Animal Register'!$K:$K,MATCH($A64,'Animal Register'!$A:$A,0)))</f>
        <v/>
      </c>
      <c r="I64" s="67" t="str">
        <f aca="false">IF($A64="","",IF(H64=0,"-",(C64-INDEX('Animal Register'!$I:$I,MATCH($A64,'Animal Register'!$A:$A,0)))*1000/H64))</f>
        <v/>
      </c>
      <c r="J64" s="67" t="str">
        <f aca="false">IF($A64="","",INDEX('Animal Register'!$M:$M,MATCH($A64,'Animal Register'!$A:$A,0)))</f>
        <v/>
      </c>
      <c r="K64" s="47" t="str">
        <f aca="false">IF($A64="","",IF(ISNUMBER(I64),IF(I64&gt;=J64*0.9,"On Track","Behind Target"),"-"))</f>
        <v/>
      </c>
    </row>
    <row r="65" customFormat="false" ht="15" hidden="false" customHeight="false" outlineLevel="0" collapsed="false">
      <c r="A65" s="50"/>
      <c r="B65" s="51"/>
      <c r="C65" s="50"/>
      <c r="D65" s="38"/>
      <c r="E65" s="38"/>
      <c r="F65" s="47" t="str">
        <f aca="false">IF($A65="","",IF($A65=$A64,$B65-$B64,"-"))</f>
        <v/>
      </c>
      <c r="G65" s="67" t="str">
        <f aca="false">IF($A65="","",IF(AND($A65=$A64,ISNUMBER(F65)),(C65-C64)*1000/F65,"-"))</f>
        <v/>
      </c>
      <c r="H65" s="47" t="str">
        <f aca="false">IF($A65="","",$B65-INDEX('Animal Register'!$K:$K,MATCH($A65,'Animal Register'!$A:$A,0)))</f>
        <v/>
      </c>
      <c r="I65" s="67" t="str">
        <f aca="false">IF($A65="","",IF(H65=0,"-",(C65-INDEX('Animal Register'!$I:$I,MATCH($A65,'Animal Register'!$A:$A,0)))*1000/H65))</f>
        <v/>
      </c>
      <c r="J65" s="67" t="str">
        <f aca="false">IF($A65="","",INDEX('Animal Register'!$M:$M,MATCH($A65,'Animal Register'!$A:$A,0)))</f>
        <v/>
      </c>
      <c r="K65" s="47" t="str">
        <f aca="false">IF($A65="","",IF(ISNUMBER(I65),IF(I65&gt;=J65*0.9,"On Track","Behind Target"),"-"))</f>
        <v/>
      </c>
    </row>
    <row r="66" customFormat="false" ht="15" hidden="false" customHeight="false" outlineLevel="0" collapsed="false">
      <c r="A66" s="50"/>
      <c r="B66" s="51"/>
      <c r="C66" s="50"/>
      <c r="D66" s="38"/>
      <c r="E66" s="38"/>
      <c r="F66" s="47" t="str">
        <f aca="false">IF($A66="","",IF($A66=$A65,$B66-$B65,"-"))</f>
        <v/>
      </c>
      <c r="G66" s="67" t="str">
        <f aca="false">IF($A66="","",IF(AND($A66=$A65,ISNUMBER(F66)),(C66-C65)*1000/F66,"-"))</f>
        <v/>
      </c>
      <c r="H66" s="47" t="str">
        <f aca="false">IF($A66="","",$B66-INDEX('Animal Register'!$K:$K,MATCH($A66,'Animal Register'!$A:$A,0)))</f>
        <v/>
      </c>
      <c r="I66" s="67" t="str">
        <f aca="false">IF($A66="","",IF(H66=0,"-",(C66-INDEX('Animal Register'!$I:$I,MATCH($A66,'Animal Register'!$A:$A,0)))*1000/H66))</f>
        <v/>
      </c>
      <c r="J66" s="67" t="str">
        <f aca="false">IF($A66="","",INDEX('Animal Register'!$M:$M,MATCH($A66,'Animal Register'!$A:$A,0)))</f>
        <v/>
      </c>
      <c r="K66" s="47" t="str">
        <f aca="false">IF($A66="","",IF(ISNUMBER(I66),IF(I66&gt;=J66*0.9,"On Track","Behind Target"),"-"))</f>
        <v/>
      </c>
    </row>
    <row r="67" customFormat="false" ht="15" hidden="false" customHeight="false" outlineLevel="0" collapsed="false">
      <c r="A67" s="50"/>
      <c r="B67" s="51"/>
      <c r="C67" s="50"/>
      <c r="D67" s="38"/>
      <c r="E67" s="38"/>
      <c r="F67" s="47" t="str">
        <f aca="false">IF($A67="","",IF($A67=$A66,$B67-$B66,"-"))</f>
        <v/>
      </c>
      <c r="G67" s="67" t="str">
        <f aca="false">IF($A67="","",IF(AND($A67=$A66,ISNUMBER(F67)),(C67-C66)*1000/F67,"-"))</f>
        <v/>
      </c>
      <c r="H67" s="47" t="str">
        <f aca="false">IF($A67="","",$B67-INDEX('Animal Register'!$K:$K,MATCH($A67,'Animal Register'!$A:$A,0)))</f>
        <v/>
      </c>
      <c r="I67" s="67" t="str">
        <f aca="false">IF($A67="","",IF(H67=0,"-",(C67-INDEX('Animal Register'!$I:$I,MATCH($A67,'Animal Register'!$A:$A,0)))*1000/H67))</f>
        <v/>
      </c>
      <c r="J67" s="67" t="str">
        <f aca="false">IF($A67="","",INDEX('Animal Register'!$M:$M,MATCH($A67,'Animal Register'!$A:$A,0)))</f>
        <v/>
      </c>
      <c r="K67" s="47" t="str">
        <f aca="false">IF($A67="","",IF(ISNUMBER(I67),IF(I67&gt;=J67*0.9,"On Track","Behind Target"),"-"))</f>
        <v/>
      </c>
    </row>
    <row r="68" customFormat="false" ht="15" hidden="false" customHeight="false" outlineLevel="0" collapsed="false">
      <c r="A68" s="50"/>
      <c r="B68" s="51"/>
      <c r="C68" s="50"/>
      <c r="D68" s="38"/>
      <c r="E68" s="38"/>
      <c r="F68" s="47" t="str">
        <f aca="false">IF($A68="","",IF($A68=$A67,$B68-$B67,"-"))</f>
        <v/>
      </c>
      <c r="G68" s="67" t="str">
        <f aca="false">IF($A68="","",IF(AND($A68=$A67,ISNUMBER(F68)),(C68-C67)*1000/F68,"-"))</f>
        <v/>
      </c>
      <c r="H68" s="47" t="str">
        <f aca="false">IF($A68="","",$B68-INDEX('Animal Register'!$K:$K,MATCH($A68,'Animal Register'!$A:$A,0)))</f>
        <v/>
      </c>
      <c r="I68" s="67" t="str">
        <f aca="false">IF($A68="","",IF(H68=0,"-",(C68-INDEX('Animal Register'!$I:$I,MATCH($A68,'Animal Register'!$A:$A,0)))*1000/H68))</f>
        <v/>
      </c>
      <c r="J68" s="67" t="str">
        <f aca="false">IF($A68="","",INDEX('Animal Register'!$M:$M,MATCH($A68,'Animal Register'!$A:$A,0)))</f>
        <v/>
      </c>
      <c r="K68" s="47" t="str">
        <f aca="false">IF($A68="","",IF(ISNUMBER(I68),IF(I68&gt;=J68*0.9,"On Track","Behind Target"),"-"))</f>
        <v/>
      </c>
    </row>
    <row r="69" customFormat="false" ht="15" hidden="false" customHeight="false" outlineLevel="0" collapsed="false">
      <c r="A69" s="50"/>
      <c r="B69" s="51"/>
      <c r="C69" s="50"/>
      <c r="D69" s="38"/>
      <c r="E69" s="38"/>
      <c r="F69" s="47" t="str">
        <f aca="false">IF($A69="","",IF($A69=$A68,$B69-$B68,"-"))</f>
        <v/>
      </c>
      <c r="G69" s="67" t="str">
        <f aca="false">IF($A69="","",IF(AND($A69=$A68,ISNUMBER(F69)),(C69-C68)*1000/F69,"-"))</f>
        <v/>
      </c>
      <c r="H69" s="47" t="str">
        <f aca="false">IF($A69="","",$B69-INDEX('Animal Register'!$K:$K,MATCH($A69,'Animal Register'!$A:$A,0)))</f>
        <v/>
      </c>
      <c r="I69" s="67" t="str">
        <f aca="false">IF($A69="","",IF(H69=0,"-",(C69-INDEX('Animal Register'!$I:$I,MATCH($A69,'Animal Register'!$A:$A,0)))*1000/H69))</f>
        <v/>
      </c>
      <c r="J69" s="67" t="str">
        <f aca="false">IF($A69="","",INDEX('Animal Register'!$M:$M,MATCH($A69,'Animal Register'!$A:$A,0)))</f>
        <v/>
      </c>
      <c r="K69" s="47" t="str">
        <f aca="false">IF($A69="","",IF(ISNUMBER(I69),IF(I69&gt;=J69*0.9,"On Track","Behind Target"),"-"))</f>
        <v/>
      </c>
    </row>
    <row r="70" customFormat="false" ht="15" hidden="false" customHeight="false" outlineLevel="0" collapsed="false">
      <c r="A70" s="50"/>
      <c r="B70" s="51"/>
      <c r="C70" s="50"/>
      <c r="D70" s="38"/>
      <c r="E70" s="38"/>
      <c r="F70" s="47" t="str">
        <f aca="false">IF($A70="","",IF($A70=$A69,$B70-$B69,"-"))</f>
        <v/>
      </c>
      <c r="G70" s="67" t="str">
        <f aca="false">IF($A70="","",IF(AND($A70=$A69,ISNUMBER(F70)),(C70-C69)*1000/F70,"-"))</f>
        <v/>
      </c>
      <c r="H70" s="47" t="str">
        <f aca="false">IF($A70="","",$B70-INDEX('Animal Register'!$K:$K,MATCH($A70,'Animal Register'!$A:$A,0)))</f>
        <v/>
      </c>
      <c r="I70" s="67" t="str">
        <f aca="false">IF($A70="","",IF(H70=0,"-",(C70-INDEX('Animal Register'!$I:$I,MATCH($A70,'Animal Register'!$A:$A,0)))*1000/H70))</f>
        <v/>
      </c>
      <c r="J70" s="67" t="str">
        <f aca="false">IF($A70="","",INDEX('Animal Register'!$M:$M,MATCH($A70,'Animal Register'!$A:$A,0)))</f>
        <v/>
      </c>
      <c r="K70" s="47" t="str">
        <f aca="false">IF($A70="","",IF(ISNUMBER(I70),IF(I70&gt;=J70*0.9,"On Track","Behind Target"),"-"))</f>
        <v/>
      </c>
    </row>
    <row r="71" customFormat="false" ht="15" hidden="false" customHeight="false" outlineLevel="0" collapsed="false">
      <c r="A71" s="50"/>
      <c r="B71" s="51"/>
      <c r="C71" s="50"/>
      <c r="D71" s="38"/>
      <c r="E71" s="38"/>
      <c r="F71" s="47" t="str">
        <f aca="false">IF($A71="","",IF($A71=$A70,$B71-$B70,"-"))</f>
        <v/>
      </c>
      <c r="G71" s="67" t="str">
        <f aca="false">IF($A71="","",IF(AND($A71=$A70,ISNUMBER(F71)),(C71-C70)*1000/F71,"-"))</f>
        <v/>
      </c>
      <c r="H71" s="47" t="str">
        <f aca="false">IF($A71="","",$B71-INDEX('Animal Register'!$K:$K,MATCH($A71,'Animal Register'!$A:$A,0)))</f>
        <v/>
      </c>
      <c r="I71" s="67" t="str">
        <f aca="false">IF($A71="","",IF(H71=0,"-",(C71-INDEX('Animal Register'!$I:$I,MATCH($A71,'Animal Register'!$A:$A,0)))*1000/H71))</f>
        <v/>
      </c>
      <c r="J71" s="67" t="str">
        <f aca="false">IF($A71="","",INDEX('Animal Register'!$M:$M,MATCH($A71,'Animal Register'!$A:$A,0)))</f>
        <v/>
      </c>
      <c r="K71" s="47" t="str">
        <f aca="false">IF($A71="","",IF(ISNUMBER(I71),IF(I71&gt;=J71*0.9,"On Track","Behind Target"),"-"))</f>
        <v/>
      </c>
    </row>
    <row r="72" customFormat="false" ht="15" hidden="false" customHeight="false" outlineLevel="0" collapsed="false">
      <c r="A72" s="50"/>
      <c r="B72" s="51"/>
      <c r="C72" s="50"/>
      <c r="D72" s="38"/>
      <c r="E72" s="38"/>
      <c r="F72" s="47" t="str">
        <f aca="false">IF($A72="","",IF($A72=$A71,$B72-$B71,"-"))</f>
        <v/>
      </c>
      <c r="G72" s="67" t="str">
        <f aca="false">IF($A72="","",IF(AND($A72=$A71,ISNUMBER(F72)),(C72-C71)*1000/F72,"-"))</f>
        <v/>
      </c>
      <c r="H72" s="47" t="str">
        <f aca="false">IF($A72="","",$B72-INDEX('Animal Register'!$K:$K,MATCH($A72,'Animal Register'!$A:$A,0)))</f>
        <v/>
      </c>
      <c r="I72" s="67" t="str">
        <f aca="false">IF($A72="","",IF(H72=0,"-",(C72-INDEX('Animal Register'!$I:$I,MATCH($A72,'Animal Register'!$A:$A,0)))*1000/H72))</f>
        <v/>
      </c>
      <c r="J72" s="67" t="str">
        <f aca="false">IF($A72="","",INDEX('Animal Register'!$M:$M,MATCH($A72,'Animal Register'!$A:$A,0)))</f>
        <v/>
      </c>
      <c r="K72" s="47" t="str">
        <f aca="false">IF($A72="","",IF(ISNUMBER(I72),IF(I72&gt;=J72*0.9,"On Track","Behind Target"),"-"))</f>
        <v/>
      </c>
    </row>
    <row r="73" customFormat="false" ht="15" hidden="false" customHeight="false" outlineLevel="0" collapsed="false">
      <c r="A73" s="50"/>
      <c r="B73" s="51"/>
      <c r="C73" s="50"/>
      <c r="D73" s="38"/>
      <c r="E73" s="38"/>
      <c r="F73" s="47" t="str">
        <f aca="false">IF($A73="","",IF($A73=$A72,$B73-$B72,"-"))</f>
        <v/>
      </c>
      <c r="G73" s="67" t="str">
        <f aca="false">IF($A73="","",IF(AND($A73=$A72,ISNUMBER(F73)),(C73-C72)*1000/F73,"-"))</f>
        <v/>
      </c>
      <c r="H73" s="47" t="str">
        <f aca="false">IF($A73="","",$B73-INDEX('Animal Register'!$K:$K,MATCH($A73,'Animal Register'!$A:$A,0)))</f>
        <v/>
      </c>
      <c r="I73" s="67" t="str">
        <f aca="false">IF($A73="","",IF(H73=0,"-",(C73-INDEX('Animal Register'!$I:$I,MATCH($A73,'Animal Register'!$A:$A,0)))*1000/H73))</f>
        <v/>
      </c>
      <c r="J73" s="67" t="str">
        <f aca="false">IF($A73="","",INDEX('Animal Register'!$M:$M,MATCH($A73,'Animal Register'!$A:$A,0)))</f>
        <v/>
      </c>
      <c r="K73" s="47" t="str">
        <f aca="false">IF($A73="","",IF(ISNUMBER(I73),IF(I73&gt;=J73*0.9,"On Track","Behind Target"),"-"))</f>
        <v/>
      </c>
    </row>
    <row r="74" customFormat="false" ht="15" hidden="false" customHeight="false" outlineLevel="0" collapsed="false">
      <c r="A74" s="50"/>
      <c r="B74" s="51"/>
      <c r="C74" s="50"/>
      <c r="D74" s="38"/>
      <c r="E74" s="38"/>
      <c r="F74" s="47" t="str">
        <f aca="false">IF($A74="","",IF($A74=$A73,$B74-$B73,"-"))</f>
        <v/>
      </c>
      <c r="G74" s="67" t="str">
        <f aca="false">IF($A74="","",IF(AND($A74=$A73,ISNUMBER(F74)),(C74-C73)*1000/F74,"-"))</f>
        <v/>
      </c>
      <c r="H74" s="47" t="str">
        <f aca="false">IF($A74="","",$B74-INDEX('Animal Register'!$K:$K,MATCH($A74,'Animal Register'!$A:$A,0)))</f>
        <v/>
      </c>
      <c r="I74" s="67" t="str">
        <f aca="false">IF($A74="","",IF(H74=0,"-",(C74-INDEX('Animal Register'!$I:$I,MATCH($A74,'Animal Register'!$A:$A,0)))*1000/H74))</f>
        <v/>
      </c>
      <c r="J74" s="67" t="str">
        <f aca="false">IF($A74="","",INDEX('Animal Register'!$M:$M,MATCH($A74,'Animal Register'!$A:$A,0)))</f>
        <v/>
      </c>
      <c r="K74" s="47" t="str">
        <f aca="false">IF($A74="","",IF(ISNUMBER(I74),IF(I74&gt;=J74*0.9,"On Track","Behind Target"),"-"))</f>
        <v/>
      </c>
    </row>
    <row r="75" customFormat="false" ht="15" hidden="false" customHeight="false" outlineLevel="0" collapsed="false">
      <c r="A75" s="50"/>
      <c r="B75" s="51"/>
      <c r="C75" s="50"/>
      <c r="D75" s="38"/>
      <c r="E75" s="38"/>
      <c r="F75" s="47" t="str">
        <f aca="false">IF($A75="","",IF($A75=$A74,$B75-$B74,"-"))</f>
        <v/>
      </c>
      <c r="G75" s="67" t="str">
        <f aca="false">IF($A75="","",IF(AND($A75=$A74,ISNUMBER(F75)),(C75-C74)*1000/F75,"-"))</f>
        <v/>
      </c>
      <c r="H75" s="47" t="str">
        <f aca="false">IF($A75="","",$B75-INDEX('Animal Register'!$K:$K,MATCH($A75,'Animal Register'!$A:$A,0)))</f>
        <v/>
      </c>
      <c r="I75" s="67" t="str">
        <f aca="false">IF($A75="","",IF(H75=0,"-",(C75-INDEX('Animal Register'!$I:$I,MATCH($A75,'Animal Register'!$A:$A,0)))*1000/H75))</f>
        <v/>
      </c>
      <c r="J75" s="67" t="str">
        <f aca="false">IF($A75="","",INDEX('Animal Register'!$M:$M,MATCH($A75,'Animal Register'!$A:$A,0)))</f>
        <v/>
      </c>
      <c r="K75" s="47" t="str">
        <f aca="false">IF($A75="","",IF(ISNUMBER(I75),IF(I75&gt;=J75*0.9,"On Track","Behind Target"),"-"))</f>
        <v/>
      </c>
    </row>
    <row r="76" customFormat="false" ht="15" hidden="false" customHeight="false" outlineLevel="0" collapsed="false">
      <c r="A76" s="50"/>
      <c r="B76" s="51"/>
      <c r="C76" s="50"/>
      <c r="D76" s="38"/>
      <c r="E76" s="38"/>
      <c r="F76" s="47" t="str">
        <f aca="false">IF($A76="","",IF($A76=$A75,$B76-$B75,"-"))</f>
        <v/>
      </c>
      <c r="G76" s="67" t="str">
        <f aca="false">IF($A76="","",IF(AND($A76=$A75,ISNUMBER(F76)),(C76-C75)*1000/F76,"-"))</f>
        <v/>
      </c>
      <c r="H76" s="47" t="str">
        <f aca="false">IF($A76="","",$B76-INDEX('Animal Register'!$K:$K,MATCH($A76,'Animal Register'!$A:$A,0)))</f>
        <v/>
      </c>
      <c r="I76" s="67" t="str">
        <f aca="false">IF($A76="","",IF(H76=0,"-",(C76-INDEX('Animal Register'!$I:$I,MATCH($A76,'Animal Register'!$A:$A,0)))*1000/H76))</f>
        <v/>
      </c>
      <c r="J76" s="67" t="str">
        <f aca="false">IF($A76="","",INDEX('Animal Register'!$M:$M,MATCH($A76,'Animal Register'!$A:$A,0)))</f>
        <v/>
      </c>
      <c r="K76" s="47" t="str">
        <f aca="false">IF($A76="","",IF(ISNUMBER(I76),IF(I76&gt;=J76*0.9,"On Track","Behind Target"),"-"))</f>
        <v/>
      </c>
    </row>
    <row r="77" customFormat="false" ht="15" hidden="false" customHeight="false" outlineLevel="0" collapsed="false">
      <c r="A77" s="50"/>
      <c r="B77" s="51"/>
      <c r="C77" s="50"/>
      <c r="D77" s="38"/>
      <c r="E77" s="38"/>
      <c r="F77" s="47" t="str">
        <f aca="false">IF($A77="","",IF($A77=$A76,$B77-$B76,"-"))</f>
        <v/>
      </c>
      <c r="G77" s="67" t="str">
        <f aca="false">IF($A77="","",IF(AND($A77=$A76,ISNUMBER(F77)),(C77-C76)*1000/F77,"-"))</f>
        <v/>
      </c>
      <c r="H77" s="47" t="str">
        <f aca="false">IF($A77="","",$B77-INDEX('Animal Register'!$K:$K,MATCH($A77,'Animal Register'!$A:$A,0)))</f>
        <v/>
      </c>
      <c r="I77" s="67" t="str">
        <f aca="false">IF($A77="","",IF(H77=0,"-",(C77-INDEX('Animal Register'!$I:$I,MATCH($A77,'Animal Register'!$A:$A,0)))*1000/H77))</f>
        <v/>
      </c>
      <c r="J77" s="67" t="str">
        <f aca="false">IF($A77="","",INDEX('Animal Register'!$M:$M,MATCH($A77,'Animal Register'!$A:$A,0)))</f>
        <v/>
      </c>
      <c r="K77" s="47" t="str">
        <f aca="false">IF($A77="","",IF(ISNUMBER(I77),IF(I77&gt;=J77*0.9,"On Track","Behind Target"),"-"))</f>
        <v/>
      </c>
    </row>
    <row r="78" customFormat="false" ht="15" hidden="false" customHeight="false" outlineLevel="0" collapsed="false">
      <c r="A78" s="50"/>
      <c r="B78" s="51"/>
      <c r="C78" s="50"/>
      <c r="D78" s="38"/>
      <c r="E78" s="38"/>
      <c r="F78" s="47" t="str">
        <f aca="false">IF($A78="","",IF($A78=$A77,$B78-$B77,"-"))</f>
        <v/>
      </c>
      <c r="G78" s="67" t="str">
        <f aca="false">IF($A78="","",IF(AND($A78=$A77,ISNUMBER(F78)),(C78-C77)*1000/F78,"-"))</f>
        <v/>
      </c>
      <c r="H78" s="47" t="str">
        <f aca="false">IF($A78="","",$B78-INDEX('Animal Register'!$K:$K,MATCH($A78,'Animal Register'!$A:$A,0)))</f>
        <v/>
      </c>
      <c r="I78" s="67" t="str">
        <f aca="false">IF($A78="","",IF(H78=0,"-",(C78-INDEX('Animal Register'!$I:$I,MATCH($A78,'Animal Register'!$A:$A,0)))*1000/H78))</f>
        <v/>
      </c>
      <c r="J78" s="67" t="str">
        <f aca="false">IF($A78="","",INDEX('Animal Register'!$M:$M,MATCH($A78,'Animal Register'!$A:$A,0)))</f>
        <v/>
      </c>
      <c r="K78" s="47" t="str">
        <f aca="false">IF($A78="","",IF(ISNUMBER(I78),IF(I78&gt;=J78*0.9,"On Track","Behind Target"),"-"))</f>
        <v/>
      </c>
    </row>
    <row r="79" customFormat="false" ht="15" hidden="false" customHeight="false" outlineLevel="0" collapsed="false">
      <c r="A79" s="50"/>
      <c r="B79" s="51"/>
      <c r="C79" s="50"/>
      <c r="D79" s="38"/>
      <c r="E79" s="38"/>
      <c r="F79" s="47" t="str">
        <f aca="false">IF($A79="","",IF($A79=$A78,$B79-$B78,"-"))</f>
        <v/>
      </c>
      <c r="G79" s="67" t="str">
        <f aca="false">IF($A79="","",IF(AND($A79=$A78,ISNUMBER(F79)),(C79-C78)*1000/F79,"-"))</f>
        <v/>
      </c>
      <c r="H79" s="47" t="str">
        <f aca="false">IF($A79="","",$B79-INDEX('Animal Register'!$K:$K,MATCH($A79,'Animal Register'!$A:$A,0)))</f>
        <v/>
      </c>
      <c r="I79" s="67" t="str">
        <f aca="false">IF($A79="","",IF(H79=0,"-",(C79-INDEX('Animal Register'!$I:$I,MATCH($A79,'Animal Register'!$A:$A,0)))*1000/H79))</f>
        <v/>
      </c>
      <c r="J79" s="67" t="str">
        <f aca="false">IF($A79="","",INDEX('Animal Register'!$M:$M,MATCH($A79,'Animal Register'!$A:$A,0)))</f>
        <v/>
      </c>
      <c r="K79" s="47" t="str">
        <f aca="false">IF($A79="","",IF(ISNUMBER(I79),IF(I79&gt;=J79*0.9,"On Track","Behind Target"),"-"))</f>
        <v/>
      </c>
    </row>
    <row r="80" customFormat="false" ht="15" hidden="false" customHeight="false" outlineLevel="0" collapsed="false">
      <c r="A80" s="50"/>
      <c r="B80" s="51"/>
      <c r="C80" s="50"/>
      <c r="D80" s="38"/>
      <c r="E80" s="38"/>
      <c r="F80" s="47" t="str">
        <f aca="false">IF($A80="","",IF($A80=$A79,$B80-$B79,"-"))</f>
        <v/>
      </c>
      <c r="G80" s="67" t="str">
        <f aca="false">IF($A80="","",IF(AND($A80=$A79,ISNUMBER(F80)),(C80-C79)*1000/F80,"-"))</f>
        <v/>
      </c>
      <c r="H80" s="47" t="str">
        <f aca="false">IF($A80="","",$B80-INDEX('Animal Register'!$K:$K,MATCH($A80,'Animal Register'!$A:$A,0)))</f>
        <v/>
      </c>
      <c r="I80" s="67" t="str">
        <f aca="false">IF($A80="","",IF(H80=0,"-",(C80-INDEX('Animal Register'!$I:$I,MATCH($A80,'Animal Register'!$A:$A,0)))*1000/H80))</f>
        <v/>
      </c>
      <c r="J80" s="67" t="str">
        <f aca="false">IF($A80="","",INDEX('Animal Register'!$M:$M,MATCH($A80,'Animal Register'!$A:$A,0)))</f>
        <v/>
      </c>
      <c r="K80" s="47" t="str">
        <f aca="false">IF($A80="","",IF(ISNUMBER(I80),IF(I80&gt;=J80*0.9,"On Track","Behind Target"),"-"))</f>
        <v/>
      </c>
    </row>
    <row r="81" customFormat="false" ht="15" hidden="false" customHeight="false" outlineLevel="0" collapsed="false">
      <c r="A81" s="50"/>
      <c r="B81" s="51"/>
      <c r="C81" s="50"/>
      <c r="D81" s="38"/>
      <c r="E81" s="38"/>
      <c r="F81" s="47" t="str">
        <f aca="false">IF($A81="","",IF($A81=$A80,$B81-$B80,"-"))</f>
        <v/>
      </c>
      <c r="G81" s="67" t="str">
        <f aca="false">IF($A81="","",IF(AND($A81=$A80,ISNUMBER(F81)),(C81-C80)*1000/F81,"-"))</f>
        <v/>
      </c>
      <c r="H81" s="47" t="str">
        <f aca="false">IF($A81="","",$B81-INDEX('Animal Register'!$K:$K,MATCH($A81,'Animal Register'!$A:$A,0)))</f>
        <v/>
      </c>
      <c r="I81" s="67" t="str">
        <f aca="false">IF($A81="","",IF(H81=0,"-",(C81-INDEX('Animal Register'!$I:$I,MATCH($A81,'Animal Register'!$A:$A,0)))*1000/H81))</f>
        <v/>
      </c>
      <c r="J81" s="67" t="str">
        <f aca="false">IF($A81="","",INDEX('Animal Register'!$M:$M,MATCH($A81,'Animal Register'!$A:$A,0)))</f>
        <v/>
      </c>
      <c r="K81" s="47" t="str">
        <f aca="false">IF($A81="","",IF(ISNUMBER(I81),IF(I81&gt;=J81*0.9,"On Track","Behind Target"),"-"))</f>
        <v/>
      </c>
    </row>
    <row r="82" customFormat="false" ht="15" hidden="false" customHeight="false" outlineLevel="0" collapsed="false">
      <c r="A82" s="50"/>
      <c r="B82" s="51"/>
      <c r="C82" s="50"/>
      <c r="D82" s="38"/>
      <c r="E82" s="38"/>
      <c r="F82" s="47" t="str">
        <f aca="false">IF($A82="","",IF($A82=$A81,$B82-$B81,"-"))</f>
        <v/>
      </c>
      <c r="G82" s="67" t="str">
        <f aca="false">IF($A82="","",IF(AND($A82=$A81,ISNUMBER(F82)),(C82-C81)*1000/F82,"-"))</f>
        <v/>
      </c>
      <c r="H82" s="47" t="str">
        <f aca="false">IF($A82="","",$B82-INDEX('Animal Register'!$K:$K,MATCH($A82,'Animal Register'!$A:$A,0)))</f>
        <v/>
      </c>
      <c r="I82" s="67" t="str">
        <f aca="false">IF($A82="","",IF(H82=0,"-",(C82-INDEX('Animal Register'!$I:$I,MATCH($A82,'Animal Register'!$A:$A,0)))*1000/H82))</f>
        <v/>
      </c>
      <c r="J82" s="67" t="str">
        <f aca="false">IF($A82="","",INDEX('Animal Register'!$M:$M,MATCH($A82,'Animal Register'!$A:$A,0)))</f>
        <v/>
      </c>
      <c r="K82" s="47" t="str">
        <f aca="false">IF($A82="","",IF(ISNUMBER(I82),IF(I82&gt;=J82*0.9,"On Track","Behind Target"),"-"))</f>
        <v/>
      </c>
    </row>
    <row r="83" customFormat="false" ht="15" hidden="false" customHeight="false" outlineLevel="0" collapsed="false">
      <c r="A83" s="50"/>
      <c r="B83" s="51"/>
      <c r="C83" s="50"/>
      <c r="D83" s="38"/>
      <c r="E83" s="38"/>
      <c r="F83" s="47" t="str">
        <f aca="false">IF($A83="","",IF($A83=$A82,$B83-$B82,"-"))</f>
        <v/>
      </c>
      <c r="G83" s="67" t="str">
        <f aca="false">IF($A83="","",IF(AND($A83=$A82,ISNUMBER(F83)),(C83-C82)*1000/F83,"-"))</f>
        <v/>
      </c>
      <c r="H83" s="47" t="str">
        <f aca="false">IF($A83="","",$B83-INDEX('Animal Register'!$K:$K,MATCH($A83,'Animal Register'!$A:$A,0)))</f>
        <v/>
      </c>
      <c r="I83" s="67" t="str">
        <f aca="false">IF($A83="","",IF(H83=0,"-",(C83-INDEX('Animal Register'!$I:$I,MATCH($A83,'Animal Register'!$A:$A,0)))*1000/H83))</f>
        <v/>
      </c>
      <c r="J83" s="67" t="str">
        <f aca="false">IF($A83="","",INDEX('Animal Register'!$M:$M,MATCH($A83,'Animal Register'!$A:$A,0)))</f>
        <v/>
      </c>
      <c r="K83" s="47" t="str">
        <f aca="false">IF($A83="","",IF(ISNUMBER(I83),IF(I83&gt;=J83*0.9,"On Track","Behind Target"),"-"))</f>
        <v/>
      </c>
    </row>
    <row r="84" customFormat="false" ht="15" hidden="false" customHeight="false" outlineLevel="0" collapsed="false">
      <c r="A84" s="50"/>
      <c r="B84" s="51"/>
      <c r="C84" s="50"/>
      <c r="D84" s="38"/>
      <c r="E84" s="38"/>
      <c r="F84" s="47" t="str">
        <f aca="false">IF($A84="","",IF($A84=$A83,$B84-$B83,"-"))</f>
        <v/>
      </c>
      <c r="G84" s="67" t="str">
        <f aca="false">IF($A84="","",IF(AND($A84=$A83,ISNUMBER(F84)),(C84-C83)*1000/F84,"-"))</f>
        <v/>
      </c>
      <c r="H84" s="47" t="str">
        <f aca="false">IF($A84="","",$B84-INDEX('Animal Register'!$K:$K,MATCH($A84,'Animal Register'!$A:$A,0)))</f>
        <v/>
      </c>
      <c r="I84" s="67" t="str">
        <f aca="false">IF($A84="","",IF(H84=0,"-",(C84-INDEX('Animal Register'!$I:$I,MATCH($A84,'Animal Register'!$A:$A,0)))*1000/H84))</f>
        <v/>
      </c>
      <c r="J84" s="67" t="str">
        <f aca="false">IF($A84="","",INDEX('Animal Register'!$M:$M,MATCH($A84,'Animal Register'!$A:$A,0)))</f>
        <v/>
      </c>
      <c r="K84" s="47" t="str">
        <f aca="false">IF($A84="","",IF(ISNUMBER(I84),IF(I84&gt;=J84*0.9,"On Track","Behind Target"),"-"))</f>
        <v/>
      </c>
    </row>
    <row r="85" customFormat="false" ht="15" hidden="false" customHeight="false" outlineLevel="0" collapsed="false">
      <c r="A85" s="50"/>
      <c r="B85" s="51"/>
      <c r="C85" s="50"/>
      <c r="D85" s="38"/>
      <c r="E85" s="38"/>
      <c r="F85" s="47" t="str">
        <f aca="false">IF($A85="","",IF($A85=$A84,$B85-$B84,"-"))</f>
        <v/>
      </c>
      <c r="G85" s="67" t="str">
        <f aca="false">IF($A85="","",IF(AND($A85=$A84,ISNUMBER(F85)),(C85-C84)*1000/F85,"-"))</f>
        <v/>
      </c>
      <c r="H85" s="47" t="str">
        <f aca="false">IF($A85="","",$B85-INDEX('Animal Register'!$K:$K,MATCH($A85,'Animal Register'!$A:$A,0)))</f>
        <v/>
      </c>
      <c r="I85" s="67" t="str">
        <f aca="false">IF($A85="","",IF(H85=0,"-",(C85-INDEX('Animal Register'!$I:$I,MATCH($A85,'Animal Register'!$A:$A,0)))*1000/H85))</f>
        <v/>
      </c>
      <c r="J85" s="67" t="str">
        <f aca="false">IF($A85="","",INDEX('Animal Register'!$M:$M,MATCH($A85,'Animal Register'!$A:$A,0)))</f>
        <v/>
      </c>
      <c r="K85" s="47" t="str">
        <f aca="false">IF($A85="","",IF(ISNUMBER(I85),IF(I85&gt;=J85*0.9,"On Track","Behind Target"),"-"))</f>
        <v/>
      </c>
    </row>
    <row r="86" customFormat="false" ht="15" hidden="false" customHeight="false" outlineLevel="0" collapsed="false">
      <c r="A86" s="50"/>
      <c r="B86" s="51"/>
      <c r="C86" s="50"/>
      <c r="D86" s="38"/>
      <c r="E86" s="38"/>
      <c r="F86" s="47" t="str">
        <f aca="false">IF($A86="","",IF($A86=$A85,$B86-$B85,"-"))</f>
        <v/>
      </c>
      <c r="G86" s="67" t="str">
        <f aca="false">IF($A86="","",IF(AND($A86=$A85,ISNUMBER(F86)),(C86-C85)*1000/F86,"-"))</f>
        <v/>
      </c>
      <c r="H86" s="47" t="str">
        <f aca="false">IF($A86="","",$B86-INDEX('Animal Register'!$K:$K,MATCH($A86,'Animal Register'!$A:$A,0)))</f>
        <v/>
      </c>
      <c r="I86" s="67" t="str">
        <f aca="false">IF($A86="","",IF(H86=0,"-",(C86-INDEX('Animal Register'!$I:$I,MATCH($A86,'Animal Register'!$A:$A,0)))*1000/H86))</f>
        <v/>
      </c>
      <c r="J86" s="67" t="str">
        <f aca="false">IF($A86="","",INDEX('Animal Register'!$M:$M,MATCH($A86,'Animal Register'!$A:$A,0)))</f>
        <v/>
      </c>
      <c r="K86" s="47" t="str">
        <f aca="false">IF($A86="","",IF(ISNUMBER(I86),IF(I86&gt;=J86*0.9,"On Track","Behind Target"),"-"))</f>
        <v/>
      </c>
    </row>
    <row r="87" customFormat="false" ht="15" hidden="false" customHeight="false" outlineLevel="0" collapsed="false">
      <c r="A87" s="50"/>
      <c r="B87" s="51"/>
      <c r="C87" s="50"/>
      <c r="D87" s="38"/>
      <c r="E87" s="38"/>
      <c r="F87" s="47" t="str">
        <f aca="false">IF($A87="","",IF($A87=$A86,$B87-$B86,"-"))</f>
        <v/>
      </c>
      <c r="G87" s="67" t="str">
        <f aca="false">IF($A87="","",IF(AND($A87=$A86,ISNUMBER(F87)),(C87-C86)*1000/F87,"-"))</f>
        <v/>
      </c>
      <c r="H87" s="47" t="str">
        <f aca="false">IF($A87="","",$B87-INDEX('Animal Register'!$K:$K,MATCH($A87,'Animal Register'!$A:$A,0)))</f>
        <v/>
      </c>
      <c r="I87" s="67" t="str">
        <f aca="false">IF($A87="","",IF(H87=0,"-",(C87-INDEX('Animal Register'!$I:$I,MATCH($A87,'Animal Register'!$A:$A,0)))*1000/H87))</f>
        <v/>
      </c>
      <c r="J87" s="67" t="str">
        <f aca="false">IF($A87="","",INDEX('Animal Register'!$M:$M,MATCH($A87,'Animal Register'!$A:$A,0)))</f>
        <v/>
      </c>
      <c r="K87" s="47" t="str">
        <f aca="false">IF($A87="","",IF(ISNUMBER(I87),IF(I87&gt;=J87*0.9,"On Track","Behind Target"),"-"))</f>
        <v/>
      </c>
    </row>
    <row r="88" customFormat="false" ht="15" hidden="false" customHeight="false" outlineLevel="0" collapsed="false">
      <c r="A88" s="50"/>
      <c r="B88" s="51"/>
      <c r="C88" s="50"/>
      <c r="D88" s="38"/>
      <c r="E88" s="38"/>
      <c r="F88" s="47" t="str">
        <f aca="false">IF($A88="","",IF($A88=$A87,$B88-$B87,"-"))</f>
        <v/>
      </c>
      <c r="G88" s="67" t="str">
        <f aca="false">IF($A88="","",IF(AND($A88=$A87,ISNUMBER(F88)),(C88-C87)*1000/F88,"-"))</f>
        <v/>
      </c>
      <c r="H88" s="47" t="str">
        <f aca="false">IF($A88="","",$B88-INDEX('Animal Register'!$K:$K,MATCH($A88,'Animal Register'!$A:$A,0)))</f>
        <v/>
      </c>
      <c r="I88" s="67" t="str">
        <f aca="false">IF($A88="","",IF(H88=0,"-",(C88-INDEX('Animal Register'!$I:$I,MATCH($A88,'Animal Register'!$A:$A,0)))*1000/H88))</f>
        <v/>
      </c>
      <c r="J88" s="67" t="str">
        <f aca="false">IF($A88="","",INDEX('Animal Register'!$M:$M,MATCH($A88,'Animal Register'!$A:$A,0)))</f>
        <v/>
      </c>
      <c r="K88" s="47" t="str">
        <f aca="false">IF($A88="","",IF(ISNUMBER(I88),IF(I88&gt;=J88*0.9,"On Track","Behind Target"),"-"))</f>
        <v/>
      </c>
    </row>
    <row r="89" customFormat="false" ht="15" hidden="false" customHeight="false" outlineLevel="0" collapsed="false">
      <c r="A89" s="50"/>
      <c r="B89" s="51"/>
      <c r="C89" s="50"/>
      <c r="D89" s="38"/>
      <c r="E89" s="38"/>
      <c r="F89" s="47" t="str">
        <f aca="false">IF($A89="","",IF($A89=$A88,$B89-$B88,"-"))</f>
        <v/>
      </c>
      <c r="G89" s="67" t="str">
        <f aca="false">IF($A89="","",IF(AND($A89=$A88,ISNUMBER(F89)),(C89-C88)*1000/F89,"-"))</f>
        <v/>
      </c>
      <c r="H89" s="47" t="str">
        <f aca="false">IF($A89="","",$B89-INDEX('Animal Register'!$K:$K,MATCH($A89,'Animal Register'!$A:$A,0)))</f>
        <v/>
      </c>
      <c r="I89" s="67" t="str">
        <f aca="false">IF($A89="","",IF(H89=0,"-",(C89-INDEX('Animal Register'!$I:$I,MATCH($A89,'Animal Register'!$A:$A,0)))*1000/H89))</f>
        <v/>
      </c>
      <c r="J89" s="67" t="str">
        <f aca="false">IF($A89="","",INDEX('Animal Register'!$M:$M,MATCH($A89,'Animal Register'!$A:$A,0)))</f>
        <v/>
      </c>
      <c r="K89" s="47" t="str">
        <f aca="false">IF($A89="","",IF(ISNUMBER(I89),IF(I89&gt;=J89*0.9,"On Track","Behind Target"),"-"))</f>
        <v/>
      </c>
    </row>
    <row r="90" customFormat="false" ht="15" hidden="false" customHeight="false" outlineLevel="0" collapsed="false">
      <c r="A90" s="50"/>
      <c r="B90" s="51"/>
      <c r="C90" s="50"/>
      <c r="D90" s="38"/>
      <c r="E90" s="38"/>
      <c r="F90" s="47" t="str">
        <f aca="false">IF($A90="","",IF($A90=$A89,$B90-$B89,"-"))</f>
        <v/>
      </c>
      <c r="G90" s="67" t="str">
        <f aca="false">IF($A90="","",IF(AND($A90=$A89,ISNUMBER(F90)),(C90-C89)*1000/F90,"-"))</f>
        <v/>
      </c>
      <c r="H90" s="47" t="str">
        <f aca="false">IF($A90="","",$B90-INDEX('Animal Register'!$K:$K,MATCH($A90,'Animal Register'!$A:$A,0)))</f>
        <v/>
      </c>
      <c r="I90" s="67" t="str">
        <f aca="false">IF($A90="","",IF(H90=0,"-",(C90-INDEX('Animal Register'!$I:$I,MATCH($A90,'Animal Register'!$A:$A,0)))*1000/H90))</f>
        <v/>
      </c>
      <c r="J90" s="67" t="str">
        <f aca="false">IF($A90="","",INDEX('Animal Register'!$M:$M,MATCH($A90,'Animal Register'!$A:$A,0)))</f>
        <v/>
      </c>
      <c r="K90" s="47" t="str">
        <f aca="false">IF($A90="","",IF(ISNUMBER(I90),IF(I90&gt;=J90*0.9,"On Track","Behind Target"),"-"))</f>
        <v/>
      </c>
    </row>
    <row r="91" customFormat="false" ht="15" hidden="false" customHeight="false" outlineLevel="0" collapsed="false">
      <c r="A91" s="50"/>
      <c r="B91" s="51"/>
      <c r="C91" s="50"/>
      <c r="D91" s="38"/>
      <c r="E91" s="38"/>
      <c r="F91" s="47" t="str">
        <f aca="false">IF($A91="","",IF($A91=$A90,$B91-$B90,"-"))</f>
        <v/>
      </c>
      <c r="G91" s="67" t="str">
        <f aca="false">IF($A91="","",IF(AND($A91=$A90,ISNUMBER(F91)),(C91-C90)*1000/F91,"-"))</f>
        <v/>
      </c>
      <c r="H91" s="47" t="str">
        <f aca="false">IF($A91="","",$B91-INDEX('Animal Register'!$K:$K,MATCH($A91,'Animal Register'!$A:$A,0)))</f>
        <v/>
      </c>
      <c r="I91" s="67" t="str">
        <f aca="false">IF($A91="","",IF(H91=0,"-",(C91-INDEX('Animal Register'!$I:$I,MATCH($A91,'Animal Register'!$A:$A,0)))*1000/H91))</f>
        <v/>
      </c>
      <c r="J91" s="67" t="str">
        <f aca="false">IF($A91="","",INDEX('Animal Register'!$M:$M,MATCH($A91,'Animal Register'!$A:$A,0)))</f>
        <v/>
      </c>
      <c r="K91" s="47" t="str">
        <f aca="false">IF($A91="","",IF(ISNUMBER(I91),IF(I91&gt;=J91*0.9,"On Track","Behind Target"),"-"))</f>
        <v/>
      </c>
    </row>
    <row r="92" customFormat="false" ht="15" hidden="false" customHeight="false" outlineLevel="0" collapsed="false">
      <c r="A92" s="50"/>
      <c r="B92" s="51"/>
      <c r="C92" s="50"/>
      <c r="D92" s="38"/>
      <c r="E92" s="38"/>
      <c r="F92" s="47" t="str">
        <f aca="false">IF($A92="","",IF($A92=$A91,$B92-$B91,"-"))</f>
        <v/>
      </c>
      <c r="G92" s="67" t="str">
        <f aca="false">IF($A92="","",IF(AND($A92=$A91,ISNUMBER(F92)),(C92-C91)*1000/F92,"-"))</f>
        <v/>
      </c>
      <c r="H92" s="47" t="str">
        <f aca="false">IF($A92="","",$B92-INDEX('Animal Register'!$K:$K,MATCH($A92,'Animal Register'!$A:$A,0)))</f>
        <v/>
      </c>
      <c r="I92" s="67" t="str">
        <f aca="false">IF($A92="","",IF(H92=0,"-",(C92-INDEX('Animal Register'!$I:$I,MATCH($A92,'Animal Register'!$A:$A,0)))*1000/H92))</f>
        <v/>
      </c>
      <c r="J92" s="67" t="str">
        <f aca="false">IF($A92="","",INDEX('Animal Register'!$M:$M,MATCH($A92,'Animal Register'!$A:$A,0)))</f>
        <v/>
      </c>
      <c r="K92" s="47" t="str">
        <f aca="false">IF($A92="","",IF(ISNUMBER(I92),IF(I92&gt;=J92*0.9,"On Track","Behind Target"),"-"))</f>
        <v/>
      </c>
    </row>
    <row r="93" customFormat="false" ht="15" hidden="false" customHeight="false" outlineLevel="0" collapsed="false">
      <c r="A93" s="50"/>
      <c r="B93" s="51"/>
      <c r="C93" s="50"/>
      <c r="D93" s="38"/>
      <c r="E93" s="38"/>
      <c r="F93" s="47" t="str">
        <f aca="false">IF($A93="","",IF($A93=$A92,$B93-$B92,"-"))</f>
        <v/>
      </c>
      <c r="G93" s="67" t="str">
        <f aca="false">IF($A93="","",IF(AND($A93=$A92,ISNUMBER(F93)),(C93-C92)*1000/F93,"-"))</f>
        <v/>
      </c>
      <c r="H93" s="47" t="str">
        <f aca="false">IF($A93="","",$B93-INDEX('Animal Register'!$K:$K,MATCH($A93,'Animal Register'!$A:$A,0)))</f>
        <v/>
      </c>
      <c r="I93" s="67" t="str">
        <f aca="false">IF($A93="","",IF(H93=0,"-",(C93-INDEX('Animal Register'!$I:$I,MATCH($A93,'Animal Register'!$A:$A,0)))*1000/H93))</f>
        <v/>
      </c>
      <c r="J93" s="67" t="str">
        <f aca="false">IF($A93="","",INDEX('Animal Register'!$M:$M,MATCH($A93,'Animal Register'!$A:$A,0)))</f>
        <v/>
      </c>
      <c r="K93" s="47" t="str">
        <f aca="false">IF($A93="","",IF(ISNUMBER(I93),IF(I93&gt;=J93*0.9,"On Track","Behind Target"),"-"))</f>
        <v/>
      </c>
    </row>
    <row r="94" customFormat="false" ht="15" hidden="false" customHeight="false" outlineLevel="0" collapsed="false">
      <c r="A94" s="50"/>
      <c r="B94" s="51"/>
      <c r="C94" s="50"/>
      <c r="D94" s="38"/>
      <c r="E94" s="38"/>
      <c r="F94" s="47" t="str">
        <f aca="false">IF($A94="","",IF($A94=$A93,$B94-$B93,"-"))</f>
        <v/>
      </c>
      <c r="G94" s="67" t="str">
        <f aca="false">IF($A94="","",IF(AND($A94=$A93,ISNUMBER(F94)),(C94-C93)*1000/F94,"-"))</f>
        <v/>
      </c>
      <c r="H94" s="47" t="str">
        <f aca="false">IF($A94="","",$B94-INDEX('Animal Register'!$K:$K,MATCH($A94,'Animal Register'!$A:$A,0)))</f>
        <v/>
      </c>
      <c r="I94" s="67" t="str">
        <f aca="false">IF($A94="","",IF(H94=0,"-",(C94-INDEX('Animal Register'!$I:$I,MATCH($A94,'Animal Register'!$A:$A,0)))*1000/H94))</f>
        <v/>
      </c>
      <c r="J94" s="67" t="str">
        <f aca="false">IF($A94="","",INDEX('Animal Register'!$M:$M,MATCH($A94,'Animal Register'!$A:$A,0)))</f>
        <v/>
      </c>
      <c r="K94" s="47" t="str">
        <f aca="false">IF($A94="","",IF(ISNUMBER(I94),IF(I94&gt;=J94*0.9,"On Track","Behind Target"),"-"))</f>
        <v/>
      </c>
    </row>
    <row r="95" customFormat="false" ht="15" hidden="false" customHeight="false" outlineLevel="0" collapsed="false">
      <c r="A95" s="50"/>
      <c r="B95" s="51"/>
      <c r="C95" s="50"/>
      <c r="D95" s="38"/>
      <c r="E95" s="38"/>
      <c r="F95" s="47" t="str">
        <f aca="false">IF($A95="","",IF($A95=$A94,$B95-$B94,"-"))</f>
        <v/>
      </c>
      <c r="G95" s="67" t="str">
        <f aca="false">IF($A95="","",IF(AND($A95=$A94,ISNUMBER(F95)),(C95-C94)*1000/F95,"-"))</f>
        <v/>
      </c>
      <c r="H95" s="47" t="str">
        <f aca="false">IF($A95="","",$B95-INDEX('Animal Register'!$K:$K,MATCH($A95,'Animal Register'!$A:$A,0)))</f>
        <v/>
      </c>
      <c r="I95" s="67" t="str">
        <f aca="false">IF($A95="","",IF(H95=0,"-",(C95-INDEX('Animal Register'!$I:$I,MATCH($A95,'Animal Register'!$A:$A,0)))*1000/H95))</f>
        <v/>
      </c>
      <c r="J95" s="67" t="str">
        <f aca="false">IF($A95="","",INDEX('Animal Register'!$M:$M,MATCH($A95,'Animal Register'!$A:$A,0)))</f>
        <v/>
      </c>
      <c r="K95" s="47" t="str">
        <f aca="false">IF($A95="","",IF(ISNUMBER(I95),IF(I95&gt;=J95*0.9,"On Track","Behind Target"),"-"))</f>
        <v/>
      </c>
    </row>
    <row r="96" customFormat="false" ht="15" hidden="false" customHeight="false" outlineLevel="0" collapsed="false">
      <c r="A96" s="50"/>
      <c r="B96" s="51"/>
      <c r="C96" s="50"/>
      <c r="D96" s="38"/>
      <c r="E96" s="38"/>
      <c r="F96" s="47" t="str">
        <f aca="false">IF($A96="","",IF($A96=$A95,$B96-$B95,"-"))</f>
        <v/>
      </c>
      <c r="G96" s="67" t="str">
        <f aca="false">IF($A96="","",IF(AND($A96=$A95,ISNUMBER(F96)),(C96-C95)*1000/F96,"-"))</f>
        <v/>
      </c>
      <c r="H96" s="47" t="str">
        <f aca="false">IF($A96="","",$B96-INDEX('Animal Register'!$K:$K,MATCH($A96,'Animal Register'!$A:$A,0)))</f>
        <v/>
      </c>
      <c r="I96" s="67" t="str">
        <f aca="false">IF($A96="","",IF(H96=0,"-",(C96-INDEX('Animal Register'!$I:$I,MATCH($A96,'Animal Register'!$A:$A,0)))*1000/H96))</f>
        <v/>
      </c>
      <c r="J96" s="67" t="str">
        <f aca="false">IF($A96="","",INDEX('Animal Register'!$M:$M,MATCH($A96,'Animal Register'!$A:$A,0)))</f>
        <v/>
      </c>
      <c r="K96" s="47" t="str">
        <f aca="false">IF($A96="","",IF(ISNUMBER(I96),IF(I96&gt;=J96*0.9,"On Track","Behind Target"),"-"))</f>
        <v/>
      </c>
    </row>
    <row r="97" customFormat="false" ht="15" hidden="false" customHeight="false" outlineLevel="0" collapsed="false">
      <c r="A97" s="50"/>
      <c r="B97" s="51"/>
      <c r="C97" s="50"/>
      <c r="D97" s="38"/>
      <c r="E97" s="38"/>
      <c r="F97" s="47" t="str">
        <f aca="false">IF($A97="","",IF($A97=$A96,$B97-$B96,"-"))</f>
        <v/>
      </c>
      <c r="G97" s="67" t="str">
        <f aca="false">IF($A97="","",IF(AND($A97=$A96,ISNUMBER(F97)),(C97-C96)*1000/F97,"-"))</f>
        <v/>
      </c>
      <c r="H97" s="47" t="str">
        <f aca="false">IF($A97="","",$B97-INDEX('Animal Register'!$K:$K,MATCH($A97,'Animal Register'!$A:$A,0)))</f>
        <v/>
      </c>
      <c r="I97" s="67" t="str">
        <f aca="false">IF($A97="","",IF(H97=0,"-",(C97-INDEX('Animal Register'!$I:$I,MATCH($A97,'Animal Register'!$A:$A,0)))*1000/H97))</f>
        <v/>
      </c>
      <c r="J97" s="67" t="str">
        <f aca="false">IF($A97="","",INDEX('Animal Register'!$M:$M,MATCH($A97,'Animal Register'!$A:$A,0)))</f>
        <v/>
      </c>
      <c r="K97" s="47" t="str">
        <f aca="false">IF($A97="","",IF(ISNUMBER(I97),IF(I97&gt;=J97*0.9,"On Track","Behind Target"),"-"))</f>
        <v/>
      </c>
    </row>
    <row r="98" customFormat="false" ht="15" hidden="false" customHeight="false" outlineLevel="0" collapsed="false">
      <c r="A98" s="50"/>
      <c r="B98" s="51"/>
      <c r="C98" s="50"/>
      <c r="D98" s="38"/>
      <c r="E98" s="38"/>
      <c r="F98" s="47" t="str">
        <f aca="false">IF($A98="","",IF($A98=$A97,$B98-$B97,"-"))</f>
        <v/>
      </c>
      <c r="G98" s="67" t="str">
        <f aca="false">IF($A98="","",IF(AND($A98=$A97,ISNUMBER(F98)),(C98-C97)*1000/F98,"-"))</f>
        <v/>
      </c>
      <c r="H98" s="47" t="str">
        <f aca="false">IF($A98="","",$B98-INDEX('Animal Register'!$K:$K,MATCH($A98,'Animal Register'!$A:$A,0)))</f>
        <v/>
      </c>
      <c r="I98" s="67" t="str">
        <f aca="false">IF($A98="","",IF(H98=0,"-",(C98-INDEX('Animal Register'!$I:$I,MATCH($A98,'Animal Register'!$A:$A,0)))*1000/H98))</f>
        <v/>
      </c>
      <c r="J98" s="67" t="str">
        <f aca="false">IF($A98="","",INDEX('Animal Register'!$M:$M,MATCH($A98,'Animal Register'!$A:$A,0)))</f>
        <v/>
      </c>
      <c r="K98" s="47" t="str">
        <f aca="false">IF($A98="","",IF(ISNUMBER(I98),IF(I98&gt;=J98*0.9,"On Track","Behind Target"),"-"))</f>
        <v/>
      </c>
    </row>
    <row r="99" customFormat="false" ht="15" hidden="false" customHeight="false" outlineLevel="0" collapsed="false">
      <c r="A99" s="50"/>
      <c r="B99" s="51"/>
      <c r="C99" s="50"/>
      <c r="D99" s="38"/>
      <c r="E99" s="38"/>
      <c r="F99" s="47" t="str">
        <f aca="false">IF($A99="","",IF($A99=$A98,$B99-$B98,"-"))</f>
        <v/>
      </c>
      <c r="G99" s="67" t="str">
        <f aca="false">IF($A99="","",IF(AND($A99=$A98,ISNUMBER(F99)),(C99-C98)*1000/F99,"-"))</f>
        <v/>
      </c>
      <c r="H99" s="47" t="str">
        <f aca="false">IF($A99="","",$B99-INDEX('Animal Register'!$K:$K,MATCH($A99,'Animal Register'!$A:$A,0)))</f>
        <v/>
      </c>
      <c r="I99" s="67" t="str">
        <f aca="false">IF($A99="","",IF(H99=0,"-",(C99-INDEX('Animal Register'!$I:$I,MATCH($A99,'Animal Register'!$A:$A,0)))*1000/H99))</f>
        <v/>
      </c>
      <c r="J99" s="67" t="str">
        <f aca="false">IF($A99="","",INDEX('Animal Register'!$M:$M,MATCH($A99,'Animal Register'!$A:$A,0)))</f>
        <v/>
      </c>
      <c r="K99" s="47" t="str">
        <f aca="false">IF($A99="","",IF(ISNUMBER(I99),IF(I99&gt;=J99*0.9,"On Track","Behind Target"),"-"))</f>
        <v/>
      </c>
    </row>
    <row r="100" customFormat="false" ht="15" hidden="false" customHeight="false" outlineLevel="0" collapsed="false">
      <c r="A100" s="50"/>
      <c r="B100" s="51"/>
      <c r="C100" s="50"/>
      <c r="D100" s="38"/>
      <c r="E100" s="38"/>
      <c r="F100" s="47" t="str">
        <f aca="false">IF($A100="","",IF($A100=$A99,$B100-$B99,"-"))</f>
        <v/>
      </c>
      <c r="G100" s="67" t="str">
        <f aca="false">IF($A100="","",IF(AND($A100=$A99,ISNUMBER(F100)),(C100-C99)*1000/F100,"-"))</f>
        <v/>
      </c>
      <c r="H100" s="47" t="str">
        <f aca="false">IF($A100="","",$B100-INDEX('Animal Register'!$K:$K,MATCH($A100,'Animal Register'!$A:$A,0)))</f>
        <v/>
      </c>
      <c r="I100" s="67" t="str">
        <f aca="false">IF($A100="","",IF(H100=0,"-",(C100-INDEX('Animal Register'!$I:$I,MATCH($A100,'Animal Register'!$A:$A,0)))*1000/H100))</f>
        <v/>
      </c>
      <c r="J100" s="67" t="str">
        <f aca="false">IF($A100="","",INDEX('Animal Register'!$M:$M,MATCH($A100,'Animal Register'!$A:$A,0)))</f>
        <v/>
      </c>
      <c r="K100" s="47" t="str">
        <f aca="false">IF($A100="","",IF(ISNUMBER(I100),IF(I100&gt;=J100*0.9,"On Track","Behind Target"),"-"))</f>
        <v/>
      </c>
    </row>
    <row r="101" customFormat="false" ht="15" hidden="false" customHeight="false" outlineLevel="0" collapsed="false">
      <c r="A101" s="50"/>
      <c r="B101" s="51"/>
      <c r="C101" s="50"/>
      <c r="D101" s="38"/>
      <c r="E101" s="38"/>
      <c r="F101" s="47" t="str">
        <f aca="false">IF($A101="","",IF($A101=$A100,$B101-$B100,"-"))</f>
        <v/>
      </c>
      <c r="G101" s="67" t="str">
        <f aca="false">IF($A101="","",IF(AND($A101=$A100,ISNUMBER(F101)),(C101-C100)*1000/F101,"-"))</f>
        <v/>
      </c>
      <c r="H101" s="47" t="str">
        <f aca="false">IF($A101="","",$B101-INDEX('Animal Register'!$K:$K,MATCH($A101,'Animal Register'!$A:$A,0)))</f>
        <v/>
      </c>
      <c r="I101" s="67" t="str">
        <f aca="false">IF($A101="","",IF(H101=0,"-",(C101-INDEX('Animal Register'!$I:$I,MATCH($A101,'Animal Register'!$A:$A,0)))*1000/H101))</f>
        <v/>
      </c>
      <c r="J101" s="67" t="str">
        <f aca="false">IF($A101="","",INDEX('Animal Register'!$M:$M,MATCH($A101,'Animal Register'!$A:$A,0)))</f>
        <v/>
      </c>
      <c r="K101" s="47" t="str">
        <f aca="false">IF($A101="","",IF(ISNUMBER(I101),IF(I101&gt;=J101*0.9,"On Track","Behind Target"),"-"))</f>
        <v/>
      </c>
    </row>
    <row r="102" customFormat="false" ht="15" hidden="false" customHeight="false" outlineLevel="0" collapsed="false">
      <c r="A102" s="50"/>
      <c r="B102" s="51"/>
      <c r="C102" s="50"/>
      <c r="D102" s="38"/>
      <c r="E102" s="38"/>
      <c r="F102" s="47" t="str">
        <f aca="false">IF($A102="","",IF($A102=$A101,$B102-$B101,"-"))</f>
        <v/>
      </c>
      <c r="G102" s="67" t="str">
        <f aca="false">IF($A102="","",IF(AND($A102=$A101,ISNUMBER(F102)),(C102-C101)*1000/F102,"-"))</f>
        <v/>
      </c>
      <c r="H102" s="47" t="str">
        <f aca="false">IF($A102="","",$B102-INDEX('Animal Register'!$K:$K,MATCH($A102,'Animal Register'!$A:$A,0)))</f>
        <v/>
      </c>
      <c r="I102" s="67" t="str">
        <f aca="false">IF($A102="","",IF(H102=0,"-",(C102-INDEX('Animal Register'!$I:$I,MATCH($A102,'Animal Register'!$A:$A,0)))*1000/H102))</f>
        <v/>
      </c>
      <c r="J102" s="67" t="str">
        <f aca="false">IF($A102="","",INDEX('Animal Register'!$M:$M,MATCH($A102,'Animal Register'!$A:$A,0)))</f>
        <v/>
      </c>
      <c r="K102" s="47" t="str">
        <f aca="false">IF($A102="","",IF(ISNUMBER(I102),IF(I102&gt;=J102*0.9,"On Track","Behind Target"),"-"))</f>
        <v/>
      </c>
    </row>
    <row r="103" customFormat="false" ht="15" hidden="false" customHeight="false" outlineLevel="0" collapsed="false">
      <c r="A103" s="50"/>
      <c r="B103" s="51"/>
      <c r="C103" s="50"/>
      <c r="D103" s="38"/>
      <c r="E103" s="38"/>
      <c r="F103" s="47" t="str">
        <f aca="false">IF($A103="","",IF($A103=$A102,$B103-$B102,"-"))</f>
        <v/>
      </c>
      <c r="G103" s="67" t="str">
        <f aca="false">IF($A103="","",IF(AND($A103=$A102,ISNUMBER(F103)),(C103-C102)*1000/F103,"-"))</f>
        <v/>
      </c>
      <c r="H103" s="47" t="str">
        <f aca="false">IF($A103="","",$B103-INDEX('Animal Register'!$K:$K,MATCH($A103,'Animal Register'!$A:$A,0)))</f>
        <v/>
      </c>
      <c r="I103" s="67" t="str">
        <f aca="false">IF($A103="","",IF(H103=0,"-",(C103-INDEX('Animal Register'!$I:$I,MATCH($A103,'Animal Register'!$A:$A,0)))*1000/H103))</f>
        <v/>
      </c>
      <c r="J103" s="67" t="str">
        <f aca="false">IF($A103="","",INDEX('Animal Register'!$M:$M,MATCH($A103,'Animal Register'!$A:$A,0)))</f>
        <v/>
      </c>
      <c r="K103" s="47" t="str">
        <f aca="false">IF($A103="","",IF(ISNUMBER(I103),IF(I103&gt;=J103*0.9,"On Track","Behind Target"),"-"))</f>
        <v/>
      </c>
    </row>
    <row r="104" customFormat="false" ht="15" hidden="false" customHeight="false" outlineLevel="0" collapsed="false">
      <c r="A104" s="50"/>
      <c r="B104" s="51"/>
      <c r="C104" s="50"/>
      <c r="D104" s="38"/>
      <c r="E104" s="38"/>
      <c r="F104" s="47" t="str">
        <f aca="false">IF($A104="","",IF($A104=$A103,$B104-$B103,"-"))</f>
        <v/>
      </c>
      <c r="G104" s="67" t="str">
        <f aca="false">IF($A104="","",IF(AND($A104=$A103,ISNUMBER(F104)),(C104-C103)*1000/F104,"-"))</f>
        <v/>
      </c>
      <c r="H104" s="47" t="str">
        <f aca="false">IF($A104="","",$B104-INDEX('Animal Register'!$K:$K,MATCH($A104,'Animal Register'!$A:$A,0)))</f>
        <v/>
      </c>
      <c r="I104" s="67" t="str">
        <f aca="false">IF($A104="","",IF(H104=0,"-",(C104-INDEX('Animal Register'!$I:$I,MATCH($A104,'Animal Register'!$A:$A,0)))*1000/H104))</f>
        <v/>
      </c>
      <c r="J104" s="67" t="str">
        <f aca="false">IF($A104="","",INDEX('Animal Register'!$M:$M,MATCH($A104,'Animal Register'!$A:$A,0)))</f>
        <v/>
      </c>
      <c r="K104" s="47" t="str">
        <f aca="false">IF($A104="","",IF(ISNUMBER(I104),IF(I104&gt;=J104*0.9,"On Track","Behind Target"),"-"))</f>
        <v/>
      </c>
    </row>
    <row r="105" customFormat="false" ht="15" hidden="false" customHeight="false" outlineLevel="0" collapsed="false">
      <c r="A105" s="50"/>
      <c r="B105" s="51"/>
      <c r="C105" s="50"/>
      <c r="D105" s="38"/>
      <c r="E105" s="38"/>
      <c r="F105" s="47" t="str">
        <f aca="false">IF($A105="","",IF($A105=$A104,$B105-$B104,"-"))</f>
        <v/>
      </c>
      <c r="G105" s="67" t="str">
        <f aca="false">IF($A105="","",IF(AND($A105=$A104,ISNUMBER(F105)),(C105-C104)*1000/F105,"-"))</f>
        <v/>
      </c>
      <c r="H105" s="47" t="str">
        <f aca="false">IF($A105="","",$B105-INDEX('Animal Register'!$K:$K,MATCH($A105,'Animal Register'!$A:$A,0)))</f>
        <v/>
      </c>
      <c r="I105" s="67" t="str">
        <f aca="false">IF($A105="","",IF(H105=0,"-",(C105-INDEX('Animal Register'!$I:$I,MATCH($A105,'Animal Register'!$A:$A,0)))*1000/H105))</f>
        <v/>
      </c>
      <c r="J105" s="67" t="str">
        <f aca="false">IF($A105="","",INDEX('Animal Register'!$M:$M,MATCH($A105,'Animal Register'!$A:$A,0)))</f>
        <v/>
      </c>
      <c r="K105" s="47" t="str">
        <f aca="false">IF($A105="","",IF(ISNUMBER(I105),IF(I105&gt;=J105*0.9,"On Track","Behind Target"),"-"))</f>
        <v/>
      </c>
    </row>
    <row r="106" customFormat="false" ht="15" hidden="false" customHeight="false" outlineLevel="0" collapsed="false">
      <c r="A106" s="50"/>
      <c r="B106" s="51"/>
      <c r="C106" s="50"/>
      <c r="D106" s="38"/>
      <c r="E106" s="38"/>
      <c r="F106" s="47" t="str">
        <f aca="false">IF($A106="","",IF($A106=$A105,$B106-$B105,"-"))</f>
        <v/>
      </c>
      <c r="G106" s="67" t="str">
        <f aca="false">IF($A106="","",IF(AND($A106=$A105,ISNUMBER(F106)),(C106-C105)*1000/F106,"-"))</f>
        <v/>
      </c>
      <c r="H106" s="47" t="str">
        <f aca="false">IF($A106="","",$B106-INDEX('Animal Register'!$K:$K,MATCH($A106,'Animal Register'!$A:$A,0)))</f>
        <v/>
      </c>
      <c r="I106" s="67" t="str">
        <f aca="false">IF($A106="","",IF(H106=0,"-",(C106-INDEX('Animal Register'!$I:$I,MATCH($A106,'Animal Register'!$A:$A,0)))*1000/H106))</f>
        <v/>
      </c>
      <c r="J106" s="67" t="str">
        <f aca="false">IF($A106="","",INDEX('Animal Register'!$M:$M,MATCH($A106,'Animal Register'!$A:$A,0)))</f>
        <v/>
      </c>
      <c r="K106" s="47" t="str">
        <f aca="false">IF($A106="","",IF(ISNUMBER(I106),IF(I106&gt;=J106*0.9,"On Track","Behind Target"),"-"))</f>
        <v/>
      </c>
    </row>
    <row r="107" customFormat="false" ht="15" hidden="false" customHeight="false" outlineLevel="0" collapsed="false">
      <c r="A107" s="50"/>
      <c r="B107" s="51"/>
      <c r="C107" s="50"/>
      <c r="D107" s="38"/>
      <c r="E107" s="38"/>
      <c r="F107" s="47" t="str">
        <f aca="false">IF($A107="","",IF($A107=$A106,$B107-$B106,"-"))</f>
        <v/>
      </c>
      <c r="G107" s="67" t="str">
        <f aca="false">IF($A107="","",IF(AND($A107=$A106,ISNUMBER(F107)),(C107-C106)*1000/F107,"-"))</f>
        <v/>
      </c>
      <c r="H107" s="47" t="str">
        <f aca="false">IF($A107="","",$B107-INDEX('Animal Register'!$K:$K,MATCH($A107,'Animal Register'!$A:$A,0)))</f>
        <v/>
      </c>
      <c r="I107" s="67" t="str">
        <f aca="false">IF($A107="","",IF(H107=0,"-",(C107-INDEX('Animal Register'!$I:$I,MATCH($A107,'Animal Register'!$A:$A,0)))*1000/H107))</f>
        <v/>
      </c>
      <c r="J107" s="67" t="str">
        <f aca="false">IF($A107="","",INDEX('Animal Register'!$M:$M,MATCH($A107,'Animal Register'!$A:$A,0)))</f>
        <v/>
      </c>
      <c r="K107" s="47" t="str">
        <f aca="false">IF($A107="","",IF(ISNUMBER(I107),IF(I107&gt;=J107*0.9,"On Track","Behind Target"),"-"))</f>
        <v/>
      </c>
    </row>
    <row r="108" customFormat="false" ht="15" hidden="false" customHeight="false" outlineLevel="0" collapsed="false">
      <c r="A108" s="50"/>
      <c r="B108" s="51"/>
      <c r="C108" s="50"/>
      <c r="D108" s="38"/>
      <c r="E108" s="38"/>
      <c r="F108" s="47" t="str">
        <f aca="false">IF($A108="","",IF($A108=$A107,$B108-$B107,"-"))</f>
        <v/>
      </c>
      <c r="G108" s="67" t="str">
        <f aca="false">IF($A108="","",IF(AND($A108=$A107,ISNUMBER(F108)),(C108-C107)*1000/F108,"-"))</f>
        <v/>
      </c>
      <c r="H108" s="47" t="str">
        <f aca="false">IF($A108="","",$B108-INDEX('Animal Register'!$K:$K,MATCH($A108,'Animal Register'!$A:$A,0)))</f>
        <v/>
      </c>
      <c r="I108" s="67" t="str">
        <f aca="false">IF($A108="","",IF(H108=0,"-",(C108-INDEX('Animal Register'!$I:$I,MATCH($A108,'Animal Register'!$A:$A,0)))*1000/H108))</f>
        <v/>
      </c>
      <c r="J108" s="67" t="str">
        <f aca="false">IF($A108="","",INDEX('Animal Register'!$M:$M,MATCH($A108,'Animal Register'!$A:$A,0)))</f>
        <v/>
      </c>
      <c r="K108" s="47" t="str">
        <f aca="false">IF($A108="","",IF(ISNUMBER(I108),IF(I108&gt;=J108*0.9,"On Track","Behind Target"),"-"))</f>
        <v/>
      </c>
    </row>
    <row r="109" customFormat="false" ht="15" hidden="false" customHeight="false" outlineLevel="0" collapsed="false">
      <c r="A109" s="50"/>
      <c r="B109" s="51"/>
      <c r="C109" s="50"/>
      <c r="D109" s="38"/>
      <c r="E109" s="38"/>
      <c r="F109" s="47" t="str">
        <f aca="false">IF($A109="","",IF($A109=$A108,$B109-$B108,"-"))</f>
        <v/>
      </c>
      <c r="G109" s="67" t="str">
        <f aca="false">IF($A109="","",IF(AND($A109=$A108,ISNUMBER(F109)),(C109-C108)*1000/F109,"-"))</f>
        <v/>
      </c>
      <c r="H109" s="47" t="str">
        <f aca="false">IF($A109="","",$B109-INDEX('Animal Register'!$K:$K,MATCH($A109,'Animal Register'!$A:$A,0)))</f>
        <v/>
      </c>
      <c r="I109" s="67" t="str">
        <f aca="false">IF($A109="","",IF(H109=0,"-",(C109-INDEX('Animal Register'!$I:$I,MATCH($A109,'Animal Register'!$A:$A,0)))*1000/H109))</f>
        <v/>
      </c>
      <c r="J109" s="67" t="str">
        <f aca="false">IF($A109="","",INDEX('Animal Register'!$M:$M,MATCH($A109,'Animal Register'!$A:$A,0)))</f>
        <v/>
      </c>
      <c r="K109" s="47" t="str">
        <f aca="false">IF($A109="","",IF(ISNUMBER(I109),IF(I109&gt;=J109*0.9,"On Track","Behind Target"),"-"))</f>
        <v/>
      </c>
    </row>
    <row r="110" customFormat="false" ht="15" hidden="false" customHeight="false" outlineLevel="0" collapsed="false">
      <c r="A110" s="50"/>
      <c r="B110" s="51"/>
      <c r="C110" s="50"/>
      <c r="D110" s="38"/>
      <c r="E110" s="38"/>
      <c r="F110" s="47" t="str">
        <f aca="false">IF($A110="","",IF($A110=$A109,$B110-$B109,"-"))</f>
        <v/>
      </c>
      <c r="G110" s="67" t="str">
        <f aca="false">IF($A110="","",IF(AND($A110=$A109,ISNUMBER(F110)),(C110-C109)*1000/F110,"-"))</f>
        <v/>
      </c>
      <c r="H110" s="47" t="str">
        <f aca="false">IF($A110="","",$B110-INDEX('Animal Register'!$K:$K,MATCH($A110,'Animal Register'!$A:$A,0)))</f>
        <v/>
      </c>
      <c r="I110" s="67" t="str">
        <f aca="false">IF($A110="","",IF(H110=0,"-",(C110-INDEX('Animal Register'!$I:$I,MATCH($A110,'Animal Register'!$A:$A,0)))*1000/H110))</f>
        <v/>
      </c>
      <c r="J110" s="67" t="str">
        <f aca="false">IF($A110="","",INDEX('Animal Register'!$M:$M,MATCH($A110,'Animal Register'!$A:$A,0)))</f>
        <v/>
      </c>
      <c r="K110" s="47" t="str">
        <f aca="false">IF($A110="","",IF(ISNUMBER(I110),IF(I110&gt;=J110*0.9,"On Track","Behind Target"),"-"))</f>
        <v/>
      </c>
    </row>
    <row r="111" customFormat="false" ht="15" hidden="false" customHeight="false" outlineLevel="0" collapsed="false">
      <c r="A111" s="50"/>
      <c r="B111" s="51"/>
      <c r="C111" s="50"/>
      <c r="D111" s="38"/>
      <c r="E111" s="38"/>
      <c r="F111" s="47" t="str">
        <f aca="false">IF($A111="","",IF($A111=$A110,$B111-$B110,"-"))</f>
        <v/>
      </c>
      <c r="G111" s="67" t="str">
        <f aca="false">IF($A111="","",IF(AND($A111=$A110,ISNUMBER(F111)),(C111-C110)*1000/F111,"-"))</f>
        <v/>
      </c>
      <c r="H111" s="47" t="str">
        <f aca="false">IF($A111="","",$B111-INDEX('Animal Register'!$K:$K,MATCH($A111,'Animal Register'!$A:$A,0)))</f>
        <v/>
      </c>
      <c r="I111" s="67" t="str">
        <f aca="false">IF($A111="","",IF(H111=0,"-",(C111-INDEX('Animal Register'!$I:$I,MATCH($A111,'Animal Register'!$A:$A,0)))*1000/H111))</f>
        <v/>
      </c>
      <c r="J111" s="67" t="str">
        <f aca="false">IF($A111="","",INDEX('Animal Register'!$M:$M,MATCH($A111,'Animal Register'!$A:$A,0)))</f>
        <v/>
      </c>
      <c r="K111" s="47" t="str">
        <f aca="false">IF($A111="","",IF(ISNUMBER(I111),IF(I111&gt;=J111*0.9,"On Track","Behind Target"),"-"))</f>
        <v/>
      </c>
    </row>
    <row r="112" customFormat="false" ht="15" hidden="false" customHeight="false" outlineLevel="0" collapsed="false">
      <c r="A112" s="50"/>
      <c r="B112" s="51"/>
      <c r="C112" s="50"/>
      <c r="D112" s="38"/>
      <c r="E112" s="38"/>
      <c r="F112" s="47" t="str">
        <f aca="false">IF($A112="","",IF($A112=$A111,$B112-$B111,"-"))</f>
        <v/>
      </c>
      <c r="G112" s="67" t="str">
        <f aca="false">IF($A112="","",IF(AND($A112=$A111,ISNUMBER(F112)),(C112-C111)*1000/F112,"-"))</f>
        <v/>
      </c>
      <c r="H112" s="47" t="str">
        <f aca="false">IF($A112="","",$B112-INDEX('Animal Register'!$K:$K,MATCH($A112,'Animal Register'!$A:$A,0)))</f>
        <v/>
      </c>
      <c r="I112" s="67" t="str">
        <f aca="false">IF($A112="","",IF(H112=0,"-",(C112-INDEX('Animal Register'!$I:$I,MATCH($A112,'Animal Register'!$A:$A,0)))*1000/H112))</f>
        <v/>
      </c>
      <c r="J112" s="67" t="str">
        <f aca="false">IF($A112="","",INDEX('Animal Register'!$M:$M,MATCH($A112,'Animal Register'!$A:$A,0)))</f>
        <v/>
      </c>
      <c r="K112" s="47" t="str">
        <f aca="false">IF($A112="","",IF(ISNUMBER(I112),IF(I112&gt;=J112*0.9,"On Track","Behind Target"),"-"))</f>
        <v/>
      </c>
    </row>
    <row r="113" customFormat="false" ht="15" hidden="false" customHeight="false" outlineLevel="0" collapsed="false">
      <c r="A113" s="50"/>
      <c r="B113" s="51"/>
      <c r="C113" s="50"/>
      <c r="D113" s="38"/>
      <c r="E113" s="38"/>
      <c r="F113" s="47" t="str">
        <f aca="false">IF($A113="","",IF($A113=$A112,$B113-$B112,"-"))</f>
        <v/>
      </c>
      <c r="G113" s="67" t="str">
        <f aca="false">IF($A113="","",IF(AND($A113=$A112,ISNUMBER(F113)),(C113-C112)*1000/F113,"-"))</f>
        <v/>
      </c>
      <c r="H113" s="47" t="str">
        <f aca="false">IF($A113="","",$B113-INDEX('Animal Register'!$K:$K,MATCH($A113,'Animal Register'!$A:$A,0)))</f>
        <v/>
      </c>
      <c r="I113" s="67" t="str">
        <f aca="false">IF($A113="","",IF(H113=0,"-",(C113-INDEX('Animal Register'!$I:$I,MATCH($A113,'Animal Register'!$A:$A,0)))*1000/H113))</f>
        <v/>
      </c>
      <c r="J113" s="67" t="str">
        <f aca="false">IF($A113="","",INDEX('Animal Register'!$M:$M,MATCH($A113,'Animal Register'!$A:$A,0)))</f>
        <v/>
      </c>
      <c r="K113" s="47" t="str">
        <f aca="false">IF($A113="","",IF(ISNUMBER(I113),IF(I113&gt;=J113*0.9,"On Track","Behind Target"),"-"))</f>
        <v/>
      </c>
    </row>
    <row r="114" customFormat="false" ht="15" hidden="false" customHeight="false" outlineLevel="0" collapsed="false">
      <c r="A114" s="50"/>
      <c r="B114" s="51"/>
      <c r="C114" s="50"/>
      <c r="D114" s="38"/>
      <c r="E114" s="38"/>
      <c r="F114" s="47" t="str">
        <f aca="false">IF($A114="","",IF($A114=$A113,$B114-$B113,"-"))</f>
        <v/>
      </c>
      <c r="G114" s="67" t="str">
        <f aca="false">IF($A114="","",IF(AND($A114=$A113,ISNUMBER(F114)),(C114-C113)*1000/F114,"-"))</f>
        <v/>
      </c>
      <c r="H114" s="47" t="str">
        <f aca="false">IF($A114="","",$B114-INDEX('Animal Register'!$K:$K,MATCH($A114,'Animal Register'!$A:$A,0)))</f>
        <v/>
      </c>
      <c r="I114" s="67" t="str">
        <f aca="false">IF($A114="","",IF(H114=0,"-",(C114-INDEX('Animal Register'!$I:$I,MATCH($A114,'Animal Register'!$A:$A,0)))*1000/H114))</f>
        <v/>
      </c>
      <c r="J114" s="67" t="str">
        <f aca="false">IF($A114="","",INDEX('Animal Register'!$M:$M,MATCH($A114,'Animal Register'!$A:$A,0)))</f>
        <v/>
      </c>
      <c r="K114" s="47" t="str">
        <f aca="false">IF($A114="","",IF(ISNUMBER(I114),IF(I114&gt;=J114*0.9,"On Track","Behind Target"),"-"))</f>
        <v/>
      </c>
    </row>
    <row r="115" customFormat="false" ht="15" hidden="false" customHeight="false" outlineLevel="0" collapsed="false">
      <c r="A115" s="50"/>
      <c r="B115" s="51"/>
      <c r="C115" s="50"/>
      <c r="D115" s="38"/>
      <c r="E115" s="38"/>
      <c r="F115" s="47" t="str">
        <f aca="false">IF($A115="","",IF($A115=$A114,$B115-$B114,"-"))</f>
        <v/>
      </c>
      <c r="G115" s="67" t="str">
        <f aca="false">IF($A115="","",IF(AND($A115=$A114,ISNUMBER(F115)),(C115-C114)*1000/F115,"-"))</f>
        <v/>
      </c>
      <c r="H115" s="47" t="str">
        <f aca="false">IF($A115="","",$B115-INDEX('Animal Register'!$K:$K,MATCH($A115,'Animal Register'!$A:$A,0)))</f>
        <v/>
      </c>
      <c r="I115" s="67" t="str">
        <f aca="false">IF($A115="","",IF(H115=0,"-",(C115-INDEX('Animal Register'!$I:$I,MATCH($A115,'Animal Register'!$A:$A,0)))*1000/H115))</f>
        <v/>
      </c>
      <c r="J115" s="67" t="str">
        <f aca="false">IF($A115="","",INDEX('Animal Register'!$M:$M,MATCH($A115,'Animal Register'!$A:$A,0)))</f>
        <v/>
      </c>
      <c r="K115" s="47" t="str">
        <f aca="false">IF($A115="","",IF(ISNUMBER(I115),IF(I115&gt;=J115*0.9,"On Track","Behind Target"),"-"))</f>
        <v/>
      </c>
    </row>
    <row r="116" customFormat="false" ht="15" hidden="false" customHeight="false" outlineLevel="0" collapsed="false">
      <c r="A116" s="50"/>
      <c r="B116" s="51"/>
      <c r="C116" s="50"/>
      <c r="D116" s="38"/>
      <c r="E116" s="38"/>
      <c r="F116" s="47" t="str">
        <f aca="false">IF($A116="","",IF($A116=$A115,$B116-$B115,"-"))</f>
        <v/>
      </c>
      <c r="G116" s="67" t="str">
        <f aca="false">IF($A116="","",IF(AND($A116=$A115,ISNUMBER(F116)),(C116-C115)*1000/F116,"-"))</f>
        <v/>
      </c>
      <c r="H116" s="47" t="str">
        <f aca="false">IF($A116="","",$B116-INDEX('Animal Register'!$K:$K,MATCH($A116,'Animal Register'!$A:$A,0)))</f>
        <v/>
      </c>
      <c r="I116" s="67" t="str">
        <f aca="false">IF($A116="","",IF(H116=0,"-",(C116-INDEX('Animal Register'!$I:$I,MATCH($A116,'Animal Register'!$A:$A,0)))*1000/H116))</f>
        <v/>
      </c>
      <c r="J116" s="67" t="str">
        <f aca="false">IF($A116="","",INDEX('Animal Register'!$M:$M,MATCH($A116,'Animal Register'!$A:$A,0)))</f>
        <v/>
      </c>
      <c r="K116" s="47" t="str">
        <f aca="false">IF($A116="","",IF(ISNUMBER(I116),IF(I116&gt;=J116*0.9,"On Track","Behind Target"),"-"))</f>
        <v/>
      </c>
    </row>
    <row r="117" customFormat="false" ht="15" hidden="false" customHeight="false" outlineLevel="0" collapsed="false">
      <c r="A117" s="50"/>
      <c r="B117" s="51"/>
      <c r="C117" s="50"/>
      <c r="D117" s="38"/>
      <c r="E117" s="38"/>
      <c r="F117" s="47" t="str">
        <f aca="false">IF($A117="","",IF($A117=$A116,$B117-$B116,"-"))</f>
        <v/>
      </c>
      <c r="G117" s="67" t="str">
        <f aca="false">IF($A117="","",IF(AND($A117=$A116,ISNUMBER(F117)),(C117-C116)*1000/F117,"-"))</f>
        <v/>
      </c>
      <c r="H117" s="47" t="str">
        <f aca="false">IF($A117="","",$B117-INDEX('Animal Register'!$K:$K,MATCH($A117,'Animal Register'!$A:$A,0)))</f>
        <v/>
      </c>
      <c r="I117" s="67" t="str">
        <f aca="false">IF($A117="","",IF(H117=0,"-",(C117-INDEX('Animal Register'!$I:$I,MATCH($A117,'Animal Register'!$A:$A,0)))*1000/H117))</f>
        <v/>
      </c>
      <c r="J117" s="67" t="str">
        <f aca="false">IF($A117="","",INDEX('Animal Register'!$M:$M,MATCH($A117,'Animal Register'!$A:$A,0)))</f>
        <v/>
      </c>
      <c r="K117" s="47" t="str">
        <f aca="false">IF($A117="","",IF(ISNUMBER(I117),IF(I117&gt;=J117*0.9,"On Track","Behind Target"),"-"))</f>
        <v/>
      </c>
    </row>
    <row r="118" customFormat="false" ht="15" hidden="false" customHeight="false" outlineLevel="0" collapsed="false">
      <c r="A118" s="50"/>
      <c r="B118" s="51"/>
      <c r="C118" s="50"/>
      <c r="D118" s="38"/>
      <c r="E118" s="38"/>
      <c r="F118" s="47" t="str">
        <f aca="false">IF($A118="","",IF($A118=$A117,$B118-$B117,"-"))</f>
        <v/>
      </c>
      <c r="G118" s="67" t="str">
        <f aca="false">IF($A118="","",IF(AND($A118=$A117,ISNUMBER(F118)),(C118-C117)*1000/F118,"-"))</f>
        <v/>
      </c>
      <c r="H118" s="47" t="str">
        <f aca="false">IF($A118="","",$B118-INDEX('Animal Register'!$K:$K,MATCH($A118,'Animal Register'!$A:$A,0)))</f>
        <v/>
      </c>
      <c r="I118" s="67" t="str">
        <f aca="false">IF($A118="","",IF(H118=0,"-",(C118-INDEX('Animal Register'!$I:$I,MATCH($A118,'Animal Register'!$A:$A,0)))*1000/H118))</f>
        <v/>
      </c>
      <c r="J118" s="67" t="str">
        <f aca="false">IF($A118="","",INDEX('Animal Register'!$M:$M,MATCH($A118,'Animal Register'!$A:$A,0)))</f>
        <v/>
      </c>
      <c r="K118" s="47" t="str">
        <f aca="false">IF($A118="","",IF(ISNUMBER(I118),IF(I118&gt;=J118*0.9,"On Track","Behind Target"),"-"))</f>
        <v/>
      </c>
    </row>
    <row r="119" customFormat="false" ht="15" hidden="false" customHeight="false" outlineLevel="0" collapsed="false">
      <c r="A119" s="50"/>
      <c r="B119" s="51"/>
      <c r="C119" s="50"/>
      <c r="D119" s="38"/>
      <c r="E119" s="38"/>
      <c r="F119" s="47" t="str">
        <f aca="false">IF($A119="","",IF($A119=$A118,$B119-$B118,"-"))</f>
        <v/>
      </c>
      <c r="G119" s="67" t="str">
        <f aca="false">IF($A119="","",IF(AND($A119=$A118,ISNUMBER(F119)),(C119-C118)*1000/F119,"-"))</f>
        <v/>
      </c>
      <c r="H119" s="47" t="str">
        <f aca="false">IF($A119="","",$B119-INDEX('Animal Register'!$K:$K,MATCH($A119,'Animal Register'!$A:$A,0)))</f>
        <v/>
      </c>
      <c r="I119" s="67" t="str">
        <f aca="false">IF($A119="","",IF(H119=0,"-",(C119-INDEX('Animal Register'!$I:$I,MATCH($A119,'Animal Register'!$A:$A,0)))*1000/H119))</f>
        <v/>
      </c>
      <c r="J119" s="67" t="str">
        <f aca="false">IF($A119="","",INDEX('Animal Register'!$M:$M,MATCH($A119,'Animal Register'!$A:$A,0)))</f>
        <v/>
      </c>
      <c r="K119" s="47" t="str">
        <f aca="false">IF($A119="","",IF(ISNUMBER(I119),IF(I119&gt;=J119*0.9,"On Track","Behind Target"),"-"))</f>
        <v/>
      </c>
    </row>
    <row r="120" customFormat="false" ht="15" hidden="false" customHeight="false" outlineLevel="0" collapsed="false">
      <c r="A120" s="50"/>
      <c r="B120" s="51"/>
      <c r="C120" s="50"/>
      <c r="D120" s="38"/>
      <c r="E120" s="38"/>
      <c r="F120" s="47" t="str">
        <f aca="false">IF($A120="","",IF($A120=$A119,$B120-$B119,"-"))</f>
        <v/>
      </c>
      <c r="G120" s="67" t="str">
        <f aca="false">IF($A120="","",IF(AND($A120=$A119,ISNUMBER(F120)),(C120-C119)*1000/F120,"-"))</f>
        <v/>
      </c>
      <c r="H120" s="47" t="str">
        <f aca="false">IF($A120="","",$B120-INDEX('Animal Register'!$K:$K,MATCH($A120,'Animal Register'!$A:$A,0)))</f>
        <v/>
      </c>
      <c r="I120" s="67" t="str">
        <f aca="false">IF($A120="","",IF(H120=0,"-",(C120-INDEX('Animal Register'!$I:$I,MATCH($A120,'Animal Register'!$A:$A,0)))*1000/H120))</f>
        <v/>
      </c>
      <c r="J120" s="67" t="str">
        <f aca="false">IF($A120="","",INDEX('Animal Register'!$M:$M,MATCH($A120,'Animal Register'!$A:$A,0)))</f>
        <v/>
      </c>
      <c r="K120" s="47" t="str">
        <f aca="false">IF($A120="","",IF(ISNUMBER(I120),IF(I120&gt;=J120*0.9,"On Track","Behind Target"),"-"))</f>
        <v/>
      </c>
    </row>
    <row r="121" customFormat="false" ht="15" hidden="false" customHeight="false" outlineLevel="0" collapsed="false">
      <c r="A121" s="50"/>
      <c r="B121" s="51"/>
      <c r="C121" s="50"/>
      <c r="D121" s="38"/>
      <c r="E121" s="38"/>
      <c r="F121" s="47" t="str">
        <f aca="false">IF($A121="","",IF($A121=$A120,$B121-$B120,"-"))</f>
        <v/>
      </c>
      <c r="G121" s="67" t="str">
        <f aca="false">IF($A121="","",IF(AND($A121=$A120,ISNUMBER(F121)),(C121-C120)*1000/F121,"-"))</f>
        <v/>
      </c>
      <c r="H121" s="47" t="str">
        <f aca="false">IF($A121="","",$B121-INDEX('Animal Register'!$K:$K,MATCH($A121,'Animal Register'!$A:$A,0)))</f>
        <v/>
      </c>
      <c r="I121" s="67" t="str">
        <f aca="false">IF($A121="","",IF(H121=0,"-",(C121-INDEX('Animal Register'!$I:$I,MATCH($A121,'Animal Register'!$A:$A,0)))*1000/H121))</f>
        <v/>
      </c>
      <c r="J121" s="67" t="str">
        <f aca="false">IF($A121="","",INDEX('Animal Register'!$M:$M,MATCH($A121,'Animal Register'!$A:$A,0)))</f>
        <v/>
      </c>
      <c r="K121" s="47" t="str">
        <f aca="false">IF($A121="","",IF(ISNUMBER(I121),IF(I121&gt;=J121*0.9,"On Track","Behind Target"),"-"))</f>
        <v/>
      </c>
    </row>
    <row r="122" customFormat="false" ht="15" hidden="false" customHeight="false" outlineLevel="0" collapsed="false">
      <c r="A122" s="50"/>
      <c r="B122" s="51"/>
      <c r="C122" s="50"/>
      <c r="D122" s="38"/>
      <c r="E122" s="38"/>
      <c r="F122" s="47" t="str">
        <f aca="false">IF($A122="","",IF($A122=$A121,$B122-$B121,"-"))</f>
        <v/>
      </c>
      <c r="G122" s="67" t="str">
        <f aca="false">IF($A122="","",IF(AND($A122=$A121,ISNUMBER(F122)),(C122-C121)*1000/F122,"-"))</f>
        <v/>
      </c>
      <c r="H122" s="47" t="str">
        <f aca="false">IF($A122="","",$B122-INDEX('Animal Register'!$K:$K,MATCH($A122,'Animal Register'!$A:$A,0)))</f>
        <v/>
      </c>
      <c r="I122" s="67" t="str">
        <f aca="false">IF($A122="","",IF(H122=0,"-",(C122-INDEX('Animal Register'!$I:$I,MATCH($A122,'Animal Register'!$A:$A,0)))*1000/H122))</f>
        <v/>
      </c>
      <c r="J122" s="67" t="str">
        <f aca="false">IF($A122="","",INDEX('Animal Register'!$M:$M,MATCH($A122,'Animal Register'!$A:$A,0)))</f>
        <v/>
      </c>
      <c r="K122" s="47" t="str">
        <f aca="false">IF($A122="","",IF(ISNUMBER(I122),IF(I122&gt;=J122*0.9,"On Track","Behind Target"),"-"))</f>
        <v/>
      </c>
    </row>
    <row r="123" customFormat="false" ht="15" hidden="false" customHeight="false" outlineLevel="0" collapsed="false">
      <c r="A123" s="50"/>
      <c r="B123" s="51"/>
      <c r="C123" s="50"/>
      <c r="D123" s="38"/>
      <c r="E123" s="38"/>
      <c r="F123" s="47" t="str">
        <f aca="false">IF($A123="","",IF($A123=$A122,$B123-$B122,"-"))</f>
        <v/>
      </c>
      <c r="G123" s="67" t="str">
        <f aca="false">IF($A123="","",IF(AND($A123=$A122,ISNUMBER(F123)),(C123-C122)*1000/F123,"-"))</f>
        <v/>
      </c>
      <c r="H123" s="47" t="str">
        <f aca="false">IF($A123="","",$B123-INDEX('Animal Register'!$K:$K,MATCH($A123,'Animal Register'!$A:$A,0)))</f>
        <v/>
      </c>
      <c r="I123" s="67" t="str">
        <f aca="false">IF($A123="","",IF(H123=0,"-",(C123-INDEX('Animal Register'!$I:$I,MATCH($A123,'Animal Register'!$A:$A,0)))*1000/H123))</f>
        <v/>
      </c>
      <c r="J123" s="67" t="str">
        <f aca="false">IF($A123="","",INDEX('Animal Register'!$M:$M,MATCH($A123,'Animal Register'!$A:$A,0)))</f>
        <v/>
      </c>
      <c r="K123" s="47" t="str">
        <f aca="false">IF($A123="","",IF(ISNUMBER(I123),IF(I123&gt;=J123*0.9,"On Track","Behind Target"),"-"))</f>
        <v/>
      </c>
    </row>
    <row r="124" customFormat="false" ht="15" hidden="false" customHeight="false" outlineLevel="0" collapsed="false">
      <c r="A124" s="50"/>
      <c r="B124" s="51"/>
      <c r="C124" s="50"/>
      <c r="D124" s="38"/>
      <c r="E124" s="38"/>
      <c r="F124" s="47" t="str">
        <f aca="false">IF($A124="","",IF($A124=$A123,$B124-$B123,"-"))</f>
        <v/>
      </c>
      <c r="G124" s="67" t="str">
        <f aca="false">IF($A124="","",IF(AND($A124=$A123,ISNUMBER(F124)),(C124-C123)*1000/F124,"-"))</f>
        <v/>
      </c>
      <c r="H124" s="47" t="str">
        <f aca="false">IF($A124="","",$B124-INDEX('Animal Register'!$K:$K,MATCH($A124,'Animal Register'!$A:$A,0)))</f>
        <v/>
      </c>
      <c r="I124" s="67" t="str">
        <f aca="false">IF($A124="","",IF(H124=0,"-",(C124-INDEX('Animal Register'!$I:$I,MATCH($A124,'Animal Register'!$A:$A,0)))*1000/H124))</f>
        <v/>
      </c>
      <c r="J124" s="67" t="str">
        <f aca="false">IF($A124="","",INDEX('Animal Register'!$M:$M,MATCH($A124,'Animal Register'!$A:$A,0)))</f>
        <v/>
      </c>
      <c r="K124" s="47" t="str">
        <f aca="false">IF($A124="","",IF(ISNUMBER(I124),IF(I124&gt;=J124*0.9,"On Track","Behind Target"),"-"))</f>
        <v/>
      </c>
    </row>
    <row r="125" customFormat="false" ht="15" hidden="false" customHeight="false" outlineLevel="0" collapsed="false">
      <c r="A125" s="50"/>
      <c r="B125" s="51"/>
      <c r="C125" s="50"/>
      <c r="D125" s="38"/>
      <c r="E125" s="38"/>
      <c r="F125" s="47" t="str">
        <f aca="false">IF($A125="","",IF($A125=$A124,$B125-$B124,"-"))</f>
        <v/>
      </c>
      <c r="G125" s="67" t="str">
        <f aca="false">IF($A125="","",IF(AND($A125=$A124,ISNUMBER(F125)),(C125-C124)*1000/F125,"-"))</f>
        <v/>
      </c>
      <c r="H125" s="47" t="str">
        <f aca="false">IF($A125="","",$B125-INDEX('Animal Register'!$K:$K,MATCH($A125,'Animal Register'!$A:$A,0)))</f>
        <v/>
      </c>
      <c r="I125" s="67" t="str">
        <f aca="false">IF($A125="","",IF(H125=0,"-",(C125-INDEX('Animal Register'!$I:$I,MATCH($A125,'Animal Register'!$A:$A,0)))*1000/H125))</f>
        <v/>
      </c>
      <c r="J125" s="67" t="str">
        <f aca="false">IF($A125="","",INDEX('Animal Register'!$M:$M,MATCH($A125,'Animal Register'!$A:$A,0)))</f>
        <v/>
      </c>
      <c r="K125" s="47" t="str">
        <f aca="false">IF($A125="","",IF(ISNUMBER(I125),IF(I125&gt;=J125*0.9,"On Track","Behind Target"),"-"))</f>
        <v/>
      </c>
    </row>
    <row r="126" customFormat="false" ht="15" hidden="false" customHeight="false" outlineLevel="0" collapsed="false">
      <c r="A126" s="50"/>
      <c r="B126" s="51"/>
      <c r="C126" s="50"/>
      <c r="D126" s="38"/>
      <c r="E126" s="38"/>
      <c r="F126" s="47" t="str">
        <f aca="false">IF($A126="","",IF($A126=$A125,$B126-$B125,"-"))</f>
        <v/>
      </c>
      <c r="G126" s="67" t="str">
        <f aca="false">IF($A126="","",IF(AND($A126=$A125,ISNUMBER(F126)),(C126-C125)*1000/F126,"-"))</f>
        <v/>
      </c>
      <c r="H126" s="47" t="str">
        <f aca="false">IF($A126="","",$B126-INDEX('Animal Register'!$K:$K,MATCH($A126,'Animal Register'!$A:$A,0)))</f>
        <v/>
      </c>
      <c r="I126" s="67" t="str">
        <f aca="false">IF($A126="","",IF(H126=0,"-",(C126-INDEX('Animal Register'!$I:$I,MATCH($A126,'Animal Register'!$A:$A,0)))*1000/H126))</f>
        <v/>
      </c>
      <c r="J126" s="67" t="str">
        <f aca="false">IF($A126="","",INDEX('Animal Register'!$M:$M,MATCH($A126,'Animal Register'!$A:$A,0)))</f>
        <v/>
      </c>
      <c r="K126" s="47" t="str">
        <f aca="false">IF($A126="","",IF(ISNUMBER(I126),IF(I126&gt;=J126*0.9,"On Track","Behind Target"),"-"))</f>
        <v/>
      </c>
    </row>
    <row r="127" customFormat="false" ht="15" hidden="false" customHeight="false" outlineLevel="0" collapsed="false">
      <c r="A127" s="50"/>
      <c r="B127" s="51"/>
      <c r="C127" s="50"/>
      <c r="D127" s="38"/>
      <c r="E127" s="38"/>
      <c r="F127" s="47" t="str">
        <f aca="false">IF($A127="","",IF($A127=$A126,$B127-$B126,"-"))</f>
        <v/>
      </c>
      <c r="G127" s="67" t="str">
        <f aca="false">IF($A127="","",IF(AND($A127=$A126,ISNUMBER(F127)),(C127-C126)*1000/F127,"-"))</f>
        <v/>
      </c>
      <c r="H127" s="47" t="str">
        <f aca="false">IF($A127="","",$B127-INDEX('Animal Register'!$K:$K,MATCH($A127,'Animal Register'!$A:$A,0)))</f>
        <v/>
      </c>
      <c r="I127" s="67" t="str">
        <f aca="false">IF($A127="","",IF(H127=0,"-",(C127-INDEX('Animal Register'!$I:$I,MATCH($A127,'Animal Register'!$A:$A,0)))*1000/H127))</f>
        <v/>
      </c>
      <c r="J127" s="67" t="str">
        <f aca="false">IF($A127="","",INDEX('Animal Register'!$M:$M,MATCH($A127,'Animal Register'!$A:$A,0)))</f>
        <v/>
      </c>
      <c r="K127" s="47" t="str">
        <f aca="false">IF($A127="","",IF(ISNUMBER(I127),IF(I127&gt;=J127*0.9,"On Track","Behind Target"),"-"))</f>
        <v/>
      </c>
    </row>
    <row r="128" customFormat="false" ht="15" hidden="false" customHeight="false" outlineLevel="0" collapsed="false">
      <c r="A128" s="50"/>
      <c r="B128" s="51"/>
      <c r="C128" s="50"/>
      <c r="D128" s="38"/>
      <c r="E128" s="38"/>
      <c r="F128" s="47" t="str">
        <f aca="false">IF($A128="","",IF($A128=$A127,$B128-$B127,"-"))</f>
        <v/>
      </c>
      <c r="G128" s="67" t="str">
        <f aca="false">IF($A128="","",IF(AND($A128=$A127,ISNUMBER(F128)),(C128-C127)*1000/F128,"-"))</f>
        <v/>
      </c>
      <c r="H128" s="47" t="str">
        <f aca="false">IF($A128="","",$B128-INDEX('Animal Register'!$K:$K,MATCH($A128,'Animal Register'!$A:$A,0)))</f>
        <v/>
      </c>
      <c r="I128" s="67" t="str">
        <f aca="false">IF($A128="","",IF(H128=0,"-",(C128-INDEX('Animal Register'!$I:$I,MATCH($A128,'Animal Register'!$A:$A,0)))*1000/H128))</f>
        <v/>
      </c>
      <c r="J128" s="67" t="str">
        <f aca="false">IF($A128="","",INDEX('Animal Register'!$M:$M,MATCH($A128,'Animal Register'!$A:$A,0)))</f>
        <v/>
      </c>
      <c r="K128" s="47" t="str">
        <f aca="false">IF($A128="","",IF(ISNUMBER(I128),IF(I128&gt;=J128*0.9,"On Track","Behind Target"),"-"))</f>
        <v/>
      </c>
    </row>
    <row r="129" customFormat="false" ht="15" hidden="false" customHeight="false" outlineLevel="0" collapsed="false">
      <c r="A129" s="50"/>
      <c r="B129" s="51"/>
      <c r="C129" s="50"/>
      <c r="D129" s="38"/>
      <c r="E129" s="38"/>
      <c r="F129" s="47" t="str">
        <f aca="false">IF($A129="","",IF($A129=$A128,$B129-$B128,"-"))</f>
        <v/>
      </c>
      <c r="G129" s="67" t="str">
        <f aca="false">IF($A129="","",IF(AND($A129=$A128,ISNUMBER(F129)),(C129-C128)*1000/F129,"-"))</f>
        <v/>
      </c>
      <c r="H129" s="47" t="str">
        <f aca="false">IF($A129="","",$B129-INDEX('Animal Register'!$K:$K,MATCH($A129,'Animal Register'!$A:$A,0)))</f>
        <v/>
      </c>
      <c r="I129" s="67" t="str">
        <f aca="false">IF($A129="","",IF(H129=0,"-",(C129-INDEX('Animal Register'!$I:$I,MATCH($A129,'Animal Register'!$A:$A,0)))*1000/H129))</f>
        <v/>
      </c>
      <c r="J129" s="67" t="str">
        <f aca="false">IF($A129="","",INDEX('Animal Register'!$M:$M,MATCH($A129,'Animal Register'!$A:$A,0)))</f>
        <v/>
      </c>
      <c r="K129" s="47" t="str">
        <f aca="false">IF($A129="","",IF(ISNUMBER(I129),IF(I129&gt;=J129*0.9,"On Track","Behind Target"),"-"))</f>
        <v/>
      </c>
    </row>
    <row r="130" customFormat="false" ht="15" hidden="false" customHeight="false" outlineLevel="0" collapsed="false">
      <c r="A130" s="50"/>
      <c r="B130" s="51"/>
      <c r="C130" s="50"/>
      <c r="D130" s="38"/>
      <c r="E130" s="38"/>
      <c r="F130" s="47" t="str">
        <f aca="false">IF($A130="","",IF($A130=$A129,$B130-$B129,"-"))</f>
        <v/>
      </c>
      <c r="G130" s="67" t="str">
        <f aca="false">IF($A130="","",IF(AND($A130=$A129,ISNUMBER(F130)),(C130-C129)*1000/F130,"-"))</f>
        <v/>
      </c>
      <c r="H130" s="47" t="str">
        <f aca="false">IF($A130="","",$B130-INDEX('Animal Register'!$K:$K,MATCH($A130,'Animal Register'!$A:$A,0)))</f>
        <v/>
      </c>
      <c r="I130" s="67" t="str">
        <f aca="false">IF($A130="","",IF(H130=0,"-",(C130-INDEX('Animal Register'!$I:$I,MATCH($A130,'Animal Register'!$A:$A,0)))*1000/H130))</f>
        <v/>
      </c>
      <c r="J130" s="67" t="str">
        <f aca="false">IF($A130="","",INDEX('Animal Register'!$M:$M,MATCH($A130,'Animal Register'!$A:$A,0)))</f>
        <v/>
      </c>
      <c r="K130" s="47" t="str">
        <f aca="false">IF($A130="","",IF(ISNUMBER(I130),IF(I130&gt;=J130*0.9,"On Track","Behind Target"),"-"))</f>
        <v/>
      </c>
    </row>
    <row r="131" customFormat="false" ht="15" hidden="false" customHeight="false" outlineLevel="0" collapsed="false">
      <c r="A131" s="50"/>
      <c r="B131" s="51"/>
      <c r="C131" s="50"/>
      <c r="D131" s="38"/>
      <c r="E131" s="38"/>
      <c r="F131" s="47" t="str">
        <f aca="false">IF($A131="","",IF($A131=$A130,$B131-$B130,"-"))</f>
        <v/>
      </c>
      <c r="G131" s="67" t="str">
        <f aca="false">IF($A131="","",IF(AND($A131=$A130,ISNUMBER(F131)),(C131-C130)*1000/F131,"-"))</f>
        <v/>
      </c>
      <c r="H131" s="47" t="str">
        <f aca="false">IF($A131="","",$B131-INDEX('Animal Register'!$K:$K,MATCH($A131,'Animal Register'!$A:$A,0)))</f>
        <v/>
      </c>
      <c r="I131" s="67" t="str">
        <f aca="false">IF($A131="","",IF(H131=0,"-",(C131-INDEX('Animal Register'!$I:$I,MATCH($A131,'Animal Register'!$A:$A,0)))*1000/H131))</f>
        <v/>
      </c>
      <c r="J131" s="67" t="str">
        <f aca="false">IF($A131="","",INDEX('Animal Register'!$M:$M,MATCH($A131,'Animal Register'!$A:$A,0)))</f>
        <v/>
      </c>
      <c r="K131" s="47" t="str">
        <f aca="false">IF($A131="","",IF(ISNUMBER(I131),IF(I131&gt;=J131*0.9,"On Track","Behind Target"),"-"))</f>
        <v/>
      </c>
    </row>
    <row r="132" customFormat="false" ht="15" hidden="false" customHeight="false" outlineLevel="0" collapsed="false">
      <c r="A132" s="50"/>
      <c r="B132" s="51"/>
      <c r="C132" s="50"/>
      <c r="D132" s="38"/>
      <c r="E132" s="38"/>
      <c r="F132" s="47" t="str">
        <f aca="false">IF($A132="","",IF($A132=$A131,$B132-$B131,"-"))</f>
        <v/>
      </c>
      <c r="G132" s="67" t="str">
        <f aca="false">IF($A132="","",IF(AND($A132=$A131,ISNUMBER(F132)),(C132-C131)*1000/F132,"-"))</f>
        <v/>
      </c>
      <c r="H132" s="47" t="str">
        <f aca="false">IF($A132="","",$B132-INDEX('Animal Register'!$K:$K,MATCH($A132,'Animal Register'!$A:$A,0)))</f>
        <v/>
      </c>
      <c r="I132" s="67" t="str">
        <f aca="false">IF($A132="","",IF(H132=0,"-",(C132-INDEX('Animal Register'!$I:$I,MATCH($A132,'Animal Register'!$A:$A,0)))*1000/H132))</f>
        <v/>
      </c>
      <c r="J132" s="67" t="str">
        <f aca="false">IF($A132="","",INDEX('Animal Register'!$M:$M,MATCH($A132,'Animal Register'!$A:$A,0)))</f>
        <v/>
      </c>
      <c r="K132" s="47" t="str">
        <f aca="false">IF($A132="","",IF(ISNUMBER(I132),IF(I132&gt;=J132*0.9,"On Track","Behind Target"),"-"))</f>
        <v/>
      </c>
    </row>
    <row r="133" customFormat="false" ht="15" hidden="false" customHeight="false" outlineLevel="0" collapsed="false">
      <c r="A133" s="50"/>
      <c r="B133" s="51"/>
      <c r="C133" s="50"/>
      <c r="D133" s="38"/>
      <c r="E133" s="38"/>
      <c r="F133" s="47" t="str">
        <f aca="false">IF($A133="","",IF($A133=$A132,$B133-$B132,"-"))</f>
        <v/>
      </c>
      <c r="G133" s="67" t="str">
        <f aca="false">IF($A133="","",IF(AND($A133=$A132,ISNUMBER(F133)),(C133-C132)*1000/F133,"-"))</f>
        <v/>
      </c>
      <c r="H133" s="47" t="str">
        <f aca="false">IF($A133="","",$B133-INDEX('Animal Register'!$K:$K,MATCH($A133,'Animal Register'!$A:$A,0)))</f>
        <v/>
      </c>
      <c r="I133" s="67" t="str">
        <f aca="false">IF($A133="","",IF(H133=0,"-",(C133-INDEX('Animal Register'!$I:$I,MATCH($A133,'Animal Register'!$A:$A,0)))*1000/H133))</f>
        <v/>
      </c>
      <c r="J133" s="67" t="str">
        <f aca="false">IF($A133="","",INDEX('Animal Register'!$M:$M,MATCH($A133,'Animal Register'!$A:$A,0)))</f>
        <v/>
      </c>
      <c r="K133" s="47" t="str">
        <f aca="false">IF($A133="","",IF(ISNUMBER(I133),IF(I133&gt;=J133*0.9,"On Track","Behind Target"),"-"))</f>
        <v/>
      </c>
    </row>
    <row r="134" customFormat="false" ht="15" hidden="false" customHeight="false" outlineLevel="0" collapsed="false">
      <c r="A134" s="50"/>
      <c r="B134" s="51"/>
      <c r="C134" s="50"/>
      <c r="D134" s="38"/>
      <c r="E134" s="38"/>
      <c r="F134" s="47" t="str">
        <f aca="false">IF($A134="","",IF($A134=$A133,$B134-$B133,"-"))</f>
        <v/>
      </c>
      <c r="G134" s="67" t="str">
        <f aca="false">IF($A134="","",IF(AND($A134=$A133,ISNUMBER(F134)),(C134-C133)*1000/F134,"-"))</f>
        <v/>
      </c>
      <c r="H134" s="47" t="str">
        <f aca="false">IF($A134="","",$B134-INDEX('Animal Register'!$K:$K,MATCH($A134,'Animal Register'!$A:$A,0)))</f>
        <v/>
      </c>
      <c r="I134" s="67" t="str">
        <f aca="false">IF($A134="","",IF(H134=0,"-",(C134-INDEX('Animal Register'!$I:$I,MATCH($A134,'Animal Register'!$A:$A,0)))*1000/H134))</f>
        <v/>
      </c>
      <c r="J134" s="67" t="str">
        <f aca="false">IF($A134="","",INDEX('Animal Register'!$M:$M,MATCH($A134,'Animal Register'!$A:$A,0)))</f>
        <v/>
      </c>
      <c r="K134" s="47" t="str">
        <f aca="false">IF($A134="","",IF(ISNUMBER(I134),IF(I134&gt;=J134*0.9,"On Track","Behind Target"),"-"))</f>
        <v/>
      </c>
    </row>
    <row r="135" customFormat="false" ht="15" hidden="false" customHeight="false" outlineLevel="0" collapsed="false">
      <c r="A135" s="50"/>
      <c r="B135" s="51"/>
      <c r="C135" s="50"/>
      <c r="D135" s="38"/>
      <c r="E135" s="38"/>
      <c r="F135" s="47" t="str">
        <f aca="false">IF($A135="","",IF($A135=$A134,$B135-$B134,"-"))</f>
        <v/>
      </c>
      <c r="G135" s="67" t="str">
        <f aca="false">IF($A135="","",IF(AND($A135=$A134,ISNUMBER(F135)),(C135-C134)*1000/F135,"-"))</f>
        <v/>
      </c>
      <c r="H135" s="47" t="str">
        <f aca="false">IF($A135="","",$B135-INDEX('Animal Register'!$K:$K,MATCH($A135,'Animal Register'!$A:$A,0)))</f>
        <v/>
      </c>
      <c r="I135" s="67" t="str">
        <f aca="false">IF($A135="","",IF(H135=0,"-",(C135-INDEX('Animal Register'!$I:$I,MATCH($A135,'Animal Register'!$A:$A,0)))*1000/H135))</f>
        <v/>
      </c>
      <c r="J135" s="67" t="str">
        <f aca="false">IF($A135="","",INDEX('Animal Register'!$M:$M,MATCH($A135,'Animal Register'!$A:$A,0)))</f>
        <v/>
      </c>
      <c r="K135" s="47" t="str">
        <f aca="false">IF($A135="","",IF(ISNUMBER(I135),IF(I135&gt;=J135*0.9,"On Track","Behind Target"),"-"))</f>
        <v/>
      </c>
    </row>
    <row r="136" customFormat="false" ht="15" hidden="false" customHeight="false" outlineLevel="0" collapsed="false">
      <c r="A136" s="50"/>
      <c r="B136" s="51"/>
      <c r="C136" s="50"/>
      <c r="D136" s="38"/>
      <c r="E136" s="38"/>
      <c r="F136" s="47" t="str">
        <f aca="false">IF($A136="","",IF($A136=$A135,$B136-$B135,"-"))</f>
        <v/>
      </c>
      <c r="G136" s="67" t="str">
        <f aca="false">IF($A136="","",IF(AND($A136=$A135,ISNUMBER(F136)),(C136-C135)*1000/F136,"-"))</f>
        <v/>
      </c>
      <c r="H136" s="47" t="str">
        <f aca="false">IF($A136="","",$B136-INDEX('Animal Register'!$K:$K,MATCH($A136,'Animal Register'!$A:$A,0)))</f>
        <v/>
      </c>
      <c r="I136" s="67" t="str">
        <f aca="false">IF($A136="","",IF(H136=0,"-",(C136-INDEX('Animal Register'!$I:$I,MATCH($A136,'Animal Register'!$A:$A,0)))*1000/H136))</f>
        <v/>
      </c>
      <c r="J136" s="67" t="str">
        <f aca="false">IF($A136="","",INDEX('Animal Register'!$M:$M,MATCH($A136,'Animal Register'!$A:$A,0)))</f>
        <v/>
      </c>
      <c r="K136" s="47" t="str">
        <f aca="false">IF($A136="","",IF(ISNUMBER(I136),IF(I136&gt;=J136*0.9,"On Track","Behind Target"),"-"))</f>
        <v/>
      </c>
    </row>
    <row r="137" customFormat="false" ht="15" hidden="false" customHeight="false" outlineLevel="0" collapsed="false">
      <c r="A137" s="50"/>
      <c r="B137" s="51"/>
      <c r="C137" s="50"/>
      <c r="D137" s="38"/>
      <c r="E137" s="38"/>
      <c r="F137" s="47" t="str">
        <f aca="false">IF($A137="","",IF($A137=$A136,$B137-$B136,"-"))</f>
        <v/>
      </c>
      <c r="G137" s="67" t="str">
        <f aca="false">IF($A137="","",IF(AND($A137=$A136,ISNUMBER(F137)),(C137-C136)*1000/F137,"-"))</f>
        <v/>
      </c>
      <c r="H137" s="47" t="str">
        <f aca="false">IF($A137="","",$B137-INDEX('Animal Register'!$K:$K,MATCH($A137,'Animal Register'!$A:$A,0)))</f>
        <v/>
      </c>
      <c r="I137" s="67" t="str">
        <f aca="false">IF($A137="","",IF(H137=0,"-",(C137-INDEX('Animal Register'!$I:$I,MATCH($A137,'Animal Register'!$A:$A,0)))*1000/H137))</f>
        <v/>
      </c>
      <c r="J137" s="67" t="str">
        <f aca="false">IF($A137="","",INDEX('Animal Register'!$M:$M,MATCH($A137,'Animal Register'!$A:$A,0)))</f>
        <v/>
      </c>
      <c r="K137" s="47" t="str">
        <f aca="false">IF($A137="","",IF(ISNUMBER(I137),IF(I137&gt;=J137*0.9,"On Track","Behind Target"),"-"))</f>
        <v/>
      </c>
    </row>
    <row r="138" customFormat="false" ht="15" hidden="false" customHeight="false" outlineLevel="0" collapsed="false">
      <c r="A138" s="50"/>
      <c r="B138" s="51"/>
      <c r="C138" s="50"/>
      <c r="D138" s="38"/>
      <c r="E138" s="38"/>
      <c r="F138" s="47" t="str">
        <f aca="false">IF($A138="","",IF($A138=$A137,$B138-$B137,"-"))</f>
        <v/>
      </c>
      <c r="G138" s="67" t="str">
        <f aca="false">IF($A138="","",IF(AND($A138=$A137,ISNUMBER(F138)),(C138-C137)*1000/F138,"-"))</f>
        <v/>
      </c>
      <c r="H138" s="47" t="str">
        <f aca="false">IF($A138="","",$B138-INDEX('Animal Register'!$K:$K,MATCH($A138,'Animal Register'!$A:$A,0)))</f>
        <v/>
      </c>
      <c r="I138" s="67" t="str">
        <f aca="false">IF($A138="","",IF(H138=0,"-",(C138-INDEX('Animal Register'!$I:$I,MATCH($A138,'Animal Register'!$A:$A,0)))*1000/H138))</f>
        <v/>
      </c>
      <c r="J138" s="67" t="str">
        <f aca="false">IF($A138="","",INDEX('Animal Register'!$M:$M,MATCH($A138,'Animal Register'!$A:$A,0)))</f>
        <v/>
      </c>
      <c r="K138" s="47" t="str">
        <f aca="false">IF($A138="","",IF(ISNUMBER(I138),IF(I138&gt;=J138*0.9,"On Track","Behind Target"),"-"))</f>
        <v/>
      </c>
    </row>
    <row r="139" customFormat="false" ht="15" hidden="false" customHeight="false" outlineLevel="0" collapsed="false">
      <c r="A139" s="50"/>
      <c r="B139" s="51"/>
      <c r="C139" s="50"/>
      <c r="D139" s="38"/>
      <c r="E139" s="38"/>
      <c r="F139" s="47" t="str">
        <f aca="false">IF($A139="","",IF($A139=$A138,$B139-$B138,"-"))</f>
        <v/>
      </c>
      <c r="G139" s="67" t="str">
        <f aca="false">IF($A139="","",IF(AND($A139=$A138,ISNUMBER(F139)),(C139-C138)*1000/F139,"-"))</f>
        <v/>
      </c>
      <c r="H139" s="47" t="str">
        <f aca="false">IF($A139="","",$B139-INDEX('Animal Register'!$K:$K,MATCH($A139,'Animal Register'!$A:$A,0)))</f>
        <v/>
      </c>
      <c r="I139" s="67" t="str">
        <f aca="false">IF($A139="","",IF(H139=0,"-",(C139-INDEX('Animal Register'!$I:$I,MATCH($A139,'Animal Register'!$A:$A,0)))*1000/H139))</f>
        <v/>
      </c>
      <c r="J139" s="67" t="str">
        <f aca="false">IF($A139="","",INDEX('Animal Register'!$M:$M,MATCH($A139,'Animal Register'!$A:$A,0)))</f>
        <v/>
      </c>
      <c r="K139" s="47" t="str">
        <f aca="false">IF($A139="","",IF(ISNUMBER(I139),IF(I139&gt;=J139*0.9,"On Track","Behind Target"),"-"))</f>
        <v/>
      </c>
    </row>
    <row r="140" customFormat="false" ht="15" hidden="false" customHeight="false" outlineLevel="0" collapsed="false">
      <c r="A140" s="50"/>
      <c r="B140" s="51"/>
      <c r="C140" s="50"/>
      <c r="D140" s="38"/>
      <c r="E140" s="38"/>
      <c r="F140" s="47" t="str">
        <f aca="false">IF($A140="","",IF($A140=$A139,$B140-$B139,"-"))</f>
        <v/>
      </c>
      <c r="G140" s="67" t="str">
        <f aca="false">IF($A140="","",IF(AND($A140=$A139,ISNUMBER(F140)),(C140-C139)*1000/F140,"-"))</f>
        <v/>
      </c>
      <c r="H140" s="47" t="str">
        <f aca="false">IF($A140="","",$B140-INDEX('Animal Register'!$K:$K,MATCH($A140,'Animal Register'!$A:$A,0)))</f>
        <v/>
      </c>
      <c r="I140" s="67" t="str">
        <f aca="false">IF($A140="","",IF(H140=0,"-",(C140-INDEX('Animal Register'!$I:$I,MATCH($A140,'Animal Register'!$A:$A,0)))*1000/H140))</f>
        <v/>
      </c>
      <c r="J140" s="67" t="str">
        <f aca="false">IF($A140="","",INDEX('Animal Register'!$M:$M,MATCH($A140,'Animal Register'!$A:$A,0)))</f>
        <v/>
      </c>
      <c r="K140" s="47" t="str">
        <f aca="false">IF($A140="","",IF(ISNUMBER(I140),IF(I140&gt;=J140*0.9,"On Track","Behind Target"),"-"))</f>
        <v/>
      </c>
    </row>
    <row r="141" customFormat="false" ht="15" hidden="false" customHeight="false" outlineLevel="0" collapsed="false">
      <c r="A141" s="50"/>
      <c r="B141" s="51"/>
      <c r="C141" s="50"/>
      <c r="D141" s="38"/>
      <c r="E141" s="38"/>
      <c r="F141" s="47" t="str">
        <f aca="false">IF($A141="","",IF($A141=$A140,$B141-$B140,"-"))</f>
        <v/>
      </c>
      <c r="G141" s="67" t="str">
        <f aca="false">IF($A141="","",IF(AND($A141=$A140,ISNUMBER(F141)),(C141-C140)*1000/F141,"-"))</f>
        <v/>
      </c>
      <c r="H141" s="47" t="str">
        <f aca="false">IF($A141="","",$B141-INDEX('Animal Register'!$K:$K,MATCH($A141,'Animal Register'!$A:$A,0)))</f>
        <v/>
      </c>
      <c r="I141" s="67" t="str">
        <f aca="false">IF($A141="","",IF(H141=0,"-",(C141-INDEX('Animal Register'!$I:$I,MATCH($A141,'Animal Register'!$A:$A,0)))*1000/H141))</f>
        <v/>
      </c>
      <c r="J141" s="67" t="str">
        <f aca="false">IF($A141="","",INDEX('Animal Register'!$M:$M,MATCH($A141,'Animal Register'!$A:$A,0)))</f>
        <v/>
      </c>
      <c r="K141" s="47" t="str">
        <f aca="false">IF($A141="","",IF(ISNUMBER(I141),IF(I141&gt;=J141*0.9,"On Track","Behind Target"),"-"))</f>
        <v/>
      </c>
    </row>
    <row r="142" customFormat="false" ht="15" hidden="false" customHeight="false" outlineLevel="0" collapsed="false">
      <c r="A142" s="50"/>
      <c r="B142" s="51"/>
      <c r="C142" s="50"/>
      <c r="D142" s="38"/>
      <c r="E142" s="38"/>
      <c r="F142" s="47" t="str">
        <f aca="false">IF($A142="","",IF($A142=$A141,$B142-$B141,"-"))</f>
        <v/>
      </c>
      <c r="G142" s="67" t="str">
        <f aca="false">IF($A142="","",IF(AND($A142=$A141,ISNUMBER(F142)),(C142-C141)*1000/F142,"-"))</f>
        <v/>
      </c>
      <c r="H142" s="47" t="str">
        <f aca="false">IF($A142="","",$B142-INDEX('Animal Register'!$K:$K,MATCH($A142,'Animal Register'!$A:$A,0)))</f>
        <v/>
      </c>
      <c r="I142" s="67" t="str">
        <f aca="false">IF($A142="","",IF(H142=0,"-",(C142-INDEX('Animal Register'!$I:$I,MATCH($A142,'Animal Register'!$A:$A,0)))*1000/H142))</f>
        <v/>
      </c>
      <c r="J142" s="67" t="str">
        <f aca="false">IF($A142="","",INDEX('Animal Register'!$M:$M,MATCH($A142,'Animal Register'!$A:$A,0)))</f>
        <v/>
      </c>
      <c r="K142" s="47" t="str">
        <f aca="false">IF($A142="","",IF(ISNUMBER(I142),IF(I142&gt;=J142*0.9,"On Track","Behind Target"),"-"))</f>
        <v/>
      </c>
    </row>
    <row r="143" customFormat="false" ht="15" hidden="false" customHeight="false" outlineLevel="0" collapsed="false">
      <c r="A143" s="50"/>
      <c r="B143" s="51"/>
      <c r="C143" s="50"/>
      <c r="D143" s="38"/>
      <c r="E143" s="38"/>
      <c r="F143" s="47" t="str">
        <f aca="false">IF($A143="","",IF($A143=$A142,$B143-$B142,"-"))</f>
        <v/>
      </c>
      <c r="G143" s="67" t="str">
        <f aca="false">IF($A143="","",IF(AND($A143=$A142,ISNUMBER(F143)),(C143-C142)*1000/F143,"-"))</f>
        <v/>
      </c>
      <c r="H143" s="47" t="str">
        <f aca="false">IF($A143="","",$B143-INDEX('Animal Register'!$K:$K,MATCH($A143,'Animal Register'!$A:$A,0)))</f>
        <v/>
      </c>
      <c r="I143" s="67" t="str">
        <f aca="false">IF($A143="","",IF(H143=0,"-",(C143-INDEX('Animal Register'!$I:$I,MATCH($A143,'Animal Register'!$A:$A,0)))*1000/H143))</f>
        <v/>
      </c>
      <c r="J143" s="67" t="str">
        <f aca="false">IF($A143="","",INDEX('Animal Register'!$M:$M,MATCH($A143,'Animal Register'!$A:$A,0)))</f>
        <v/>
      </c>
      <c r="K143" s="47" t="str">
        <f aca="false">IF($A143="","",IF(ISNUMBER(I143),IF(I143&gt;=J143*0.9,"On Track","Behind Target"),"-"))</f>
        <v/>
      </c>
    </row>
    <row r="144" customFormat="false" ht="15" hidden="false" customHeight="false" outlineLevel="0" collapsed="false">
      <c r="A144" s="50"/>
      <c r="B144" s="51"/>
      <c r="C144" s="50"/>
      <c r="D144" s="38"/>
      <c r="E144" s="38"/>
      <c r="F144" s="47" t="str">
        <f aca="false">IF($A144="","",IF($A144=$A143,$B144-$B143,"-"))</f>
        <v/>
      </c>
      <c r="G144" s="67" t="str">
        <f aca="false">IF($A144="","",IF(AND($A144=$A143,ISNUMBER(F144)),(C144-C143)*1000/F144,"-"))</f>
        <v/>
      </c>
      <c r="H144" s="47" t="str">
        <f aca="false">IF($A144="","",$B144-INDEX('Animal Register'!$K:$K,MATCH($A144,'Animal Register'!$A:$A,0)))</f>
        <v/>
      </c>
      <c r="I144" s="67" t="str">
        <f aca="false">IF($A144="","",IF(H144=0,"-",(C144-INDEX('Animal Register'!$I:$I,MATCH($A144,'Animal Register'!$A:$A,0)))*1000/H144))</f>
        <v/>
      </c>
      <c r="J144" s="67" t="str">
        <f aca="false">IF($A144="","",INDEX('Animal Register'!$M:$M,MATCH($A144,'Animal Register'!$A:$A,0)))</f>
        <v/>
      </c>
      <c r="K144" s="47" t="str">
        <f aca="false">IF($A144="","",IF(ISNUMBER(I144),IF(I144&gt;=J144*0.9,"On Track","Behind Target"),"-"))</f>
        <v/>
      </c>
    </row>
    <row r="145" customFormat="false" ht="15" hidden="false" customHeight="false" outlineLevel="0" collapsed="false">
      <c r="A145" s="50"/>
      <c r="B145" s="51"/>
      <c r="C145" s="50"/>
      <c r="D145" s="38"/>
      <c r="E145" s="38"/>
      <c r="F145" s="47" t="str">
        <f aca="false">IF($A145="","",IF($A145=$A144,$B145-$B144,"-"))</f>
        <v/>
      </c>
      <c r="G145" s="67" t="str">
        <f aca="false">IF($A145="","",IF(AND($A145=$A144,ISNUMBER(F145)),(C145-C144)*1000/F145,"-"))</f>
        <v/>
      </c>
      <c r="H145" s="47" t="str">
        <f aca="false">IF($A145="","",$B145-INDEX('Animal Register'!$K:$K,MATCH($A145,'Animal Register'!$A:$A,0)))</f>
        <v/>
      </c>
      <c r="I145" s="67" t="str">
        <f aca="false">IF($A145="","",IF(H145=0,"-",(C145-INDEX('Animal Register'!$I:$I,MATCH($A145,'Animal Register'!$A:$A,0)))*1000/H145))</f>
        <v/>
      </c>
      <c r="J145" s="67" t="str">
        <f aca="false">IF($A145="","",INDEX('Animal Register'!$M:$M,MATCH($A145,'Animal Register'!$A:$A,0)))</f>
        <v/>
      </c>
      <c r="K145" s="47" t="str">
        <f aca="false">IF($A145="","",IF(ISNUMBER(I145),IF(I145&gt;=J145*0.9,"On Track","Behind Target"),"-"))</f>
        <v/>
      </c>
    </row>
    <row r="146" customFormat="false" ht="15" hidden="false" customHeight="false" outlineLevel="0" collapsed="false">
      <c r="A146" s="50"/>
      <c r="B146" s="51"/>
      <c r="C146" s="50"/>
      <c r="D146" s="38"/>
      <c r="E146" s="38"/>
      <c r="F146" s="47" t="str">
        <f aca="false">IF($A146="","",IF($A146=$A145,$B146-$B145,"-"))</f>
        <v/>
      </c>
      <c r="G146" s="67" t="str">
        <f aca="false">IF($A146="","",IF(AND($A146=$A145,ISNUMBER(F146)),(C146-C145)*1000/F146,"-"))</f>
        <v/>
      </c>
      <c r="H146" s="47" t="str">
        <f aca="false">IF($A146="","",$B146-INDEX('Animal Register'!$K:$K,MATCH($A146,'Animal Register'!$A:$A,0)))</f>
        <v/>
      </c>
      <c r="I146" s="67" t="str">
        <f aca="false">IF($A146="","",IF(H146=0,"-",(C146-INDEX('Animal Register'!$I:$I,MATCH($A146,'Animal Register'!$A:$A,0)))*1000/H146))</f>
        <v/>
      </c>
      <c r="J146" s="67" t="str">
        <f aca="false">IF($A146="","",INDEX('Animal Register'!$M:$M,MATCH($A146,'Animal Register'!$A:$A,0)))</f>
        <v/>
      </c>
      <c r="K146" s="47" t="str">
        <f aca="false">IF($A146="","",IF(ISNUMBER(I146),IF(I146&gt;=J146*0.9,"On Track","Behind Target"),"-"))</f>
        <v/>
      </c>
    </row>
    <row r="147" customFormat="false" ht="15" hidden="false" customHeight="false" outlineLevel="0" collapsed="false">
      <c r="A147" s="50"/>
      <c r="B147" s="51"/>
      <c r="C147" s="50"/>
      <c r="D147" s="38"/>
      <c r="E147" s="38"/>
      <c r="F147" s="47" t="str">
        <f aca="false">IF($A147="","",IF($A147=$A146,$B147-$B146,"-"))</f>
        <v/>
      </c>
      <c r="G147" s="67" t="str">
        <f aca="false">IF($A147="","",IF(AND($A147=$A146,ISNUMBER(F147)),(C147-C146)*1000/F147,"-"))</f>
        <v/>
      </c>
      <c r="H147" s="47" t="str">
        <f aca="false">IF($A147="","",$B147-INDEX('Animal Register'!$K:$K,MATCH($A147,'Animal Register'!$A:$A,0)))</f>
        <v/>
      </c>
      <c r="I147" s="67" t="str">
        <f aca="false">IF($A147="","",IF(H147=0,"-",(C147-INDEX('Animal Register'!$I:$I,MATCH($A147,'Animal Register'!$A:$A,0)))*1000/H147))</f>
        <v/>
      </c>
      <c r="J147" s="67" t="str">
        <f aca="false">IF($A147="","",INDEX('Animal Register'!$M:$M,MATCH($A147,'Animal Register'!$A:$A,0)))</f>
        <v/>
      </c>
      <c r="K147" s="47" t="str">
        <f aca="false">IF($A147="","",IF(ISNUMBER(I147),IF(I147&gt;=J147*0.9,"On Track","Behind Target"),"-"))</f>
        <v/>
      </c>
    </row>
    <row r="148" customFormat="false" ht="15" hidden="false" customHeight="false" outlineLevel="0" collapsed="false">
      <c r="A148" s="50"/>
      <c r="B148" s="51"/>
      <c r="C148" s="50"/>
      <c r="D148" s="38"/>
      <c r="E148" s="38"/>
      <c r="F148" s="47" t="str">
        <f aca="false">IF($A148="","",IF($A148=$A147,$B148-$B147,"-"))</f>
        <v/>
      </c>
      <c r="G148" s="67" t="str">
        <f aca="false">IF($A148="","",IF(AND($A148=$A147,ISNUMBER(F148)),(C148-C147)*1000/F148,"-"))</f>
        <v/>
      </c>
      <c r="H148" s="47" t="str">
        <f aca="false">IF($A148="","",$B148-INDEX('Animal Register'!$K:$K,MATCH($A148,'Animal Register'!$A:$A,0)))</f>
        <v/>
      </c>
      <c r="I148" s="67" t="str">
        <f aca="false">IF($A148="","",IF(H148=0,"-",(C148-INDEX('Animal Register'!$I:$I,MATCH($A148,'Animal Register'!$A:$A,0)))*1000/H148))</f>
        <v/>
      </c>
      <c r="J148" s="67" t="str">
        <f aca="false">IF($A148="","",INDEX('Animal Register'!$M:$M,MATCH($A148,'Animal Register'!$A:$A,0)))</f>
        <v/>
      </c>
      <c r="K148" s="47" t="str">
        <f aca="false">IF($A148="","",IF(ISNUMBER(I148),IF(I148&gt;=J148*0.9,"On Track","Behind Target"),"-"))</f>
        <v/>
      </c>
    </row>
    <row r="149" customFormat="false" ht="15" hidden="false" customHeight="false" outlineLevel="0" collapsed="false">
      <c r="A149" s="50"/>
      <c r="B149" s="51"/>
      <c r="C149" s="50"/>
      <c r="D149" s="38"/>
      <c r="E149" s="38"/>
      <c r="F149" s="47" t="str">
        <f aca="false">IF($A149="","",IF($A149=$A148,$B149-$B148,"-"))</f>
        <v/>
      </c>
      <c r="G149" s="67" t="str">
        <f aca="false">IF($A149="","",IF(AND($A149=$A148,ISNUMBER(F149)),(C149-C148)*1000/F149,"-"))</f>
        <v/>
      </c>
      <c r="H149" s="47" t="str">
        <f aca="false">IF($A149="","",$B149-INDEX('Animal Register'!$K:$K,MATCH($A149,'Animal Register'!$A:$A,0)))</f>
        <v/>
      </c>
      <c r="I149" s="67" t="str">
        <f aca="false">IF($A149="","",IF(H149=0,"-",(C149-INDEX('Animal Register'!$I:$I,MATCH($A149,'Animal Register'!$A:$A,0)))*1000/H149))</f>
        <v/>
      </c>
      <c r="J149" s="67" t="str">
        <f aca="false">IF($A149="","",INDEX('Animal Register'!$M:$M,MATCH($A149,'Animal Register'!$A:$A,0)))</f>
        <v/>
      </c>
      <c r="K149" s="47" t="str">
        <f aca="false">IF($A149="","",IF(ISNUMBER(I149),IF(I149&gt;=J149*0.9,"On Track","Behind Target"),"-"))</f>
        <v/>
      </c>
    </row>
    <row r="150" customFormat="false" ht="15" hidden="false" customHeight="false" outlineLevel="0" collapsed="false">
      <c r="A150" s="50"/>
      <c r="B150" s="51"/>
      <c r="C150" s="50"/>
      <c r="D150" s="38"/>
      <c r="E150" s="38"/>
      <c r="F150" s="47" t="str">
        <f aca="false">IF($A150="","",IF($A150=$A149,$B150-$B149,"-"))</f>
        <v/>
      </c>
      <c r="G150" s="67" t="str">
        <f aca="false">IF($A150="","",IF(AND($A150=$A149,ISNUMBER(F150)),(C150-C149)*1000/F150,"-"))</f>
        <v/>
      </c>
      <c r="H150" s="47" t="str">
        <f aca="false">IF($A150="","",$B150-INDEX('Animal Register'!$K:$K,MATCH($A150,'Animal Register'!$A:$A,0)))</f>
        <v/>
      </c>
      <c r="I150" s="67" t="str">
        <f aca="false">IF($A150="","",IF(H150=0,"-",(C150-INDEX('Animal Register'!$I:$I,MATCH($A150,'Animal Register'!$A:$A,0)))*1000/H150))</f>
        <v/>
      </c>
      <c r="J150" s="67" t="str">
        <f aca="false">IF($A150="","",INDEX('Animal Register'!$M:$M,MATCH($A150,'Animal Register'!$A:$A,0)))</f>
        <v/>
      </c>
      <c r="K150" s="47" t="str">
        <f aca="false">IF($A150="","",IF(ISNUMBER(I150),IF(I150&gt;=J150*0.9,"On Track","Behind Target"),"-"))</f>
        <v/>
      </c>
    </row>
    <row r="151" customFormat="false" ht="15" hidden="false" customHeight="false" outlineLevel="0" collapsed="false">
      <c r="A151" s="50"/>
      <c r="B151" s="51"/>
      <c r="C151" s="50"/>
      <c r="D151" s="38"/>
      <c r="E151" s="38"/>
      <c r="F151" s="47" t="str">
        <f aca="false">IF($A151="","",IF($A151=$A150,$B151-$B150,"-"))</f>
        <v/>
      </c>
      <c r="G151" s="67" t="str">
        <f aca="false">IF($A151="","",IF(AND($A151=$A150,ISNUMBER(F151)),(C151-C150)*1000/F151,"-"))</f>
        <v/>
      </c>
      <c r="H151" s="47" t="str">
        <f aca="false">IF($A151="","",$B151-INDEX('Animal Register'!$K:$K,MATCH($A151,'Animal Register'!$A:$A,0)))</f>
        <v/>
      </c>
      <c r="I151" s="67" t="str">
        <f aca="false">IF($A151="","",IF(H151=0,"-",(C151-INDEX('Animal Register'!$I:$I,MATCH($A151,'Animal Register'!$A:$A,0)))*1000/H151))</f>
        <v/>
      </c>
      <c r="J151" s="67" t="str">
        <f aca="false">IF($A151="","",INDEX('Animal Register'!$M:$M,MATCH($A151,'Animal Register'!$A:$A,0)))</f>
        <v/>
      </c>
      <c r="K151" s="47" t="str">
        <f aca="false">IF($A151="","",IF(ISNUMBER(I151),IF(I151&gt;=J151*0.9,"On Track","Behind Target"),"-"))</f>
        <v/>
      </c>
    </row>
    <row r="152" customFormat="false" ht="15" hidden="false" customHeight="false" outlineLevel="0" collapsed="false">
      <c r="A152" s="50"/>
      <c r="B152" s="51"/>
      <c r="C152" s="50"/>
      <c r="D152" s="38"/>
      <c r="E152" s="38"/>
      <c r="F152" s="47" t="str">
        <f aca="false">IF($A152="","",IF($A152=$A151,$B152-$B151,"-"))</f>
        <v/>
      </c>
      <c r="G152" s="67" t="str">
        <f aca="false">IF($A152="","",IF(AND($A152=$A151,ISNUMBER(F152)),(C152-C151)*1000/F152,"-"))</f>
        <v/>
      </c>
      <c r="H152" s="47" t="str">
        <f aca="false">IF($A152="","",$B152-INDEX('Animal Register'!$K:$K,MATCH($A152,'Animal Register'!$A:$A,0)))</f>
        <v/>
      </c>
      <c r="I152" s="67" t="str">
        <f aca="false">IF($A152="","",IF(H152=0,"-",(C152-INDEX('Animal Register'!$I:$I,MATCH($A152,'Animal Register'!$A:$A,0)))*1000/H152))</f>
        <v/>
      </c>
      <c r="J152" s="67" t="str">
        <f aca="false">IF($A152="","",INDEX('Animal Register'!$M:$M,MATCH($A152,'Animal Register'!$A:$A,0)))</f>
        <v/>
      </c>
      <c r="K152" s="47" t="str">
        <f aca="false">IF($A152="","",IF(ISNUMBER(I152),IF(I152&gt;=J152*0.9,"On Track","Behind Target"),"-"))</f>
        <v/>
      </c>
    </row>
    <row r="153" customFormat="false" ht="15" hidden="false" customHeight="false" outlineLevel="0" collapsed="false">
      <c r="A153" s="50"/>
      <c r="B153" s="51"/>
      <c r="C153" s="50"/>
      <c r="D153" s="38"/>
      <c r="E153" s="38"/>
      <c r="F153" s="47" t="str">
        <f aca="false">IF($A153="","",IF($A153=$A152,$B153-$B152,"-"))</f>
        <v/>
      </c>
      <c r="G153" s="67" t="str">
        <f aca="false">IF($A153="","",IF(AND($A153=$A152,ISNUMBER(F153)),(C153-C152)*1000/F153,"-"))</f>
        <v/>
      </c>
      <c r="H153" s="47" t="str">
        <f aca="false">IF($A153="","",$B153-INDEX('Animal Register'!$K:$K,MATCH($A153,'Animal Register'!$A:$A,0)))</f>
        <v/>
      </c>
      <c r="I153" s="67" t="str">
        <f aca="false">IF($A153="","",IF(H153=0,"-",(C153-INDEX('Animal Register'!$I:$I,MATCH($A153,'Animal Register'!$A:$A,0)))*1000/H153))</f>
        <v/>
      </c>
      <c r="J153" s="67" t="str">
        <f aca="false">IF($A153="","",INDEX('Animal Register'!$M:$M,MATCH($A153,'Animal Register'!$A:$A,0)))</f>
        <v/>
      </c>
      <c r="K153" s="47" t="str">
        <f aca="false">IF($A153="","",IF(ISNUMBER(I153),IF(I153&gt;=J153*0.9,"On Track","Behind Target"),"-"))</f>
        <v/>
      </c>
    </row>
    <row r="154" customFormat="false" ht="15" hidden="false" customHeight="false" outlineLevel="0" collapsed="false">
      <c r="A154" s="50"/>
      <c r="B154" s="51"/>
      <c r="C154" s="50"/>
      <c r="D154" s="38"/>
      <c r="E154" s="38"/>
      <c r="F154" s="47" t="str">
        <f aca="false">IF($A154="","",IF($A154=$A153,$B154-$B153,"-"))</f>
        <v/>
      </c>
      <c r="G154" s="67" t="str">
        <f aca="false">IF($A154="","",IF(AND($A154=$A153,ISNUMBER(F154)),(C154-C153)*1000/F154,"-"))</f>
        <v/>
      </c>
      <c r="H154" s="47" t="str">
        <f aca="false">IF($A154="","",$B154-INDEX('Animal Register'!$K:$K,MATCH($A154,'Animal Register'!$A:$A,0)))</f>
        <v/>
      </c>
      <c r="I154" s="67" t="str">
        <f aca="false">IF($A154="","",IF(H154=0,"-",(C154-INDEX('Animal Register'!$I:$I,MATCH($A154,'Animal Register'!$A:$A,0)))*1000/H154))</f>
        <v/>
      </c>
      <c r="J154" s="67" t="str">
        <f aca="false">IF($A154="","",INDEX('Animal Register'!$M:$M,MATCH($A154,'Animal Register'!$A:$A,0)))</f>
        <v/>
      </c>
      <c r="K154" s="47" t="str">
        <f aca="false">IF($A154="","",IF(ISNUMBER(I154),IF(I154&gt;=J154*0.9,"On Track","Behind Target"),"-"))</f>
        <v/>
      </c>
    </row>
  </sheetData>
  <mergeCells count="2">
    <mergeCell ref="A1:K1"/>
    <mergeCell ref="A2:K2"/>
  </mergeCells>
  <dataValidations count="3">
    <dataValidation allowBlank="true" errorStyle="stop" operator="between" showDropDown="false" showErrorMessage="false" showInputMessage="false" sqref="D5:D154" type="list">
      <formula1>"Daily,Weekly,Fortnightly"</formula1>
      <formula2>0</formula2>
    </dataValidation>
    <dataValidation allowBlank="true" errorStyle="stop" operator="between" showDropDown="false" showErrorMessage="false" showInputMessage="false" sqref="E5:E154" type="list">
      <formula1>"1,1.5,2,2.5,3,3.5,4,4.5,5"</formula1>
      <formula2>0</formula2>
    </dataValidation>
    <dataValidation allowBlank="true" errorStyle="stop" operator="between" showDropDown="false" showErrorMessage="false" showInputMessage="false" sqref="A5:A154" type="list">
      <formula1>'Animal Register'!$A$5:$A$74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2" min="10" style="0" width="14"/>
  </cols>
  <sheetData>
    <row r="1" customFormat="false" ht="17.35" hidden="false" customHeight="false" outlineLevel="0" collapsed="false">
      <c r="A1" s="30" t="s">
        <v>349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48" t="s">
        <v>350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customFormat="false" ht="26.85" hidden="false" customHeight="false" outlineLevel="0" collapsed="false">
      <c r="A4" s="31" t="s">
        <v>216</v>
      </c>
      <c r="B4" s="31" t="s">
        <v>217</v>
      </c>
      <c r="C4" s="31" t="s">
        <v>218</v>
      </c>
      <c r="D4" s="31" t="s">
        <v>351</v>
      </c>
      <c r="E4" s="31" t="s">
        <v>352</v>
      </c>
      <c r="F4" s="31" t="s">
        <v>253</v>
      </c>
      <c r="G4" s="31" t="s">
        <v>254</v>
      </c>
      <c r="H4" s="31" t="s">
        <v>230</v>
      </c>
      <c r="I4" s="31" t="s">
        <v>251</v>
      </c>
      <c r="J4" s="31" t="s">
        <v>252</v>
      </c>
      <c r="K4" s="31" t="s">
        <v>228</v>
      </c>
      <c r="L4" s="31" t="s">
        <v>212</v>
      </c>
    </row>
    <row r="5" customFormat="false" ht="15" hidden="false" customHeight="false" outlineLevel="0" collapsed="false">
      <c r="A5" s="45" t="str">
        <f aca="false">IF('Animal Register'!A5="","",'Animal Register'!A5)</f>
        <v>A-01</v>
      </c>
      <c r="B5" s="45" t="str">
        <f aca="false">IF($A5="","",'Animal Register'!B5)</f>
        <v>Fattening</v>
      </c>
      <c r="C5" s="45" t="str">
        <f aca="false">IF($A5="","",'Animal Register'!C5)</f>
        <v>Mix Breed</v>
      </c>
      <c r="D5" s="68" t="n">
        <f aca="false">IF($A5="","",'Animal Register'!I5)</f>
        <v>212</v>
      </c>
      <c r="E5" s="68" t="n">
        <f aca="false">IF($A5="","",'Animal Register'!S5)</f>
        <v>212</v>
      </c>
      <c r="F5" s="52" t="n">
        <f aca="false">IF($A5="","",IF(SUMPRODUCT(MAX(('Weight Log'!$A$5:$A$154=$A5)*ROW('Weight Log'!$A$5:$A$154)))=0,"-",INDEX('Weight Log'!$B:$B,SUMPRODUCT(MAX(('Weight Log'!$A$5:$A$154=$A5)*ROW('Weight Log'!$A$5:$A$154))))))</f>
        <v>46240</v>
      </c>
      <c r="G5" s="47" t="n">
        <f aca="false">IF($A5="","",IF(SUMPRODUCT(MAX(('Weight Log'!$A$5:$A$154=$A5)*ROW('Weight Log'!$A$5:$A$154)))=0,"-",IFERROR(INDEX('Weight Log'!$E:$E,SUMPRODUCT(MAX(('Weight Log'!$A$5:$A$154=$A5)*ROW('Weight Log'!$A$5:$A$154)))),"-")))</f>
        <v>2.5</v>
      </c>
      <c r="H5" s="45" t="n">
        <f aca="false">IF($A5="","",'Animal Register'!O5)</f>
        <v>9</v>
      </c>
      <c r="I5" s="68" t="n">
        <f aca="false">IF($A5="","",'Animal Register'!T5)</f>
        <v>0</v>
      </c>
      <c r="J5" s="47" t="n">
        <f aca="false">IF($A5="","",IF(OR(H5="",H5=0),"-",ROUND(I5*1000/H5,0)))</f>
        <v>0</v>
      </c>
      <c r="K5" s="45" t="n">
        <f aca="false">IF($A5="","",'Animal Register'!M5)</f>
        <v>1150</v>
      </c>
      <c r="L5" s="47" t="str">
        <f aca="false">IF($A5="","",IF(ISNUMBER(J5),IF(J5&gt;=K5*0.9,"On Track","Behind Target"),"-"))</f>
        <v>Behind Target</v>
      </c>
    </row>
    <row r="6" customFormat="false" ht="15" hidden="false" customHeight="false" outlineLevel="0" collapsed="false">
      <c r="A6" s="45" t="str">
        <f aca="false">IF('Animal Register'!A6="","",'Animal Register'!A6)</f>
        <v/>
      </c>
      <c r="B6" s="45" t="str">
        <f aca="false">IF($A6="","",'Animal Register'!B6)</f>
        <v/>
      </c>
      <c r="C6" s="45" t="str">
        <f aca="false">IF($A6="","",'Animal Register'!C6)</f>
        <v/>
      </c>
      <c r="D6" s="68" t="str">
        <f aca="false">IF($A6="","",'Animal Register'!I6)</f>
        <v/>
      </c>
      <c r="E6" s="68" t="str">
        <f aca="false">IF($A6="","",'Animal Register'!S6)</f>
        <v/>
      </c>
      <c r="F6" s="52" t="str">
        <f aca="false">IF($A6="","",IF(SUMPRODUCT(MAX(('Weight Log'!$A$5:$A$154=$A6)*ROW('Weight Log'!$A$5:$A$154)))=0,"-",INDEX('Weight Log'!$B:$B,SUMPRODUCT(MAX(('Weight Log'!$A$5:$A$154=$A6)*ROW('Weight Log'!$A$5:$A$154))))))</f>
        <v/>
      </c>
      <c r="G6" s="47" t="str">
        <f aca="false">IF($A6="","",IF(SUMPRODUCT(MAX(('Weight Log'!$A$5:$A$154=$A6)*ROW('Weight Log'!$A$5:$A$154)))=0,"-",IFERROR(INDEX('Weight Log'!$E:$E,SUMPRODUCT(MAX(('Weight Log'!$A$5:$A$154=$A6)*ROW('Weight Log'!$A$5:$A$154)))),"-")))</f>
        <v/>
      </c>
      <c r="H6" s="45" t="str">
        <f aca="false">IF($A6="","",'Animal Register'!O6)</f>
        <v/>
      </c>
      <c r="I6" s="68" t="str">
        <f aca="false">IF($A6="","",'Animal Register'!T6)</f>
        <v/>
      </c>
      <c r="J6" s="47" t="str">
        <f aca="false">IF($A6="","",IF(OR(H6="",H6=0),"-",ROUND(I6*1000/H6,0)))</f>
        <v/>
      </c>
      <c r="K6" s="45" t="str">
        <f aca="false">IF($A6="","",'Animal Register'!M6)</f>
        <v/>
      </c>
      <c r="L6" s="47" t="str">
        <f aca="false">IF($A6="","",IF(ISNUMBER(J6),IF(J6&gt;=K6*0.9,"On Track","Behind Target"),"-"))</f>
        <v/>
      </c>
    </row>
    <row r="7" customFormat="false" ht="15" hidden="false" customHeight="false" outlineLevel="0" collapsed="false">
      <c r="A7" s="45" t="str">
        <f aca="false">IF('Animal Register'!A7="","",'Animal Register'!A7)</f>
        <v/>
      </c>
      <c r="B7" s="45" t="str">
        <f aca="false">IF($A7="","",'Animal Register'!B7)</f>
        <v/>
      </c>
      <c r="C7" s="45" t="str">
        <f aca="false">IF($A7="","",'Animal Register'!C7)</f>
        <v/>
      </c>
      <c r="D7" s="68" t="str">
        <f aca="false">IF($A7="","",'Animal Register'!I7)</f>
        <v/>
      </c>
      <c r="E7" s="68" t="str">
        <f aca="false">IF($A7="","",'Animal Register'!S7)</f>
        <v/>
      </c>
      <c r="F7" s="52" t="str">
        <f aca="false">IF($A7="","",IF(SUMPRODUCT(MAX(('Weight Log'!$A$5:$A$154=$A7)*ROW('Weight Log'!$A$5:$A$154)))=0,"-",INDEX('Weight Log'!$B:$B,SUMPRODUCT(MAX(('Weight Log'!$A$5:$A$154=$A7)*ROW('Weight Log'!$A$5:$A$154))))))</f>
        <v/>
      </c>
      <c r="G7" s="47" t="str">
        <f aca="false">IF($A7="","",IF(SUMPRODUCT(MAX(('Weight Log'!$A$5:$A$154=$A7)*ROW('Weight Log'!$A$5:$A$154)))=0,"-",IFERROR(INDEX('Weight Log'!$E:$E,SUMPRODUCT(MAX(('Weight Log'!$A$5:$A$154=$A7)*ROW('Weight Log'!$A$5:$A$154)))),"-")))</f>
        <v/>
      </c>
      <c r="H7" s="45" t="str">
        <f aca="false">IF($A7="","",'Animal Register'!O7)</f>
        <v/>
      </c>
      <c r="I7" s="68" t="str">
        <f aca="false">IF($A7="","",'Animal Register'!T7)</f>
        <v/>
      </c>
      <c r="J7" s="47" t="str">
        <f aca="false">IF($A7="","",IF(OR(H7="",H7=0),"-",ROUND(I7*1000/H7,0)))</f>
        <v/>
      </c>
      <c r="K7" s="45" t="str">
        <f aca="false">IF($A7="","",'Animal Register'!M7)</f>
        <v/>
      </c>
      <c r="L7" s="47" t="str">
        <f aca="false">IF($A7="","",IF(ISNUMBER(J7),IF(J7&gt;=K7*0.9,"On Track","Behind Target"),"-"))</f>
        <v/>
      </c>
    </row>
    <row r="8" customFormat="false" ht="15" hidden="false" customHeight="false" outlineLevel="0" collapsed="false">
      <c r="A8" s="45" t="str">
        <f aca="false">IF('Animal Register'!A8="","",'Animal Register'!A8)</f>
        <v/>
      </c>
      <c r="B8" s="45" t="str">
        <f aca="false">IF($A8="","",'Animal Register'!B8)</f>
        <v/>
      </c>
      <c r="C8" s="45" t="str">
        <f aca="false">IF($A8="","",'Animal Register'!C8)</f>
        <v/>
      </c>
      <c r="D8" s="68" t="str">
        <f aca="false">IF($A8="","",'Animal Register'!I8)</f>
        <v/>
      </c>
      <c r="E8" s="68" t="str">
        <f aca="false">IF($A8="","",'Animal Register'!S8)</f>
        <v/>
      </c>
      <c r="F8" s="52" t="str">
        <f aca="false">IF($A8="","",IF(SUMPRODUCT(MAX(('Weight Log'!$A$5:$A$154=$A8)*ROW('Weight Log'!$A$5:$A$154)))=0,"-",INDEX('Weight Log'!$B:$B,SUMPRODUCT(MAX(('Weight Log'!$A$5:$A$154=$A8)*ROW('Weight Log'!$A$5:$A$154))))))</f>
        <v/>
      </c>
      <c r="G8" s="47" t="str">
        <f aca="false">IF($A8="","",IF(SUMPRODUCT(MAX(('Weight Log'!$A$5:$A$154=$A8)*ROW('Weight Log'!$A$5:$A$154)))=0,"-",IFERROR(INDEX('Weight Log'!$E:$E,SUMPRODUCT(MAX(('Weight Log'!$A$5:$A$154=$A8)*ROW('Weight Log'!$A$5:$A$154)))),"-")))</f>
        <v/>
      </c>
      <c r="H8" s="45" t="str">
        <f aca="false">IF($A8="","",'Animal Register'!O8)</f>
        <v/>
      </c>
      <c r="I8" s="68" t="str">
        <f aca="false">IF($A8="","",'Animal Register'!T8)</f>
        <v/>
      </c>
      <c r="J8" s="47" t="str">
        <f aca="false">IF($A8="","",IF(OR(H8="",H8=0),"-",ROUND(I8*1000/H8,0)))</f>
        <v/>
      </c>
      <c r="K8" s="45" t="str">
        <f aca="false">IF($A8="","",'Animal Register'!M8)</f>
        <v/>
      </c>
      <c r="L8" s="47" t="str">
        <f aca="false">IF($A8="","",IF(ISNUMBER(J8),IF(J8&gt;=K8*0.9,"On Track","Behind Target"),"-"))</f>
        <v/>
      </c>
    </row>
    <row r="9" customFormat="false" ht="15" hidden="false" customHeight="false" outlineLevel="0" collapsed="false">
      <c r="A9" s="45" t="str">
        <f aca="false">IF('Animal Register'!A9="","",'Animal Register'!A9)</f>
        <v/>
      </c>
      <c r="B9" s="45" t="str">
        <f aca="false">IF($A9="","",'Animal Register'!B9)</f>
        <v/>
      </c>
      <c r="C9" s="45" t="str">
        <f aca="false">IF($A9="","",'Animal Register'!C9)</f>
        <v/>
      </c>
      <c r="D9" s="68" t="str">
        <f aca="false">IF($A9="","",'Animal Register'!I9)</f>
        <v/>
      </c>
      <c r="E9" s="68" t="str">
        <f aca="false">IF($A9="","",'Animal Register'!S9)</f>
        <v/>
      </c>
      <c r="F9" s="52" t="str">
        <f aca="false">IF($A9="","",IF(SUMPRODUCT(MAX(('Weight Log'!$A$5:$A$154=$A9)*ROW('Weight Log'!$A$5:$A$154)))=0,"-",INDEX('Weight Log'!$B:$B,SUMPRODUCT(MAX(('Weight Log'!$A$5:$A$154=$A9)*ROW('Weight Log'!$A$5:$A$154))))))</f>
        <v/>
      </c>
      <c r="G9" s="47" t="str">
        <f aca="false">IF($A9="","",IF(SUMPRODUCT(MAX(('Weight Log'!$A$5:$A$154=$A9)*ROW('Weight Log'!$A$5:$A$154)))=0,"-",IFERROR(INDEX('Weight Log'!$E:$E,SUMPRODUCT(MAX(('Weight Log'!$A$5:$A$154=$A9)*ROW('Weight Log'!$A$5:$A$154)))),"-")))</f>
        <v/>
      </c>
      <c r="H9" s="45" t="str">
        <f aca="false">IF($A9="","",'Animal Register'!O9)</f>
        <v/>
      </c>
      <c r="I9" s="68" t="str">
        <f aca="false">IF($A9="","",'Animal Register'!T9)</f>
        <v/>
      </c>
      <c r="J9" s="47" t="str">
        <f aca="false">IF($A9="","",IF(OR(H9="",H9=0),"-",ROUND(I9*1000/H9,0)))</f>
        <v/>
      </c>
      <c r="K9" s="45" t="str">
        <f aca="false">IF($A9="","",'Animal Register'!M9)</f>
        <v/>
      </c>
      <c r="L9" s="47" t="str">
        <f aca="false">IF($A9="","",IF(ISNUMBER(J9),IF(J9&gt;=K9*0.9,"On Track","Behind Target"),"-"))</f>
        <v/>
      </c>
    </row>
    <row r="10" customFormat="false" ht="15" hidden="false" customHeight="false" outlineLevel="0" collapsed="false">
      <c r="A10" s="45" t="str">
        <f aca="false">IF('Animal Register'!A10="","",'Animal Register'!A10)</f>
        <v/>
      </c>
      <c r="B10" s="45" t="str">
        <f aca="false">IF($A10="","",'Animal Register'!B10)</f>
        <v/>
      </c>
      <c r="C10" s="45" t="str">
        <f aca="false">IF($A10="","",'Animal Register'!C10)</f>
        <v/>
      </c>
      <c r="D10" s="68" t="str">
        <f aca="false">IF($A10="","",'Animal Register'!I10)</f>
        <v/>
      </c>
      <c r="E10" s="68" t="str">
        <f aca="false">IF($A10="","",'Animal Register'!S10)</f>
        <v/>
      </c>
      <c r="F10" s="52" t="str">
        <f aca="false">IF($A10="","",IF(SUMPRODUCT(MAX(('Weight Log'!$A$5:$A$154=$A10)*ROW('Weight Log'!$A$5:$A$154)))=0,"-",INDEX('Weight Log'!$B:$B,SUMPRODUCT(MAX(('Weight Log'!$A$5:$A$154=$A10)*ROW('Weight Log'!$A$5:$A$154))))))</f>
        <v/>
      </c>
      <c r="G10" s="47" t="str">
        <f aca="false">IF($A10="","",IF(SUMPRODUCT(MAX(('Weight Log'!$A$5:$A$154=$A10)*ROW('Weight Log'!$A$5:$A$154)))=0,"-",IFERROR(INDEX('Weight Log'!$E:$E,SUMPRODUCT(MAX(('Weight Log'!$A$5:$A$154=$A10)*ROW('Weight Log'!$A$5:$A$154)))),"-")))</f>
        <v/>
      </c>
      <c r="H10" s="45" t="str">
        <f aca="false">IF($A10="","",'Animal Register'!O10)</f>
        <v/>
      </c>
      <c r="I10" s="68" t="str">
        <f aca="false">IF($A10="","",'Animal Register'!T10)</f>
        <v/>
      </c>
      <c r="J10" s="47" t="str">
        <f aca="false">IF($A10="","",IF(OR(H10="",H10=0),"-",ROUND(I10*1000/H10,0)))</f>
        <v/>
      </c>
      <c r="K10" s="45" t="str">
        <f aca="false">IF($A10="","",'Animal Register'!M10)</f>
        <v/>
      </c>
      <c r="L10" s="47" t="str">
        <f aca="false">IF($A10="","",IF(ISNUMBER(J10),IF(J10&gt;=K10*0.9,"On Track","Behind Target"),"-"))</f>
        <v/>
      </c>
    </row>
    <row r="11" customFormat="false" ht="15" hidden="false" customHeight="false" outlineLevel="0" collapsed="false">
      <c r="A11" s="45" t="str">
        <f aca="false">IF('Animal Register'!A11="","",'Animal Register'!A11)</f>
        <v/>
      </c>
      <c r="B11" s="45" t="str">
        <f aca="false">IF($A11="","",'Animal Register'!B11)</f>
        <v/>
      </c>
      <c r="C11" s="45" t="str">
        <f aca="false">IF($A11="","",'Animal Register'!C11)</f>
        <v/>
      </c>
      <c r="D11" s="68" t="str">
        <f aca="false">IF($A11="","",'Animal Register'!I11)</f>
        <v/>
      </c>
      <c r="E11" s="68" t="str">
        <f aca="false">IF($A11="","",'Animal Register'!S11)</f>
        <v/>
      </c>
      <c r="F11" s="52" t="str">
        <f aca="false">IF($A11="","",IF(SUMPRODUCT(MAX(('Weight Log'!$A$5:$A$154=$A11)*ROW('Weight Log'!$A$5:$A$154)))=0,"-",INDEX('Weight Log'!$B:$B,SUMPRODUCT(MAX(('Weight Log'!$A$5:$A$154=$A11)*ROW('Weight Log'!$A$5:$A$154))))))</f>
        <v/>
      </c>
      <c r="G11" s="47" t="str">
        <f aca="false">IF($A11="","",IF(SUMPRODUCT(MAX(('Weight Log'!$A$5:$A$154=$A11)*ROW('Weight Log'!$A$5:$A$154)))=0,"-",IFERROR(INDEX('Weight Log'!$E:$E,SUMPRODUCT(MAX(('Weight Log'!$A$5:$A$154=$A11)*ROW('Weight Log'!$A$5:$A$154)))),"-")))</f>
        <v/>
      </c>
      <c r="H11" s="45" t="str">
        <f aca="false">IF($A11="","",'Animal Register'!O11)</f>
        <v/>
      </c>
      <c r="I11" s="68" t="str">
        <f aca="false">IF($A11="","",'Animal Register'!T11)</f>
        <v/>
      </c>
      <c r="J11" s="47" t="str">
        <f aca="false">IF($A11="","",IF(OR(H11="",H11=0),"-",ROUND(I11*1000/H11,0)))</f>
        <v/>
      </c>
      <c r="K11" s="45" t="str">
        <f aca="false">IF($A11="","",'Animal Register'!M11)</f>
        <v/>
      </c>
      <c r="L11" s="47" t="str">
        <f aca="false">IF($A11="","",IF(ISNUMBER(J11),IF(J11&gt;=K11*0.9,"On Track","Behind Target"),"-"))</f>
        <v/>
      </c>
    </row>
    <row r="12" customFormat="false" ht="15" hidden="false" customHeight="false" outlineLevel="0" collapsed="false">
      <c r="A12" s="45" t="str">
        <f aca="false">IF('Animal Register'!A12="","",'Animal Register'!A12)</f>
        <v/>
      </c>
      <c r="B12" s="45" t="str">
        <f aca="false">IF($A12="","",'Animal Register'!B12)</f>
        <v/>
      </c>
      <c r="C12" s="45" t="str">
        <f aca="false">IF($A12="","",'Animal Register'!C12)</f>
        <v/>
      </c>
      <c r="D12" s="68" t="str">
        <f aca="false">IF($A12="","",'Animal Register'!I12)</f>
        <v/>
      </c>
      <c r="E12" s="68" t="str">
        <f aca="false">IF($A12="","",'Animal Register'!S12)</f>
        <v/>
      </c>
      <c r="F12" s="52" t="str">
        <f aca="false">IF($A12="","",IF(SUMPRODUCT(MAX(('Weight Log'!$A$5:$A$154=$A12)*ROW('Weight Log'!$A$5:$A$154)))=0,"-",INDEX('Weight Log'!$B:$B,SUMPRODUCT(MAX(('Weight Log'!$A$5:$A$154=$A12)*ROW('Weight Log'!$A$5:$A$154))))))</f>
        <v/>
      </c>
      <c r="G12" s="47" t="str">
        <f aca="false">IF($A12="","",IF(SUMPRODUCT(MAX(('Weight Log'!$A$5:$A$154=$A12)*ROW('Weight Log'!$A$5:$A$154)))=0,"-",IFERROR(INDEX('Weight Log'!$E:$E,SUMPRODUCT(MAX(('Weight Log'!$A$5:$A$154=$A12)*ROW('Weight Log'!$A$5:$A$154)))),"-")))</f>
        <v/>
      </c>
      <c r="H12" s="45" t="str">
        <f aca="false">IF($A12="","",'Animal Register'!O12)</f>
        <v/>
      </c>
      <c r="I12" s="68" t="str">
        <f aca="false">IF($A12="","",'Animal Register'!T12)</f>
        <v/>
      </c>
      <c r="J12" s="47" t="str">
        <f aca="false">IF($A12="","",IF(OR(H12="",H12=0),"-",ROUND(I12*1000/H12,0)))</f>
        <v/>
      </c>
      <c r="K12" s="45" t="str">
        <f aca="false">IF($A12="","",'Animal Register'!M12)</f>
        <v/>
      </c>
      <c r="L12" s="47" t="str">
        <f aca="false">IF($A12="","",IF(ISNUMBER(J12),IF(J12&gt;=K12*0.9,"On Track","Behind Target"),"-"))</f>
        <v/>
      </c>
    </row>
    <row r="13" customFormat="false" ht="15" hidden="false" customHeight="false" outlineLevel="0" collapsed="false">
      <c r="A13" s="45" t="str">
        <f aca="false">IF('Animal Register'!A13="","",'Animal Register'!A13)</f>
        <v/>
      </c>
      <c r="B13" s="45" t="str">
        <f aca="false">IF($A13="","",'Animal Register'!B13)</f>
        <v/>
      </c>
      <c r="C13" s="45" t="str">
        <f aca="false">IF($A13="","",'Animal Register'!C13)</f>
        <v/>
      </c>
      <c r="D13" s="68" t="str">
        <f aca="false">IF($A13="","",'Animal Register'!I13)</f>
        <v/>
      </c>
      <c r="E13" s="68" t="str">
        <f aca="false">IF($A13="","",'Animal Register'!S13)</f>
        <v/>
      </c>
      <c r="F13" s="52" t="str">
        <f aca="false">IF($A13="","",IF(SUMPRODUCT(MAX(('Weight Log'!$A$5:$A$154=$A13)*ROW('Weight Log'!$A$5:$A$154)))=0,"-",INDEX('Weight Log'!$B:$B,SUMPRODUCT(MAX(('Weight Log'!$A$5:$A$154=$A13)*ROW('Weight Log'!$A$5:$A$154))))))</f>
        <v/>
      </c>
      <c r="G13" s="47" t="str">
        <f aca="false">IF($A13="","",IF(SUMPRODUCT(MAX(('Weight Log'!$A$5:$A$154=$A13)*ROW('Weight Log'!$A$5:$A$154)))=0,"-",IFERROR(INDEX('Weight Log'!$E:$E,SUMPRODUCT(MAX(('Weight Log'!$A$5:$A$154=$A13)*ROW('Weight Log'!$A$5:$A$154)))),"-")))</f>
        <v/>
      </c>
      <c r="H13" s="45" t="str">
        <f aca="false">IF($A13="","",'Animal Register'!O13)</f>
        <v/>
      </c>
      <c r="I13" s="68" t="str">
        <f aca="false">IF($A13="","",'Animal Register'!T13)</f>
        <v/>
      </c>
      <c r="J13" s="47" t="str">
        <f aca="false">IF($A13="","",IF(OR(H13="",H13=0),"-",ROUND(I13*1000/H13,0)))</f>
        <v/>
      </c>
      <c r="K13" s="45" t="str">
        <f aca="false">IF($A13="","",'Animal Register'!M13)</f>
        <v/>
      </c>
      <c r="L13" s="47" t="str">
        <f aca="false">IF($A13="","",IF(ISNUMBER(J13),IF(J13&gt;=K13*0.9,"On Track","Behind Target"),"-"))</f>
        <v/>
      </c>
    </row>
    <row r="14" customFormat="false" ht="15" hidden="false" customHeight="false" outlineLevel="0" collapsed="false">
      <c r="A14" s="45" t="str">
        <f aca="false">IF('Animal Register'!A14="","",'Animal Register'!A14)</f>
        <v/>
      </c>
      <c r="B14" s="45" t="str">
        <f aca="false">IF($A14="","",'Animal Register'!B14)</f>
        <v/>
      </c>
      <c r="C14" s="45" t="str">
        <f aca="false">IF($A14="","",'Animal Register'!C14)</f>
        <v/>
      </c>
      <c r="D14" s="68" t="str">
        <f aca="false">IF($A14="","",'Animal Register'!I14)</f>
        <v/>
      </c>
      <c r="E14" s="68" t="str">
        <f aca="false">IF($A14="","",'Animal Register'!S14)</f>
        <v/>
      </c>
      <c r="F14" s="52" t="str">
        <f aca="false">IF($A14="","",IF(SUMPRODUCT(MAX(('Weight Log'!$A$5:$A$154=$A14)*ROW('Weight Log'!$A$5:$A$154)))=0,"-",INDEX('Weight Log'!$B:$B,SUMPRODUCT(MAX(('Weight Log'!$A$5:$A$154=$A14)*ROW('Weight Log'!$A$5:$A$154))))))</f>
        <v/>
      </c>
      <c r="G14" s="47" t="str">
        <f aca="false">IF($A14="","",IF(SUMPRODUCT(MAX(('Weight Log'!$A$5:$A$154=$A14)*ROW('Weight Log'!$A$5:$A$154)))=0,"-",IFERROR(INDEX('Weight Log'!$E:$E,SUMPRODUCT(MAX(('Weight Log'!$A$5:$A$154=$A14)*ROW('Weight Log'!$A$5:$A$154)))),"-")))</f>
        <v/>
      </c>
      <c r="H14" s="45" t="str">
        <f aca="false">IF($A14="","",'Animal Register'!O14)</f>
        <v/>
      </c>
      <c r="I14" s="68" t="str">
        <f aca="false">IF($A14="","",'Animal Register'!T14)</f>
        <v/>
      </c>
      <c r="J14" s="47" t="str">
        <f aca="false">IF($A14="","",IF(OR(H14="",H14=0),"-",ROUND(I14*1000/H14,0)))</f>
        <v/>
      </c>
      <c r="K14" s="45" t="str">
        <f aca="false">IF($A14="","",'Animal Register'!M14)</f>
        <v/>
      </c>
      <c r="L14" s="47" t="str">
        <f aca="false">IF($A14="","",IF(ISNUMBER(J14),IF(J14&gt;=K14*0.9,"On Track","Behind Target"),"-"))</f>
        <v/>
      </c>
    </row>
    <row r="15" customFormat="false" ht="15" hidden="false" customHeight="false" outlineLevel="0" collapsed="false">
      <c r="A15" s="45" t="str">
        <f aca="false">IF('Animal Register'!A15="","",'Animal Register'!A15)</f>
        <v/>
      </c>
      <c r="B15" s="45" t="str">
        <f aca="false">IF($A15="","",'Animal Register'!B15)</f>
        <v/>
      </c>
      <c r="C15" s="45" t="str">
        <f aca="false">IF($A15="","",'Animal Register'!C15)</f>
        <v/>
      </c>
      <c r="D15" s="68" t="str">
        <f aca="false">IF($A15="","",'Animal Register'!I15)</f>
        <v/>
      </c>
      <c r="E15" s="68" t="str">
        <f aca="false">IF($A15="","",'Animal Register'!S15)</f>
        <v/>
      </c>
      <c r="F15" s="52" t="str">
        <f aca="false">IF($A15="","",IF(SUMPRODUCT(MAX(('Weight Log'!$A$5:$A$154=$A15)*ROW('Weight Log'!$A$5:$A$154)))=0,"-",INDEX('Weight Log'!$B:$B,SUMPRODUCT(MAX(('Weight Log'!$A$5:$A$154=$A15)*ROW('Weight Log'!$A$5:$A$154))))))</f>
        <v/>
      </c>
      <c r="G15" s="47" t="str">
        <f aca="false">IF($A15="","",IF(SUMPRODUCT(MAX(('Weight Log'!$A$5:$A$154=$A15)*ROW('Weight Log'!$A$5:$A$154)))=0,"-",IFERROR(INDEX('Weight Log'!$E:$E,SUMPRODUCT(MAX(('Weight Log'!$A$5:$A$154=$A15)*ROW('Weight Log'!$A$5:$A$154)))),"-")))</f>
        <v/>
      </c>
      <c r="H15" s="45" t="str">
        <f aca="false">IF($A15="","",'Animal Register'!O15)</f>
        <v/>
      </c>
      <c r="I15" s="68" t="str">
        <f aca="false">IF($A15="","",'Animal Register'!T15)</f>
        <v/>
      </c>
      <c r="J15" s="47" t="str">
        <f aca="false">IF($A15="","",IF(OR(H15="",H15=0),"-",ROUND(I15*1000/H15,0)))</f>
        <v/>
      </c>
      <c r="K15" s="45" t="str">
        <f aca="false">IF($A15="","",'Animal Register'!M15)</f>
        <v/>
      </c>
      <c r="L15" s="47" t="str">
        <f aca="false">IF($A15="","",IF(ISNUMBER(J15),IF(J15&gt;=K15*0.9,"On Track","Behind Target"),"-"))</f>
        <v/>
      </c>
    </row>
    <row r="16" customFormat="false" ht="15" hidden="false" customHeight="false" outlineLevel="0" collapsed="false">
      <c r="A16" s="45" t="str">
        <f aca="false">IF('Animal Register'!A16="","",'Animal Register'!A16)</f>
        <v/>
      </c>
      <c r="B16" s="45" t="str">
        <f aca="false">IF($A16="","",'Animal Register'!B16)</f>
        <v/>
      </c>
      <c r="C16" s="45" t="str">
        <f aca="false">IF($A16="","",'Animal Register'!C16)</f>
        <v/>
      </c>
      <c r="D16" s="68" t="str">
        <f aca="false">IF($A16="","",'Animal Register'!I16)</f>
        <v/>
      </c>
      <c r="E16" s="68" t="str">
        <f aca="false">IF($A16="","",'Animal Register'!S16)</f>
        <v/>
      </c>
      <c r="F16" s="52" t="str">
        <f aca="false">IF($A16="","",IF(SUMPRODUCT(MAX(('Weight Log'!$A$5:$A$154=$A16)*ROW('Weight Log'!$A$5:$A$154)))=0,"-",INDEX('Weight Log'!$B:$B,SUMPRODUCT(MAX(('Weight Log'!$A$5:$A$154=$A16)*ROW('Weight Log'!$A$5:$A$154))))))</f>
        <v/>
      </c>
      <c r="G16" s="47" t="str">
        <f aca="false">IF($A16="","",IF(SUMPRODUCT(MAX(('Weight Log'!$A$5:$A$154=$A16)*ROW('Weight Log'!$A$5:$A$154)))=0,"-",IFERROR(INDEX('Weight Log'!$E:$E,SUMPRODUCT(MAX(('Weight Log'!$A$5:$A$154=$A16)*ROW('Weight Log'!$A$5:$A$154)))),"-")))</f>
        <v/>
      </c>
      <c r="H16" s="45" t="str">
        <f aca="false">IF($A16="","",'Animal Register'!O16)</f>
        <v/>
      </c>
      <c r="I16" s="68" t="str">
        <f aca="false">IF($A16="","",'Animal Register'!T16)</f>
        <v/>
      </c>
      <c r="J16" s="47" t="str">
        <f aca="false">IF($A16="","",IF(OR(H16="",H16=0),"-",ROUND(I16*1000/H16,0)))</f>
        <v/>
      </c>
      <c r="K16" s="45" t="str">
        <f aca="false">IF($A16="","",'Animal Register'!M16)</f>
        <v/>
      </c>
      <c r="L16" s="47" t="str">
        <f aca="false">IF($A16="","",IF(ISNUMBER(J16),IF(J16&gt;=K16*0.9,"On Track","Behind Target"),"-"))</f>
        <v/>
      </c>
    </row>
    <row r="17" customFormat="false" ht="15" hidden="false" customHeight="false" outlineLevel="0" collapsed="false">
      <c r="A17" s="45" t="str">
        <f aca="false">IF('Animal Register'!A17="","",'Animal Register'!A17)</f>
        <v/>
      </c>
      <c r="B17" s="45" t="str">
        <f aca="false">IF($A17="","",'Animal Register'!B17)</f>
        <v/>
      </c>
      <c r="C17" s="45" t="str">
        <f aca="false">IF($A17="","",'Animal Register'!C17)</f>
        <v/>
      </c>
      <c r="D17" s="68" t="str">
        <f aca="false">IF($A17="","",'Animal Register'!I17)</f>
        <v/>
      </c>
      <c r="E17" s="68" t="str">
        <f aca="false">IF($A17="","",'Animal Register'!S17)</f>
        <v/>
      </c>
      <c r="F17" s="52" t="str">
        <f aca="false">IF($A17="","",IF(SUMPRODUCT(MAX(('Weight Log'!$A$5:$A$154=$A17)*ROW('Weight Log'!$A$5:$A$154)))=0,"-",INDEX('Weight Log'!$B:$B,SUMPRODUCT(MAX(('Weight Log'!$A$5:$A$154=$A17)*ROW('Weight Log'!$A$5:$A$154))))))</f>
        <v/>
      </c>
      <c r="G17" s="47" t="str">
        <f aca="false">IF($A17="","",IF(SUMPRODUCT(MAX(('Weight Log'!$A$5:$A$154=$A17)*ROW('Weight Log'!$A$5:$A$154)))=0,"-",IFERROR(INDEX('Weight Log'!$E:$E,SUMPRODUCT(MAX(('Weight Log'!$A$5:$A$154=$A17)*ROW('Weight Log'!$A$5:$A$154)))),"-")))</f>
        <v/>
      </c>
      <c r="H17" s="45" t="str">
        <f aca="false">IF($A17="","",'Animal Register'!O17)</f>
        <v/>
      </c>
      <c r="I17" s="68" t="str">
        <f aca="false">IF($A17="","",'Animal Register'!T17)</f>
        <v/>
      </c>
      <c r="J17" s="47" t="str">
        <f aca="false">IF($A17="","",IF(OR(H17="",H17=0),"-",ROUND(I17*1000/H17,0)))</f>
        <v/>
      </c>
      <c r="K17" s="45" t="str">
        <f aca="false">IF($A17="","",'Animal Register'!M17)</f>
        <v/>
      </c>
      <c r="L17" s="47" t="str">
        <f aca="false">IF($A17="","",IF(ISNUMBER(J17),IF(J17&gt;=K17*0.9,"On Track","Behind Target"),"-"))</f>
        <v/>
      </c>
    </row>
    <row r="18" customFormat="false" ht="15" hidden="false" customHeight="false" outlineLevel="0" collapsed="false">
      <c r="A18" s="45" t="str">
        <f aca="false">IF('Animal Register'!A18="","",'Animal Register'!A18)</f>
        <v/>
      </c>
      <c r="B18" s="45" t="str">
        <f aca="false">IF($A18="","",'Animal Register'!B18)</f>
        <v/>
      </c>
      <c r="C18" s="45" t="str">
        <f aca="false">IF($A18="","",'Animal Register'!C18)</f>
        <v/>
      </c>
      <c r="D18" s="68" t="str">
        <f aca="false">IF($A18="","",'Animal Register'!I18)</f>
        <v/>
      </c>
      <c r="E18" s="68" t="str">
        <f aca="false">IF($A18="","",'Animal Register'!S18)</f>
        <v/>
      </c>
      <c r="F18" s="52" t="str">
        <f aca="false">IF($A18="","",IF(SUMPRODUCT(MAX(('Weight Log'!$A$5:$A$154=$A18)*ROW('Weight Log'!$A$5:$A$154)))=0,"-",INDEX('Weight Log'!$B:$B,SUMPRODUCT(MAX(('Weight Log'!$A$5:$A$154=$A18)*ROW('Weight Log'!$A$5:$A$154))))))</f>
        <v/>
      </c>
      <c r="G18" s="47" t="str">
        <f aca="false">IF($A18="","",IF(SUMPRODUCT(MAX(('Weight Log'!$A$5:$A$154=$A18)*ROW('Weight Log'!$A$5:$A$154)))=0,"-",IFERROR(INDEX('Weight Log'!$E:$E,SUMPRODUCT(MAX(('Weight Log'!$A$5:$A$154=$A18)*ROW('Weight Log'!$A$5:$A$154)))),"-")))</f>
        <v/>
      </c>
      <c r="H18" s="45" t="str">
        <f aca="false">IF($A18="","",'Animal Register'!O18)</f>
        <v/>
      </c>
      <c r="I18" s="68" t="str">
        <f aca="false">IF($A18="","",'Animal Register'!T18)</f>
        <v/>
      </c>
      <c r="J18" s="47" t="str">
        <f aca="false">IF($A18="","",IF(OR(H18="",H18=0),"-",ROUND(I18*1000/H18,0)))</f>
        <v/>
      </c>
      <c r="K18" s="45" t="str">
        <f aca="false">IF($A18="","",'Animal Register'!M18)</f>
        <v/>
      </c>
      <c r="L18" s="47" t="str">
        <f aca="false">IF($A18="","",IF(ISNUMBER(J18),IF(J18&gt;=K18*0.9,"On Track","Behind Target"),"-"))</f>
        <v/>
      </c>
    </row>
    <row r="19" customFormat="false" ht="15" hidden="false" customHeight="false" outlineLevel="0" collapsed="false">
      <c r="A19" s="45" t="str">
        <f aca="false">IF('Animal Register'!A19="","",'Animal Register'!A19)</f>
        <v/>
      </c>
      <c r="B19" s="45" t="str">
        <f aca="false">IF($A19="","",'Animal Register'!B19)</f>
        <v/>
      </c>
      <c r="C19" s="45" t="str">
        <f aca="false">IF($A19="","",'Animal Register'!C19)</f>
        <v/>
      </c>
      <c r="D19" s="68" t="str">
        <f aca="false">IF($A19="","",'Animal Register'!I19)</f>
        <v/>
      </c>
      <c r="E19" s="68" t="str">
        <f aca="false">IF($A19="","",'Animal Register'!S19)</f>
        <v/>
      </c>
      <c r="F19" s="52" t="str">
        <f aca="false">IF($A19="","",IF(SUMPRODUCT(MAX(('Weight Log'!$A$5:$A$154=$A19)*ROW('Weight Log'!$A$5:$A$154)))=0,"-",INDEX('Weight Log'!$B:$B,SUMPRODUCT(MAX(('Weight Log'!$A$5:$A$154=$A19)*ROW('Weight Log'!$A$5:$A$154))))))</f>
        <v/>
      </c>
      <c r="G19" s="47" t="str">
        <f aca="false">IF($A19="","",IF(SUMPRODUCT(MAX(('Weight Log'!$A$5:$A$154=$A19)*ROW('Weight Log'!$A$5:$A$154)))=0,"-",IFERROR(INDEX('Weight Log'!$E:$E,SUMPRODUCT(MAX(('Weight Log'!$A$5:$A$154=$A19)*ROW('Weight Log'!$A$5:$A$154)))),"-")))</f>
        <v/>
      </c>
      <c r="H19" s="45" t="str">
        <f aca="false">IF($A19="","",'Animal Register'!O19)</f>
        <v/>
      </c>
      <c r="I19" s="68" t="str">
        <f aca="false">IF($A19="","",'Animal Register'!T19)</f>
        <v/>
      </c>
      <c r="J19" s="47" t="str">
        <f aca="false">IF($A19="","",IF(OR(H19="",H19=0),"-",ROUND(I19*1000/H19,0)))</f>
        <v/>
      </c>
      <c r="K19" s="45" t="str">
        <f aca="false">IF($A19="","",'Animal Register'!M19)</f>
        <v/>
      </c>
      <c r="L19" s="47" t="str">
        <f aca="false">IF($A19="","",IF(ISNUMBER(J19),IF(J19&gt;=K19*0.9,"On Track","Behind Target"),"-"))</f>
        <v/>
      </c>
    </row>
    <row r="20" customFormat="false" ht="15" hidden="false" customHeight="false" outlineLevel="0" collapsed="false">
      <c r="A20" s="45" t="str">
        <f aca="false">IF('Animal Register'!A20="","",'Animal Register'!A20)</f>
        <v/>
      </c>
      <c r="B20" s="45" t="str">
        <f aca="false">IF($A20="","",'Animal Register'!B20)</f>
        <v/>
      </c>
      <c r="C20" s="45" t="str">
        <f aca="false">IF($A20="","",'Animal Register'!C20)</f>
        <v/>
      </c>
      <c r="D20" s="68" t="str">
        <f aca="false">IF($A20="","",'Animal Register'!I20)</f>
        <v/>
      </c>
      <c r="E20" s="68" t="str">
        <f aca="false">IF($A20="","",'Animal Register'!S20)</f>
        <v/>
      </c>
      <c r="F20" s="52" t="str">
        <f aca="false">IF($A20="","",IF(SUMPRODUCT(MAX(('Weight Log'!$A$5:$A$154=$A20)*ROW('Weight Log'!$A$5:$A$154)))=0,"-",INDEX('Weight Log'!$B:$B,SUMPRODUCT(MAX(('Weight Log'!$A$5:$A$154=$A20)*ROW('Weight Log'!$A$5:$A$154))))))</f>
        <v/>
      </c>
      <c r="G20" s="47" t="str">
        <f aca="false">IF($A20="","",IF(SUMPRODUCT(MAX(('Weight Log'!$A$5:$A$154=$A20)*ROW('Weight Log'!$A$5:$A$154)))=0,"-",IFERROR(INDEX('Weight Log'!$E:$E,SUMPRODUCT(MAX(('Weight Log'!$A$5:$A$154=$A20)*ROW('Weight Log'!$A$5:$A$154)))),"-")))</f>
        <v/>
      </c>
      <c r="H20" s="45" t="str">
        <f aca="false">IF($A20="","",'Animal Register'!O20)</f>
        <v/>
      </c>
      <c r="I20" s="68" t="str">
        <f aca="false">IF($A20="","",'Animal Register'!T20)</f>
        <v/>
      </c>
      <c r="J20" s="47" t="str">
        <f aca="false">IF($A20="","",IF(OR(H20="",H20=0),"-",ROUND(I20*1000/H20,0)))</f>
        <v/>
      </c>
      <c r="K20" s="45" t="str">
        <f aca="false">IF($A20="","",'Animal Register'!M20)</f>
        <v/>
      </c>
      <c r="L20" s="47" t="str">
        <f aca="false">IF($A20="","",IF(ISNUMBER(J20),IF(J20&gt;=K20*0.9,"On Track","Behind Target"),"-"))</f>
        <v/>
      </c>
    </row>
    <row r="21" customFormat="false" ht="15" hidden="false" customHeight="false" outlineLevel="0" collapsed="false">
      <c r="A21" s="45" t="str">
        <f aca="false">IF('Animal Register'!A21="","",'Animal Register'!A21)</f>
        <v/>
      </c>
      <c r="B21" s="45" t="str">
        <f aca="false">IF($A21="","",'Animal Register'!B21)</f>
        <v/>
      </c>
      <c r="C21" s="45" t="str">
        <f aca="false">IF($A21="","",'Animal Register'!C21)</f>
        <v/>
      </c>
      <c r="D21" s="68" t="str">
        <f aca="false">IF($A21="","",'Animal Register'!I21)</f>
        <v/>
      </c>
      <c r="E21" s="68" t="str">
        <f aca="false">IF($A21="","",'Animal Register'!S21)</f>
        <v/>
      </c>
      <c r="F21" s="52" t="str">
        <f aca="false">IF($A21="","",IF(SUMPRODUCT(MAX(('Weight Log'!$A$5:$A$154=$A21)*ROW('Weight Log'!$A$5:$A$154)))=0,"-",INDEX('Weight Log'!$B:$B,SUMPRODUCT(MAX(('Weight Log'!$A$5:$A$154=$A21)*ROW('Weight Log'!$A$5:$A$154))))))</f>
        <v/>
      </c>
      <c r="G21" s="47" t="str">
        <f aca="false">IF($A21="","",IF(SUMPRODUCT(MAX(('Weight Log'!$A$5:$A$154=$A21)*ROW('Weight Log'!$A$5:$A$154)))=0,"-",IFERROR(INDEX('Weight Log'!$E:$E,SUMPRODUCT(MAX(('Weight Log'!$A$5:$A$154=$A21)*ROW('Weight Log'!$A$5:$A$154)))),"-")))</f>
        <v/>
      </c>
      <c r="H21" s="45" t="str">
        <f aca="false">IF($A21="","",'Animal Register'!O21)</f>
        <v/>
      </c>
      <c r="I21" s="68" t="str">
        <f aca="false">IF($A21="","",'Animal Register'!T21)</f>
        <v/>
      </c>
      <c r="J21" s="47" t="str">
        <f aca="false">IF($A21="","",IF(OR(H21="",H21=0),"-",ROUND(I21*1000/H21,0)))</f>
        <v/>
      </c>
      <c r="K21" s="45" t="str">
        <f aca="false">IF($A21="","",'Animal Register'!M21)</f>
        <v/>
      </c>
      <c r="L21" s="47" t="str">
        <f aca="false">IF($A21="","",IF(ISNUMBER(J21),IF(J21&gt;=K21*0.9,"On Track","Behind Target"),"-"))</f>
        <v/>
      </c>
    </row>
    <row r="22" customFormat="false" ht="15" hidden="false" customHeight="false" outlineLevel="0" collapsed="false">
      <c r="A22" s="45" t="str">
        <f aca="false">IF('Animal Register'!A22="","",'Animal Register'!A22)</f>
        <v/>
      </c>
      <c r="B22" s="45" t="str">
        <f aca="false">IF($A22="","",'Animal Register'!B22)</f>
        <v/>
      </c>
      <c r="C22" s="45" t="str">
        <f aca="false">IF($A22="","",'Animal Register'!C22)</f>
        <v/>
      </c>
      <c r="D22" s="68" t="str">
        <f aca="false">IF($A22="","",'Animal Register'!I22)</f>
        <v/>
      </c>
      <c r="E22" s="68" t="str">
        <f aca="false">IF($A22="","",'Animal Register'!S22)</f>
        <v/>
      </c>
      <c r="F22" s="52" t="str">
        <f aca="false">IF($A22="","",IF(SUMPRODUCT(MAX(('Weight Log'!$A$5:$A$154=$A22)*ROW('Weight Log'!$A$5:$A$154)))=0,"-",INDEX('Weight Log'!$B:$B,SUMPRODUCT(MAX(('Weight Log'!$A$5:$A$154=$A22)*ROW('Weight Log'!$A$5:$A$154))))))</f>
        <v/>
      </c>
      <c r="G22" s="47" t="str">
        <f aca="false">IF($A22="","",IF(SUMPRODUCT(MAX(('Weight Log'!$A$5:$A$154=$A22)*ROW('Weight Log'!$A$5:$A$154)))=0,"-",IFERROR(INDEX('Weight Log'!$E:$E,SUMPRODUCT(MAX(('Weight Log'!$A$5:$A$154=$A22)*ROW('Weight Log'!$A$5:$A$154)))),"-")))</f>
        <v/>
      </c>
      <c r="H22" s="45" t="str">
        <f aca="false">IF($A22="","",'Animal Register'!O22)</f>
        <v/>
      </c>
      <c r="I22" s="68" t="str">
        <f aca="false">IF($A22="","",'Animal Register'!T22)</f>
        <v/>
      </c>
      <c r="J22" s="47" t="str">
        <f aca="false">IF($A22="","",IF(OR(H22="",H22=0),"-",ROUND(I22*1000/H22,0)))</f>
        <v/>
      </c>
      <c r="K22" s="45" t="str">
        <f aca="false">IF($A22="","",'Animal Register'!M22)</f>
        <v/>
      </c>
      <c r="L22" s="47" t="str">
        <f aca="false">IF($A22="","",IF(ISNUMBER(J22),IF(J22&gt;=K22*0.9,"On Track","Behind Target"),"-"))</f>
        <v/>
      </c>
    </row>
    <row r="23" customFormat="false" ht="15" hidden="false" customHeight="false" outlineLevel="0" collapsed="false">
      <c r="A23" s="45" t="str">
        <f aca="false">IF('Animal Register'!A23="","",'Animal Register'!A23)</f>
        <v/>
      </c>
      <c r="B23" s="45" t="str">
        <f aca="false">IF($A23="","",'Animal Register'!B23)</f>
        <v/>
      </c>
      <c r="C23" s="45" t="str">
        <f aca="false">IF($A23="","",'Animal Register'!C23)</f>
        <v/>
      </c>
      <c r="D23" s="68" t="str">
        <f aca="false">IF($A23="","",'Animal Register'!I23)</f>
        <v/>
      </c>
      <c r="E23" s="68" t="str">
        <f aca="false">IF($A23="","",'Animal Register'!S23)</f>
        <v/>
      </c>
      <c r="F23" s="52" t="str">
        <f aca="false">IF($A23="","",IF(SUMPRODUCT(MAX(('Weight Log'!$A$5:$A$154=$A23)*ROW('Weight Log'!$A$5:$A$154)))=0,"-",INDEX('Weight Log'!$B:$B,SUMPRODUCT(MAX(('Weight Log'!$A$5:$A$154=$A23)*ROW('Weight Log'!$A$5:$A$154))))))</f>
        <v/>
      </c>
      <c r="G23" s="47" t="str">
        <f aca="false">IF($A23="","",IF(SUMPRODUCT(MAX(('Weight Log'!$A$5:$A$154=$A23)*ROW('Weight Log'!$A$5:$A$154)))=0,"-",IFERROR(INDEX('Weight Log'!$E:$E,SUMPRODUCT(MAX(('Weight Log'!$A$5:$A$154=$A23)*ROW('Weight Log'!$A$5:$A$154)))),"-")))</f>
        <v/>
      </c>
      <c r="H23" s="45" t="str">
        <f aca="false">IF($A23="","",'Animal Register'!O23)</f>
        <v/>
      </c>
      <c r="I23" s="68" t="str">
        <f aca="false">IF($A23="","",'Animal Register'!T23)</f>
        <v/>
      </c>
      <c r="J23" s="47" t="str">
        <f aca="false">IF($A23="","",IF(OR(H23="",H23=0),"-",ROUND(I23*1000/H23,0)))</f>
        <v/>
      </c>
      <c r="K23" s="45" t="str">
        <f aca="false">IF($A23="","",'Animal Register'!M23)</f>
        <v/>
      </c>
      <c r="L23" s="47" t="str">
        <f aca="false">IF($A23="","",IF(ISNUMBER(J23),IF(J23&gt;=K23*0.9,"On Track","Behind Target"),"-"))</f>
        <v/>
      </c>
    </row>
    <row r="24" customFormat="false" ht="15" hidden="false" customHeight="false" outlineLevel="0" collapsed="false">
      <c r="A24" s="45" t="str">
        <f aca="false">IF('Animal Register'!A24="","",'Animal Register'!A24)</f>
        <v/>
      </c>
      <c r="B24" s="45" t="str">
        <f aca="false">IF($A24="","",'Animal Register'!B24)</f>
        <v/>
      </c>
      <c r="C24" s="45" t="str">
        <f aca="false">IF($A24="","",'Animal Register'!C24)</f>
        <v/>
      </c>
      <c r="D24" s="68" t="str">
        <f aca="false">IF($A24="","",'Animal Register'!I24)</f>
        <v/>
      </c>
      <c r="E24" s="68" t="str">
        <f aca="false">IF($A24="","",'Animal Register'!S24)</f>
        <v/>
      </c>
      <c r="F24" s="52" t="str">
        <f aca="false">IF($A24="","",IF(SUMPRODUCT(MAX(('Weight Log'!$A$5:$A$154=$A24)*ROW('Weight Log'!$A$5:$A$154)))=0,"-",INDEX('Weight Log'!$B:$B,SUMPRODUCT(MAX(('Weight Log'!$A$5:$A$154=$A24)*ROW('Weight Log'!$A$5:$A$154))))))</f>
        <v/>
      </c>
      <c r="G24" s="47" t="str">
        <f aca="false">IF($A24="","",IF(SUMPRODUCT(MAX(('Weight Log'!$A$5:$A$154=$A24)*ROW('Weight Log'!$A$5:$A$154)))=0,"-",IFERROR(INDEX('Weight Log'!$E:$E,SUMPRODUCT(MAX(('Weight Log'!$A$5:$A$154=$A24)*ROW('Weight Log'!$A$5:$A$154)))),"-")))</f>
        <v/>
      </c>
      <c r="H24" s="45" t="str">
        <f aca="false">IF($A24="","",'Animal Register'!O24)</f>
        <v/>
      </c>
      <c r="I24" s="68" t="str">
        <f aca="false">IF($A24="","",'Animal Register'!T24)</f>
        <v/>
      </c>
      <c r="J24" s="47" t="str">
        <f aca="false">IF($A24="","",IF(OR(H24="",H24=0),"-",ROUND(I24*1000/H24,0)))</f>
        <v/>
      </c>
      <c r="K24" s="45" t="str">
        <f aca="false">IF($A24="","",'Animal Register'!M24)</f>
        <v/>
      </c>
      <c r="L24" s="47" t="str">
        <f aca="false">IF($A24="","",IF(ISNUMBER(J24),IF(J24&gt;=K24*0.9,"On Track","Behind Target"),"-"))</f>
        <v/>
      </c>
    </row>
    <row r="25" customFormat="false" ht="15" hidden="false" customHeight="false" outlineLevel="0" collapsed="false">
      <c r="A25" s="45" t="str">
        <f aca="false">IF('Animal Register'!A25="","",'Animal Register'!A25)</f>
        <v/>
      </c>
      <c r="B25" s="45" t="str">
        <f aca="false">IF($A25="","",'Animal Register'!B25)</f>
        <v/>
      </c>
      <c r="C25" s="45" t="str">
        <f aca="false">IF($A25="","",'Animal Register'!C25)</f>
        <v/>
      </c>
      <c r="D25" s="68" t="str">
        <f aca="false">IF($A25="","",'Animal Register'!I25)</f>
        <v/>
      </c>
      <c r="E25" s="68" t="str">
        <f aca="false">IF($A25="","",'Animal Register'!S25)</f>
        <v/>
      </c>
      <c r="F25" s="52" t="str">
        <f aca="false">IF($A25="","",IF(SUMPRODUCT(MAX(('Weight Log'!$A$5:$A$154=$A25)*ROW('Weight Log'!$A$5:$A$154)))=0,"-",INDEX('Weight Log'!$B:$B,SUMPRODUCT(MAX(('Weight Log'!$A$5:$A$154=$A25)*ROW('Weight Log'!$A$5:$A$154))))))</f>
        <v/>
      </c>
      <c r="G25" s="47" t="str">
        <f aca="false">IF($A25="","",IF(SUMPRODUCT(MAX(('Weight Log'!$A$5:$A$154=$A25)*ROW('Weight Log'!$A$5:$A$154)))=0,"-",IFERROR(INDEX('Weight Log'!$E:$E,SUMPRODUCT(MAX(('Weight Log'!$A$5:$A$154=$A25)*ROW('Weight Log'!$A$5:$A$154)))),"-")))</f>
        <v/>
      </c>
      <c r="H25" s="45" t="str">
        <f aca="false">IF($A25="","",'Animal Register'!O25)</f>
        <v/>
      </c>
      <c r="I25" s="68" t="str">
        <f aca="false">IF($A25="","",'Animal Register'!T25)</f>
        <v/>
      </c>
      <c r="J25" s="47" t="str">
        <f aca="false">IF($A25="","",IF(OR(H25="",H25=0),"-",ROUND(I25*1000/H25,0)))</f>
        <v/>
      </c>
      <c r="K25" s="45" t="str">
        <f aca="false">IF($A25="","",'Animal Register'!M25)</f>
        <v/>
      </c>
      <c r="L25" s="47" t="str">
        <f aca="false">IF($A25="","",IF(ISNUMBER(J25),IF(J25&gt;=K25*0.9,"On Track","Behind Target"),"-"))</f>
        <v/>
      </c>
    </row>
    <row r="26" customFormat="false" ht="15" hidden="false" customHeight="false" outlineLevel="0" collapsed="false">
      <c r="A26" s="45" t="str">
        <f aca="false">IF('Animal Register'!A26="","",'Animal Register'!A26)</f>
        <v/>
      </c>
      <c r="B26" s="45" t="str">
        <f aca="false">IF($A26="","",'Animal Register'!B26)</f>
        <v/>
      </c>
      <c r="C26" s="45" t="str">
        <f aca="false">IF($A26="","",'Animal Register'!C26)</f>
        <v/>
      </c>
      <c r="D26" s="68" t="str">
        <f aca="false">IF($A26="","",'Animal Register'!I26)</f>
        <v/>
      </c>
      <c r="E26" s="68" t="str">
        <f aca="false">IF($A26="","",'Animal Register'!S26)</f>
        <v/>
      </c>
      <c r="F26" s="52" t="str">
        <f aca="false">IF($A26="","",IF(SUMPRODUCT(MAX(('Weight Log'!$A$5:$A$154=$A26)*ROW('Weight Log'!$A$5:$A$154)))=0,"-",INDEX('Weight Log'!$B:$B,SUMPRODUCT(MAX(('Weight Log'!$A$5:$A$154=$A26)*ROW('Weight Log'!$A$5:$A$154))))))</f>
        <v/>
      </c>
      <c r="G26" s="47" t="str">
        <f aca="false">IF($A26="","",IF(SUMPRODUCT(MAX(('Weight Log'!$A$5:$A$154=$A26)*ROW('Weight Log'!$A$5:$A$154)))=0,"-",IFERROR(INDEX('Weight Log'!$E:$E,SUMPRODUCT(MAX(('Weight Log'!$A$5:$A$154=$A26)*ROW('Weight Log'!$A$5:$A$154)))),"-")))</f>
        <v/>
      </c>
      <c r="H26" s="45" t="str">
        <f aca="false">IF($A26="","",'Animal Register'!O26)</f>
        <v/>
      </c>
      <c r="I26" s="68" t="str">
        <f aca="false">IF($A26="","",'Animal Register'!T26)</f>
        <v/>
      </c>
      <c r="J26" s="47" t="str">
        <f aca="false">IF($A26="","",IF(OR(H26="",H26=0),"-",ROUND(I26*1000/H26,0)))</f>
        <v/>
      </c>
      <c r="K26" s="45" t="str">
        <f aca="false">IF($A26="","",'Animal Register'!M26)</f>
        <v/>
      </c>
      <c r="L26" s="47" t="str">
        <f aca="false">IF($A26="","",IF(ISNUMBER(J26),IF(J26&gt;=K26*0.9,"On Track","Behind Target"),"-"))</f>
        <v/>
      </c>
    </row>
    <row r="27" customFormat="false" ht="15" hidden="false" customHeight="false" outlineLevel="0" collapsed="false">
      <c r="A27" s="45" t="str">
        <f aca="false">IF('Animal Register'!A27="","",'Animal Register'!A27)</f>
        <v/>
      </c>
      <c r="B27" s="45" t="str">
        <f aca="false">IF($A27="","",'Animal Register'!B27)</f>
        <v/>
      </c>
      <c r="C27" s="45" t="str">
        <f aca="false">IF($A27="","",'Animal Register'!C27)</f>
        <v/>
      </c>
      <c r="D27" s="68" t="str">
        <f aca="false">IF($A27="","",'Animal Register'!I27)</f>
        <v/>
      </c>
      <c r="E27" s="68" t="str">
        <f aca="false">IF($A27="","",'Animal Register'!S27)</f>
        <v/>
      </c>
      <c r="F27" s="52" t="str">
        <f aca="false">IF($A27="","",IF(SUMPRODUCT(MAX(('Weight Log'!$A$5:$A$154=$A27)*ROW('Weight Log'!$A$5:$A$154)))=0,"-",INDEX('Weight Log'!$B:$B,SUMPRODUCT(MAX(('Weight Log'!$A$5:$A$154=$A27)*ROW('Weight Log'!$A$5:$A$154))))))</f>
        <v/>
      </c>
      <c r="G27" s="47" t="str">
        <f aca="false">IF($A27="","",IF(SUMPRODUCT(MAX(('Weight Log'!$A$5:$A$154=$A27)*ROW('Weight Log'!$A$5:$A$154)))=0,"-",IFERROR(INDEX('Weight Log'!$E:$E,SUMPRODUCT(MAX(('Weight Log'!$A$5:$A$154=$A27)*ROW('Weight Log'!$A$5:$A$154)))),"-")))</f>
        <v/>
      </c>
      <c r="H27" s="45" t="str">
        <f aca="false">IF($A27="","",'Animal Register'!O27)</f>
        <v/>
      </c>
      <c r="I27" s="68" t="str">
        <f aca="false">IF($A27="","",'Animal Register'!T27)</f>
        <v/>
      </c>
      <c r="J27" s="47" t="str">
        <f aca="false">IF($A27="","",IF(OR(H27="",H27=0),"-",ROUND(I27*1000/H27,0)))</f>
        <v/>
      </c>
      <c r="K27" s="45" t="str">
        <f aca="false">IF($A27="","",'Animal Register'!M27)</f>
        <v/>
      </c>
      <c r="L27" s="47" t="str">
        <f aca="false">IF($A27="","",IF(ISNUMBER(J27),IF(J27&gt;=K27*0.9,"On Track","Behind Target"),"-"))</f>
        <v/>
      </c>
    </row>
    <row r="28" customFormat="false" ht="15" hidden="false" customHeight="false" outlineLevel="0" collapsed="false">
      <c r="A28" s="45" t="str">
        <f aca="false">IF('Animal Register'!A28="","",'Animal Register'!A28)</f>
        <v/>
      </c>
      <c r="B28" s="45" t="str">
        <f aca="false">IF($A28="","",'Animal Register'!B28)</f>
        <v/>
      </c>
      <c r="C28" s="45" t="str">
        <f aca="false">IF($A28="","",'Animal Register'!C28)</f>
        <v/>
      </c>
      <c r="D28" s="68" t="str">
        <f aca="false">IF($A28="","",'Animal Register'!I28)</f>
        <v/>
      </c>
      <c r="E28" s="68" t="str">
        <f aca="false">IF($A28="","",'Animal Register'!S28)</f>
        <v/>
      </c>
      <c r="F28" s="52" t="str">
        <f aca="false">IF($A28="","",IF(SUMPRODUCT(MAX(('Weight Log'!$A$5:$A$154=$A28)*ROW('Weight Log'!$A$5:$A$154)))=0,"-",INDEX('Weight Log'!$B:$B,SUMPRODUCT(MAX(('Weight Log'!$A$5:$A$154=$A28)*ROW('Weight Log'!$A$5:$A$154))))))</f>
        <v/>
      </c>
      <c r="G28" s="47" t="str">
        <f aca="false">IF($A28="","",IF(SUMPRODUCT(MAX(('Weight Log'!$A$5:$A$154=$A28)*ROW('Weight Log'!$A$5:$A$154)))=0,"-",IFERROR(INDEX('Weight Log'!$E:$E,SUMPRODUCT(MAX(('Weight Log'!$A$5:$A$154=$A28)*ROW('Weight Log'!$A$5:$A$154)))),"-")))</f>
        <v/>
      </c>
      <c r="H28" s="45" t="str">
        <f aca="false">IF($A28="","",'Animal Register'!O28)</f>
        <v/>
      </c>
      <c r="I28" s="68" t="str">
        <f aca="false">IF($A28="","",'Animal Register'!T28)</f>
        <v/>
      </c>
      <c r="J28" s="47" t="str">
        <f aca="false">IF($A28="","",IF(OR(H28="",H28=0),"-",ROUND(I28*1000/H28,0)))</f>
        <v/>
      </c>
      <c r="K28" s="45" t="str">
        <f aca="false">IF($A28="","",'Animal Register'!M28)</f>
        <v/>
      </c>
      <c r="L28" s="47" t="str">
        <f aca="false">IF($A28="","",IF(ISNUMBER(J28),IF(J28&gt;=K28*0.9,"On Track","Behind Target"),"-"))</f>
        <v/>
      </c>
    </row>
    <row r="29" customFormat="false" ht="15" hidden="false" customHeight="false" outlineLevel="0" collapsed="false">
      <c r="A29" s="45" t="str">
        <f aca="false">IF('Animal Register'!A29="","",'Animal Register'!A29)</f>
        <v/>
      </c>
      <c r="B29" s="45" t="str">
        <f aca="false">IF($A29="","",'Animal Register'!B29)</f>
        <v/>
      </c>
      <c r="C29" s="45" t="str">
        <f aca="false">IF($A29="","",'Animal Register'!C29)</f>
        <v/>
      </c>
      <c r="D29" s="68" t="str">
        <f aca="false">IF($A29="","",'Animal Register'!I29)</f>
        <v/>
      </c>
      <c r="E29" s="68" t="str">
        <f aca="false">IF($A29="","",'Animal Register'!S29)</f>
        <v/>
      </c>
      <c r="F29" s="52" t="str">
        <f aca="false">IF($A29="","",IF(SUMPRODUCT(MAX(('Weight Log'!$A$5:$A$154=$A29)*ROW('Weight Log'!$A$5:$A$154)))=0,"-",INDEX('Weight Log'!$B:$B,SUMPRODUCT(MAX(('Weight Log'!$A$5:$A$154=$A29)*ROW('Weight Log'!$A$5:$A$154))))))</f>
        <v/>
      </c>
      <c r="G29" s="47" t="str">
        <f aca="false">IF($A29="","",IF(SUMPRODUCT(MAX(('Weight Log'!$A$5:$A$154=$A29)*ROW('Weight Log'!$A$5:$A$154)))=0,"-",IFERROR(INDEX('Weight Log'!$E:$E,SUMPRODUCT(MAX(('Weight Log'!$A$5:$A$154=$A29)*ROW('Weight Log'!$A$5:$A$154)))),"-")))</f>
        <v/>
      </c>
      <c r="H29" s="45" t="str">
        <f aca="false">IF($A29="","",'Animal Register'!O29)</f>
        <v/>
      </c>
      <c r="I29" s="68" t="str">
        <f aca="false">IF($A29="","",'Animal Register'!T29)</f>
        <v/>
      </c>
      <c r="J29" s="47" t="str">
        <f aca="false">IF($A29="","",IF(OR(H29="",H29=0),"-",ROUND(I29*1000/H29,0)))</f>
        <v/>
      </c>
      <c r="K29" s="45" t="str">
        <f aca="false">IF($A29="","",'Animal Register'!M29)</f>
        <v/>
      </c>
      <c r="L29" s="47" t="str">
        <f aca="false">IF($A29="","",IF(ISNUMBER(J29),IF(J29&gt;=K29*0.9,"On Track","Behind Target"),"-"))</f>
        <v/>
      </c>
    </row>
    <row r="30" customFormat="false" ht="15" hidden="false" customHeight="false" outlineLevel="0" collapsed="false">
      <c r="A30" s="45" t="str">
        <f aca="false">IF('Animal Register'!A30="","",'Animal Register'!A30)</f>
        <v/>
      </c>
      <c r="B30" s="45" t="str">
        <f aca="false">IF($A30="","",'Animal Register'!B30)</f>
        <v/>
      </c>
      <c r="C30" s="45" t="str">
        <f aca="false">IF($A30="","",'Animal Register'!C30)</f>
        <v/>
      </c>
      <c r="D30" s="68" t="str">
        <f aca="false">IF($A30="","",'Animal Register'!I30)</f>
        <v/>
      </c>
      <c r="E30" s="68" t="str">
        <f aca="false">IF($A30="","",'Animal Register'!S30)</f>
        <v/>
      </c>
      <c r="F30" s="52" t="str">
        <f aca="false">IF($A30="","",IF(SUMPRODUCT(MAX(('Weight Log'!$A$5:$A$154=$A30)*ROW('Weight Log'!$A$5:$A$154)))=0,"-",INDEX('Weight Log'!$B:$B,SUMPRODUCT(MAX(('Weight Log'!$A$5:$A$154=$A30)*ROW('Weight Log'!$A$5:$A$154))))))</f>
        <v/>
      </c>
      <c r="G30" s="47" t="str">
        <f aca="false">IF($A30="","",IF(SUMPRODUCT(MAX(('Weight Log'!$A$5:$A$154=$A30)*ROW('Weight Log'!$A$5:$A$154)))=0,"-",IFERROR(INDEX('Weight Log'!$E:$E,SUMPRODUCT(MAX(('Weight Log'!$A$5:$A$154=$A30)*ROW('Weight Log'!$A$5:$A$154)))),"-")))</f>
        <v/>
      </c>
      <c r="H30" s="45" t="str">
        <f aca="false">IF($A30="","",'Animal Register'!O30)</f>
        <v/>
      </c>
      <c r="I30" s="68" t="str">
        <f aca="false">IF($A30="","",'Animal Register'!T30)</f>
        <v/>
      </c>
      <c r="J30" s="47" t="str">
        <f aca="false">IF($A30="","",IF(OR(H30="",H30=0),"-",ROUND(I30*1000/H30,0)))</f>
        <v/>
      </c>
      <c r="K30" s="45" t="str">
        <f aca="false">IF($A30="","",'Animal Register'!M30)</f>
        <v/>
      </c>
      <c r="L30" s="47" t="str">
        <f aca="false">IF($A30="","",IF(ISNUMBER(J30),IF(J30&gt;=K30*0.9,"On Track","Behind Target"),"-"))</f>
        <v/>
      </c>
    </row>
    <row r="31" customFormat="false" ht="15" hidden="false" customHeight="false" outlineLevel="0" collapsed="false">
      <c r="A31" s="45" t="str">
        <f aca="false">IF('Animal Register'!A31="","",'Animal Register'!A31)</f>
        <v/>
      </c>
      <c r="B31" s="45" t="str">
        <f aca="false">IF($A31="","",'Animal Register'!B31)</f>
        <v/>
      </c>
      <c r="C31" s="45" t="str">
        <f aca="false">IF($A31="","",'Animal Register'!C31)</f>
        <v/>
      </c>
      <c r="D31" s="68" t="str">
        <f aca="false">IF($A31="","",'Animal Register'!I31)</f>
        <v/>
      </c>
      <c r="E31" s="68" t="str">
        <f aca="false">IF($A31="","",'Animal Register'!S31)</f>
        <v/>
      </c>
      <c r="F31" s="52" t="str">
        <f aca="false">IF($A31="","",IF(SUMPRODUCT(MAX(('Weight Log'!$A$5:$A$154=$A31)*ROW('Weight Log'!$A$5:$A$154)))=0,"-",INDEX('Weight Log'!$B:$B,SUMPRODUCT(MAX(('Weight Log'!$A$5:$A$154=$A31)*ROW('Weight Log'!$A$5:$A$154))))))</f>
        <v/>
      </c>
      <c r="G31" s="47" t="str">
        <f aca="false">IF($A31="","",IF(SUMPRODUCT(MAX(('Weight Log'!$A$5:$A$154=$A31)*ROW('Weight Log'!$A$5:$A$154)))=0,"-",IFERROR(INDEX('Weight Log'!$E:$E,SUMPRODUCT(MAX(('Weight Log'!$A$5:$A$154=$A31)*ROW('Weight Log'!$A$5:$A$154)))),"-")))</f>
        <v/>
      </c>
      <c r="H31" s="45" t="str">
        <f aca="false">IF($A31="","",'Animal Register'!O31)</f>
        <v/>
      </c>
      <c r="I31" s="68" t="str">
        <f aca="false">IF($A31="","",'Animal Register'!T31)</f>
        <v/>
      </c>
      <c r="J31" s="47" t="str">
        <f aca="false">IF($A31="","",IF(OR(H31="",H31=0),"-",ROUND(I31*1000/H31,0)))</f>
        <v/>
      </c>
      <c r="K31" s="45" t="str">
        <f aca="false">IF($A31="","",'Animal Register'!M31)</f>
        <v/>
      </c>
      <c r="L31" s="47" t="str">
        <f aca="false">IF($A31="","",IF(ISNUMBER(J31),IF(J31&gt;=K31*0.9,"On Track","Behind Target"),"-"))</f>
        <v/>
      </c>
    </row>
    <row r="32" customFormat="false" ht="15" hidden="false" customHeight="false" outlineLevel="0" collapsed="false">
      <c r="A32" s="45" t="str">
        <f aca="false">IF('Animal Register'!A32="","",'Animal Register'!A32)</f>
        <v/>
      </c>
      <c r="B32" s="45" t="str">
        <f aca="false">IF($A32="","",'Animal Register'!B32)</f>
        <v/>
      </c>
      <c r="C32" s="45" t="str">
        <f aca="false">IF($A32="","",'Animal Register'!C32)</f>
        <v/>
      </c>
      <c r="D32" s="68" t="str">
        <f aca="false">IF($A32="","",'Animal Register'!I32)</f>
        <v/>
      </c>
      <c r="E32" s="68" t="str">
        <f aca="false">IF($A32="","",'Animal Register'!S32)</f>
        <v/>
      </c>
      <c r="F32" s="52" t="str">
        <f aca="false">IF($A32="","",IF(SUMPRODUCT(MAX(('Weight Log'!$A$5:$A$154=$A32)*ROW('Weight Log'!$A$5:$A$154)))=0,"-",INDEX('Weight Log'!$B:$B,SUMPRODUCT(MAX(('Weight Log'!$A$5:$A$154=$A32)*ROW('Weight Log'!$A$5:$A$154))))))</f>
        <v/>
      </c>
      <c r="G32" s="47" t="str">
        <f aca="false">IF($A32="","",IF(SUMPRODUCT(MAX(('Weight Log'!$A$5:$A$154=$A32)*ROW('Weight Log'!$A$5:$A$154)))=0,"-",IFERROR(INDEX('Weight Log'!$E:$E,SUMPRODUCT(MAX(('Weight Log'!$A$5:$A$154=$A32)*ROW('Weight Log'!$A$5:$A$154)))),"-")))</f>
        <v/>
      </c>
      <c r="H32" s="45" t="str">
        <f aca="false">IF($A32="","",'Animal Register'!O32)</f>
        <v/>
      </c>
      <c r="I32" s="68" t="str">
        <f aca="false">IF($A32="","",'Animal Register'!T32)</f>
        <v/>
      </c>
      <c r="J32" s="47" t="str">
        <f aca="false">IF($A32="","",IF(OR(H32="",H32=0),"-",ROUND(I32*1000/H32,0)))</f>
        <v/>
      </c>
      <c r="K32" s="45" t="str">
        <f aca="false">IF($A32="","",'Animal Register'!M32)</f>
        <v/>
      </c>
      <c r="L32" s="47" t="str">
        <f aca="false">IF($A32="","",IF(ISNUMBER(J32),IF(J32&gt;=K32*0.9,"On Track","Behind Target"),"-"))</f>
        <v/>
      </c>
    </row>
    <row r="33" customFormat="false" ht="15" hidden="false" customHeight="false" outlineLevel="0" collapsed="false">
      <c r="A33" s="45" t="str">
        <f aca="false">IF('Animal Register'!A33="","",'Animal Register'!A33)</f>
        <v/>
      </c>
      <c r="B33" s="45" t="str">
        <f aca="false">IF($A33="","",'Animal Register'!B33)</f>
        <v/>
      </c>
      <c r="C33" s="45" t="str">
        <f aca="false">IF($A33="","",'Animal Register'!C33)</f>
        <v/>
      </c>
      <c r="D33" s="68" t="str">
        <f aca="false">IF($A33="","",'Animal Register'!I33)</f>
        <v/>
      </c>
      <c r="E33" s="68" t="str">
        <f aca="false">IF($A33="","",'Animal Register'!S33)</f>
        <v/>
      </c>
      <c r="F33" s="52" t="str">
        <f aca="false">IF($A33="","",IF(SUMPRODUCT(MAX(('Weight Log'!$A$5:$A$154=$A33)*ROW('Weight Log'!$A$5:$A$154)))=0,"-",INDEX('Weight Log'!$B:$B,SUMPRODUCT(MAX(('Weight Log'!$A$5:$A$154=$A33)*ROW('Weight Log'!$A$5:$A$154))))))</f>
        <v/>
      </c>
      <c r="G33" s="47" t="str">
        <f aca="false">IF($A33="","",IF(SUMPRODUCT(MAX(('Weight Log'!$A$5:$A$154=$A33)*ROW('Weight Log'!$A$5:$A$154)))=0,"-",IFERROR(INDEX('Weight Log'!$E:$E,SUMPRODUCT(MAX(('Weight Log'!$A$5:$A$154=$A33)*ROW('Weight Log'!$A$5:$A$154)))),"-")))</f>
        <v/>
      </c>
      <c r="H33" s="45" t="str">
        <f aca="false">IF($A33="","",'Animal Register'!O33)</f>
        <v/>
      </c>
      <c r="I33" s="68" t="str">
        <f aca="false">IF($A33="","",'Animal Register'!T33)</f>
        <v/>
      </c>
      <c r="J33" s="47" t="str">
        <f aca="false">IF($A33="","",IF(OR(H33="",H33=0),"-",ROUND(I33*1000/H33,0)))</f>
        <v/>
      </c>
      <c r="K33" s="45" t="str">
        <f aca="false">IF($A33="","",'Animal Register'!M33)</f>
        <v/>
      </c>
      <c r="L33" s="47" t="str">
        <f aca="false">IF($A33="","",IF(ISNUMBER(J33),IF(J33&gt;=K33*0.9,"On Track","Behind Target"),"-"))</f>
        <v/>
      </c>
    </row>
    <row r="34" customFormat="false" ht="15" hidden="false" customHeight="false" outlineLevel="0" collapsed="false">
      <c r="A34" s="45" t="str">
        <f aca="false">IF('Animal Register'!A34="","",'Animal Register'!A34)</f>
        <v/>
      </c>
      <c r="B34" s="45" t="str">
        <f aca="false">IF($A34="","",'Animal Register'!B34)</f>
        <v/>
      </c>
      <c r="C34" s="45" t="str">
        <f aca="false">IF($A34="","",'Animal Register'!C34)</f>
        <v/>
      </c>
      <c r="D34" s="68" t="str">
        <f aca="false">IF($A34="","",'Animal Register'!I34)</f>
        <v/>
      </c>
      <c r="E34" s="68" t="str">
        <f aca="false">IF($A34="","",'Animal Register'!S34)</f>
        <v/>
      </c>
      <c r="F34" s="52" t="str">
        <f aca="false">IF($A34="","",IF(SUMPRODUCT(MAX(('Weight Log'!$A$5:$A$154=$A34)*ROW('Weight Log'!$A$5:$A$154)))=0,"-",INDEX('Weight Log'!$B:$B,SUMPRODUCT(MAX(('Weight Log'!$A$5:$A$154=$A34)*ROW('Weight Log'!$A$5:$A$154))))))</f>
        <v/>
      </c>
      <c r="G34" s="47" t="str">
        <f aca="false">IF($A34="","",IF(SUMPRODUCT(MAX(('Weight Log'!$A$5:$A$154=$A34)*ROW('Weight Log'!$A$5:$A$154)))=0,"-",IFERROR(INDEX('Weight Log'!$E:$E,SUMPRODUCT(MAX(('Weight Log'!$A$5:$A$154=$A34)*ROW('Weight Log'!$A$5:$A$154)))),"-")))</f>
        <v/>
      </c>
      <c r="H34" s="45" t="str">
        <f aca="false">IF($A34="","",'Animal Register'!O34)</f>
        <v/>
      </c>
      <c r="I34" s="68" t="str">
        <f aca="false">IF($A34="","",'Animal Register'!T34)</f>
        <v/>
      </c>
      <c r="J34" s="47" t="str">
        <f aca="false">IF($A34="","",IF(OR(H34="",H34=0),"-",ROUND(I34*1000/H34,0)))</f>
        <v/>
      </c>
      <c r="K34" s="45" t="str">
        <f aca="false">IF($A34="","",'Animal Register'!M34)</f>
        <v/>
      </c>
      <c r="L34" s="47" t="str">
        <f aca="false">IF($A34="","",IF(ISNUMBER(J34),IF(J34&gt;=K34*0.9,"On Track","Behind Target"),"-"))</f>
        <v/>
      </c>
    </row>
    <row r="35" customFormat="false" ht="15" hidden="false" customHeight="false" outlineLevel="0" collapsed="false">
      <c r="A35" s="45" t="str">
        <f aca="false">IF('Animal Register'!A35="","",'Animal Register'!A35)</f>
        <v/>
      </c>
      <c r="B35" s="45" t="str">
        <f aca="false">IF($A35="","",'Animal Register'!B35)</f>
        <v/>
      </c>
      <c r="C35" s="45" t="str">
        <f aca="false">IF($A35="","",'Animal Register'!C35)</f>
        <v/>
      </c>
      <c r="D35" s="68" t="str">
        <f aca="false">IF($A35="","",'Animal Register'!I35)</f>
        <v/>
      </c>
      <c r="E35" s="68" t="str">
        <f aca="false">IF($A35="","",'Animal Register'!S35)</f>
        <v/>
      </c>
      <c r="F35" s="52" t="str">
        <f aca="false">IF($A35="","",IF(SUMPRODUCT(MAX(('Weight Log'!$A$5:$A$154=$A35)*ROW('Weight Log'!$A$5:$A$154)))=0,"-",INDEX('Weight Log'!$B:$B,SUMPRODUCT(MAX(('Weight Log'!$A$5:$A$154=$A35)*ROW('Weight Log'!$A$5:$A$154))))))</f>
        <v/>
      </c>
      <c r="G35" s="47" t="str">
        <f aca="false">IF($A35="","",IF(SUMPRODUCT(MAX(('Weight Log'!$A$5:$A$154=$A35)*ROW('Weight Log'!$A$5:$A$154)))=0,"-",IFERROR(INDEX('Weight Log'!$E:$E,SUMPRODUCT(MAX(('Weight Log'!$A$5:$A$154=$A35)*ROW('Weight Log'!$A$5:$A$154)))),"-")))</f>
        <v/>
      </c>
      <c r="H35" s="45" t="str">
        <f aca="false">IF($A35="","",'Animal Register'!O35)</f>
        <v/>
      </c>
      <c r="I35" s="68" t="str">
        <f aca="false">IF($A35="","",'Animal Register'!T35)</f>
        <v/>
      </c>
      <c r="J35" s="47" t="str">
        <f aca="false">IF($A35="","",IF(OR(H35="",H35=0),"-",ROUND(I35*1000/H35,0)))</f>
        <v/>
      </c>
      <c r="K35" s="45" t="str">
        <f aca="false">IF($A35="","",'Animal Register'!M35)</f>
        <v/>
      </c>
      <c r="L35" s="47" t="str">
        <f aca="false">IF($A35="","",IF(ISNUMBER(J35),IF(J35&gt;=K35*0.9,"On Track","Behind Target"),"-"))</f>
        <v/>
      </c>
    </row>
    <row r="36" customFormat="false" ht="15" hidden="false" customHeight="false" outlineLevel="0" collapsed="false">
      <c r="A36" s="45" t="str">
        <f aca="false">IF('Animal Register'!A36="","",'Animal Register'!A36)</f>
        <v/>
      </c>
      <c r="B36" s="45" t="str">
        <f aca="false">IF($A36="","",'Animal Register'!B36)</f>
        <v/>
      </c>
      <c r="C36" s="45" t="str">
        <f aca="false">IF($A36="","",'Animal Register'!C36)</f>
        <v/>
      </c>
      <c r="D36" s="68" t="str">
        <f aca="false">IF($A36="","",'Animal Register'!I36)</f>
        <v/>
      </c>
      <c r="E36" s="68" t="str">
        <f aca="false">IF($A36="","",'Animal Register'!S36)</f>
        <v/>
      </c>
      <c r="F36" s="52" t="str">
        <f aca="false">IF($A36="","",IF(SUMPRODUCT(MAX(('Weight Log'!$A$5:$A$154=$A36)*ROW('Weight Log'!$A$5:$A$154)))=0,"-",INDEX('Weight Log'!$B:$B,SUMPRODUCT(MAX(('Weight Log'!$A$5:$A$154=$A36)*ROW('Weight Log'!$A$5:$A$154))))))</f>
        <v/>
      </c>
      <c r="G36" s="47" t="str">
        <f aca="false">IF($A36="","",IF(SUMPRODUCT(MAX(('Weight Log'!$A$5:$A$154=$A36)*ROW('Weight Log'!$A$5:$A$154)))=0,"-",IFERROR(INDEX('Weight Log'!$E:$E,SUMPRODUCT(MAX(('Weight Log'!$A$5:$A$154=$A36)*ROW('Weight Log'!$A$5:$A$154)))),"-")))</f>
        <v/>
      </c>
      <c r="H36" s="45" t="str">
        <f aca="false">IF($A36="","",'Animal Register'!O36)</f>
        <v/>
      </c>
      <c r="I36" s="68" t="str">
        <f aca="false">IF($A36="","",'Animal Register'!T36)</f>
        <v/>
      </c>
      <c r="J36" s="47" t="str">
        <f aca="false">IF($A36="","",IF(OR(H36="",H36=0),"-",ROUND(I36*1000/H36,0)))</f>
        <v/>
      </c>
      <c r="K36" s="45" t="str">
        <f aca="false">IF($A36="","",'Animal Register'!M36)</f>
        <v/>
      </c>
      <c r="L36" s="47" t="str">
        <f aca="false">IF($A36="","",IF(ISNUMBER(J36),IF(J36&gt;=K36*0.9,"On Track","Behind Target"),"-"))</f>
        <v/>
      </c>
    </row>
    <row r="37" customFormat="false" ht="15" hidden="false" customHeight="false" outlineLevel="0" collapsed="false">
      <c r="A37" s="45" t="str">
        <f aca="false">IF('Animal Register'!A37="","",'Animal Register'!A37)</f>
        <v/>
      </c>
      <c r="B37" s="45" t="str">
        <f aca="false">IF($A37="","",'Animal Register'!B37)</f>
        <v/>
      </c>
      <c r="C37" s="45" t="str">
        <f aca="false">IF($A37="","",'Animal Register'!C37)</f>
        <v/>
      </c>
      <c r="D37" s="68" t="str">
        <f aca="false">IF($A37="","",'Animal Register'!I37)</f>
        <v/>
      </c>
      <c r="E37" s="68" t="str">
        <f aca="false">IF($A37="","",'Animal Register'!S37)</f>
        <v/>
      </c>
      <c r="F37" s="52" t="str">
        <f aca="false">IF($A37="","",IF(SUMPRODUCT(MAX(('Weight Log'!$A$5:$A$154=$A37)*ROW('Weight Log'!$A$5:$A$154)))=0,"-",INDEX('Weight Log'!$B:$B,SUMPRODUCT(MAX(('Weight Log'!$A$5:$A$154=$A37)*ROW('Weight Log'!$A$5:$A$154))))))</f>
        <v/>
      </c>
      <c r="G37" s="47" t="str">
        <f aca="false">IF($A37="","",IF(SUMPRODUCT(MAX(('Weight Log'!$A$5:$A$154=$A37)*ROW('Weight Log'!$A$5:$A$154)))=0,"-",IFERROR(INDEX('Weight Log'!$E:$E,SUMPRODUCT(MAX(('Weight Log'!$A$5:$A$154=$A37)*ROW('Weight Log'!$A$5:$A$154)))),"-")))</f>
        <v/>
      </c>
      <c r="H37" s="45" t="str">
        <f aca="false">IF($A37="","",'Animal Register'!O37)</f>
        <v/>
      </c>
      <c r="I37" s="68" t="str">
        <f aca="false">IF($A37="","",'Animal Register'!T37)</f>
        <v/>
      </c>
      <c r="J37" s="47" t="str">
        <f aca="false">IF($A37="","",IF(OR(H37="",H37=0),"-",ROUND(I37*1000/H37,0)))</f>
        <v/>
      </c>
      <c r="K37" s="45" t="str">
        <f aca="false">IF($A37="","",'Animal Register'!M37)</f>
        <v/>
      </c>
      <c r="L37" s="47" t="str">
        <f aca="false">IF($A37="","",IF(ISNUMBER(J37),IF(J37&gt;=K37*0.9,"On Track","Behind Target"),"-"))</f>
        <v/>
      </c>
    </row>
    <row r="38" customFormat="false" ht="15" hidden="false" customHeight="false" outlineLevel="0" collapsed="false">
      <c r="A38" s="45" t="str">
        <f aca="false">IF('Animal Register'!A38="","",'Animal Register'!A38)</f>
        <v/>
      </c>
      <c r="B38" s="45" t="str">
        <f aca="false">IF($A38="","",'Animal Register'!B38)</f>
        <v/>
      </c>
      <c r="C38" s="45" t="str">
        <f aca="false">IF($A38="","",'Animal Register'!C38)</f>
        <v/>
      </c>
      <c r="D38" s="68" t="str">
        <f aca="false">IF($A38="","",'Animal Register'!I38)</f>
        <v/>
      </c>
      <c r="E38" s="68" t="str">
        <f aca="false">IF($A38="","",'Animal Register'!S38)</f>
        <v/>
      </c>
      <c r="F38" s="52" t="str">
        <f aca="false">IF($A38="","",IF(SUMPRODUCT(MAX(('Weight Log'!$A$5:$A$154=$A38)*ROW('Weight Log'!$A$5:$A$154)))=0,"-",INDEX('Weight Log'!$B:$B,SUMPRODUCT(MAX(('Weight Log'!$A$5:$A$154=$A38)*ROW('Weight Log'!$A$5:$A$154))))))</f>
        <v/>
      </c>
      <c r="G38" s="47" t="str">
        <f aca="false">IF($A38="","",IF(SUMPRODUCT(MAX(('Weight Log'!$A$5:$A$154=$A38)*ROW('Weight Log'!$A$5:$A$154)))=0,"-",IFERROR(INDEX('Weight Log'!$E:$E,SUMPRODUCT(MAX(('Weight Log'!$A$5:$A$154=$A38)*ROW('Weight Log'!$A$5:$A$154)))),"-")))</f>
        <v/>
      </c>
      <c r="H38" s="45" t="str">
        <f aca="false">IF($A38="","",'Animal Register'!O38)</f>
        <v/>
      </c>
      <c r="I38" s="68" t="str">
        <f aca="false">IF($A38="","",'Animal Register'!T38)</f>
        <v/>
      </c>
      <c r="J38" s="47" t="str">
        <f aca="false">IF($A38="","",IF(OR(H38="",H38=0),"-",ROUND(I38*1000/H38,0)))</f>
        <v/>
      </c>
      <c r="K38" s="45" t="str">
        <f aca="false">IF($A38="","",'Animal Register'!M38)</f>
        <v/>
      </c>
      <c r="L38" s="47" t="str">
        <f aca="false">IF($A38="","",IF(ISNUMBER(J38),IF(J38&gt;=K38*0.9,"On Track","Behind Target"),"-"))</f>
        <v/>
      </c>
    </row>
    <row r="39" customFormat="false" ht="15" hidden="false" customHeight="false" outlineLevel="0" collapsed="false">
      <c r="A39" s="45" t="str">
        <f aca="false">IF('Animal Register'!A39="","",'Animal Register'!A39)</f>
        <v/>
      </c>
      <c r="B39" s="45" t="str">
        <f aca="false">IF($A39="","",'Animal Register'!B39)</f>
        <v/>
      </c>
      <c r="C39" s="45" t="str">
        <f aca="false">IF($A39="","",'Animal Register'!C39)</f>
        <v/>
      </c>
      <c r="D39" s="68" t="str">
        <f aca="false">IF($A39="","",'Animal Register'!I39)</f>
        <v/>
      </c>
      <c r="E39" s="68" t="str">
        <f aca="false">IF($A39="","",'Animal Register'!S39)</f>
        <v/>
      </c>
      <c r="F39" s="52" t="str">
        <f aca="false">IF($A39="","",IF(SUMPRODUCT(MAX(('Weight Log'!$A$5:$A$154=$A39)*ROW('Weight Log'!$A$5:$A$154)))=0,"-",INDEX('Weight Log'!$B:$B,SUMPRODUCT(MAX(('Weight Log'!$A$5:$A$154=$A39)*ROW('Weight Log'!$A$5:$A$154))))))</f>
        <v/>
      </c>
      <c r="G39" s="47" t="str">
        <f aca="false">IF($A39="","",IF(SUMPRODUCT(MAX(('Weight Log'!$A$5:$A$154=$A39)*ROW('Weight Log'!$A$5:$A$154)))=0,"-",IFERROR(INDEX('Weight Log'!$E:$E,SUMPRODUCT(MAX(('Weight Log'!$A$5:$A$154=$A39)*ROW('Weight Log'!$A$5:$A$154)))),"-")))</f>
        <v/>
      </c>
      <c r="H39" s="45" t="str">
        <f aca="false">IF($A39="","",'Animal Register'!O39)</f>
        <v/>
      </c>
      <c r="I39" s="68" t="str">
        <f aca="false">IF($A39="","",'Animal Register'!T39)</f>
        <v/>
      </c>
      <c r="J39" s="47" t="str">
        <f aca="false">IF($A39="","",IF(OR(H39="",H39=0),"-",ROUND(I39*1000/H39,0)))</f>
        <v/>
      </c>
      <c r="K39" s="45" t="str">
        <f aca="false">IF($A39="","",'Animal Register'!M39)</f>
        <v/>
      </c>
      <c r="L39" s="47" t="str">
        <f aca="false">IF($A39="","",IF(ISNUMBER(J39),IF(J39&gt;=K39*0.9,"On Track","Behind Target"),"-"))</f>
        <v/>
      </c>
    </row>
    <row r="40" customFormat="false" ht="15" hidden="false" customHeight="false" outlineLevel="0" collapsed="false">
      <c r="A40" s="45" t="str">
        <f aca="false">IF('Animal Register'!A40="","",'Animal Register'!A40)</f>
        <v/>
      </c>
      <c r="B40" s="45" t="str">
        <f aca="false">IF($A40="","",'Animal Register'!B40)</f>
        <v/>
      </c>
      <c r="C40" s="45" t="str">
        <f aca="false">IF($A40="","",'Animal Register'!C40)</f>
        <v/>
      </c>
      <c r="D40" s="68" t="str">
        <f aca="false">IF($A40="","",'Animal Register'!I40)</f>
        <v/>
      </c>
      <c r="E40" s="68" t="str">
        <f aca="false">IF($A40="","",'Animal Register'!S40)</f>
        <v/>
      </c>
      <c r="F40" s="52" t="str">
        <f aca="false">IF($A40="","",IF(SUMPRODUCT(MAX(('Weight Log'!$A$5:$A$154=$A40)*ROW('Weight Log'!$A$5:$A$154)))=0,"-",INDEX('Weight Log'!$B:$B,SUMPRODUCT(MAX(('Weight Log'!$A$5:$A$154=$A40)*ROW('Weight Log'!$A$5:$A$154))))))</f>
        <v/>
      </c>
      <c r="G40" s="47" t="str">
        <f aca="false">IF($A40="","",IF(SUMPRODUCT(MAX(('Weight Log'!$A$5:$A$154=$A40)*ROW('Weight Log'!$A$5:$A$154)))=0,"-",IFERROR(INDEX('Weight Log'!$E:$E,SUMPRODUCT(MAX(('Weight Log'!$A$5:$A$154=$A40)*ROW('Weight Log'!$A$5:$A$154)))),"-")))</f>
        <v/>
      </c>
      <c r="H40" s="45" t="str">
        <f aca="false">IF($A40="","",'Animal Register'!O40)</f>
        <v/>
      </c>
      <c r="I40" s="68" t="str">
        <f aca="false">IF($A40="","",'Animal Register'!T40)</f>
        <v/>
      </c>
      <c r="J40" s="47" t="str">
        <f aca="false">IF($A40="","",IF(OR(H40="",H40=0),"-",ROUND(I40*1000/H40,0)))</f>
        <v/>
      </c>
      <c r="K40" s="45" t="str">
        <f aca="false">IF($A40="","",'Animal Register'!M40)</f>
        <v/>
      </c>
      <c r="L40" s="47" t="str">
        <f aca="false">IF($A40="","",IF(ISNUMBER(J40),IF(J40&gt;=K40*0.9,"On Track","Behind Target"),"-"))</f>
        <v/>
      </c>
    </row>
    <row r="41" customFormat="false" ht="15" hidden="false" customHeight="false" outlineLevel="0" collapsed="false">
      <c r="A41" s="45" t="str">
        <f aca="false">IF('Animal Register'!A41="","",'Animal Register'!A41)</f>
        <v/>
      </c>
      <c r="B41" s="45" t="str">
        <f aca="false">IF($A41="","",'Animal Register'!B41)</f>
        <v/>
      </c>
      <c r="C41" s="45" t="str">
        <f aca="false">IF($A41="","",'Animal Register'!C41)</f>
        <v/>
      </c>
      <c r="D41" s="68" t="str">
        <f aca="false">IF($A41="","",'Animal Register'!I41)</f>
        <v/>
      </c>
      <c r="E41" s="68" t="str">
        <f aca="false">IF($A41="","",'Animal Register'!S41)</f>
        <v/>
      </c>
      <c r="F41" s="52" t="str">
        <f aca="false">IF($A41="","",IF(SUMPRODUCT(MAX(('Weight Log'!$A$5:$A$154=$A41)*ROW('Weight Log'!$A$5:$A$154)))=0,"-",INDEX('Weight Log'!$B:$B,SUMPRODUCT(MAX(('Weight Log'!$A$5:$A$154=$A41)*ROW('Weight Log'!$A$5:$A$154))))))</f>
        <v/>
      </c>
      <c r="G41" s="47" t="str">
        <f aca="false">IF($A41="","",IF(SUMPRODUCT(MAX(('Weight Log'!$A$5:$A$154=$A41)*ROW('Weight Log'!$A$5:$A$154)))=0,"-",IFERROR(INDEX('Weight Log'!$E:$E,SUMPRODUCT(MAX(('Weight Log'!$A$5:$A$154=$A41)*ROW('Weight Log'!$A$5:$A$154)))),"-")))</f>
        <v/>
      </c>
      <c r="H41" s="45" t="str">
        <f aca="false">IF($A41="","",'Animal Register'!O41)</f>
        <v/>
      </c>
      <c r="I41" s="68" t="str">
        <f aca="false">IF($A41="","",'Animal Register'!T41)</f>
        <v/>
      </c>
      <c r="J41" s="47" t="str">
        <f aca="false">IF($A41="","",IF(OR(H41="",H41=0),"-",ROUND(I41*1000/H41,0)))</f>
        <v/>
      </c>
      <c r="K41" s="45" t="str">
        <f aca="false">IF($A41="","",'Animal Register'!M41)</f>
        <v/>
      </c>
      <c r="L41" s="47" t="str">
        <f aca="false">IF($A41="","",IF(ISNUMBER(J41),IF(J41&gt;=K41*0.9,"On Track","Behind Target"),"-"))</f>
        <v/>
      </c>
    </row>
    <row r="42" customFormat="false" ht="15" hidden="false" customHeight="false" outlineLevel="0" collapsed="false">
      <c r="A42" s="45" t="str">
        <f aca="false">IF('Animal Register'!A42="","",'Animal Register'!A42)</f>
        <v/>
      </c>
      <c r="B42" s="45" t="str">
        <f aca="false">IF($A42="","",'Animal Register'!B42)</f>
        <v/>
      </c>
      <c r="C42" s="45" t="str">
        <f aca="false">IF($A42="","",'Animal Register'!C42)</f>
        <v/>
      </c>
      <c r="D42" s="68" t="str">
        <f aca="false">IF($A42="","",'Animal Register'!I42)</f>
        <v/>
      </c>
      <c r="E42" s="68" t="str">
        <f aca="false">IF($A42="","",'Animal Register'!S42)</f>
        <v/>
      </c>
      <c r="F42" s="52" t="str">
        <f aca="false">IF($A42="","",IF(SUMPRODUCT(MAX(('Weight Log'!$A$5:$A$154=$A42)*ROW('Weight Log'!$A$5:$A$154)))=0,"-",INDEX('Weight Log'!$B:$B,SUMPRODUCT(MAX(('Weight Log'!$A$5:$A$154=$A42)*ROW('Weight Log'!$A$5:$A$154))))))</f>
        <v/>
      </c>
      <c r="G42" s="47" t="str">
        <f aca="false">IF($A42="","",IF(SUMPRODUCT(MAX(('Weight Log'!$A$5:$A$154=$A42)*ROW('Weight Log'!$A$5:$A$154)))=0,"-",IFERROR(INDEX('Weight Log'!$E:$E,SUMPRODUCT(MAX(('Weight Log'!$A$5:$A$154=$A42)*ROW('Weight Log'!$A$5:$A$154)))),"-")))</f>
        <v/>
      </c>
      <c r="H42" s="45" t="str">
        <f aca="false">IF($A42="","",'Animal Register'!O42)</f>
        <v/>
      </c>
      <c r="I42" s="68" t="str">
        <f aca="false">IF($A42="","",'Animal Register'!T42)</f>
        <v/>
      </c>
      <c r="J42" s="47" t="str">
        <f aca="false">IF($A42="","",IF(OR(H42="",H42=0),"-",ROUND(I42*1000/H42,0)))</f>
        <v/>
      </c>
      <c r="K42" s="45" t="str">
        <f aca="false">IF($A42="","",'Animal Register'!M42)</f>
        <v/>
      </c>
      <c r="L42" s="47" t="str">
        <f aca="false">IF($A42="","",IF(ISNUMBER(J42),IF(J42&gt;=K42*0.9,"On Track","Behind Target"),"-"))</f>
        <v/>
      </c>
    </row>
    <row r="43" customFormat="false" ht="15" hidden="false" customHeight="false" outlineLevel="0" collapsed="false">
      <c r="A43" s="45" t="str">
        <f aca="false">IF('Animal Register'!A43="","",'Animal Register'!A43)</f>
        <v/>
      </c>
      <c r="B43" s="45" t="str">
        <f aca="false">IF($A43="","",'Animal Register'!B43)</f>
        <v/>
      </c>
      <c r="C43" s="45" t="str">
        <f aca="false">IF($A43="","",'Animal Register'!C43)</f>
        <v/>
      </c>
      <c r="D43" s="68" t="str">
        <f aca="false">IF($A43="","",'Animal Register'!I43)</f>
        <v/>
      </c>
      <c r="E43" s="68" t="str">
        <f aca="false">IF($A43="","",'Animal Register'!S43)</f>
        <v/>
      </c>
      <c r="F43" s="52" t="str">
        <f aca="false">IF($A43="","",IF(SUMPRODUCT(MAX(('Weight Log'!$A$5:$A$154=$A43)*ROW('Weight Log'!$A$5:$A$154)))=0,"-",INDEX('Weight Log'!$B:$B,SUMPRODUCT(MAX(('Weight Log'!$A$5:$A$154=$A43)*ROW('Weight Log'!$A$5:$A$154))))))</f>
        <v/>
      </c>
      <c r="G43" s="47" t="str">
        <f aca="false">IF($A43="","",IF(SUMPRODUCT(MAX(('Weight Log'!$A$5:$A$154=$A43)*ROW('Weight Log'!$A$5:$A$154)))=0,"-",IFERROR(INDEX('Weight Log'!$E:$E,SUMPRODUCT(MAX(('Weight Log'!$A$5:$A$154=$A43)*ROW('Weight Log'!$A$5:$A$154)))),"-")))</f>
        <v/>
      </c>
      <c r="H43" s="45" t="str">
        <f aca="false">IF($A43="","",'Animal Register'!O43)</f>
        <v/>
      </c>
      <c r="I43" s="68" t="str">
        <f aca="false">IF($A43="","",'Animal Register'!T43)</f>
        <v/>
      </c>
      <c r="J43" s="47" t="str">
        <f aca="false">IF($A43="","",IF(OR(H43="",H43=0),"-",ROUND(I43*1000/H43,0)))</f>
        <v/>
      </c>
      <c r="K43" s="45" t="str">
        <f aca="false">IF($A43="","",'Animal Register'!M43)</f>
        <v/>
      </c>
      <c r="L43" s="47" t="str">
        <f aca="false">IF($A43="","",IF(ISNUMBER(J43),IF(J43&gt;=K43*0.9,"On Track","Behind Target"),"-"))</f>
        <v/>
      </c>
    </row>
    <row r="44" customFormat="false" ht="15" hidden="false" customHeight="false" outlineLevel="0" collapsed="false">
      <c r="A44" s="45" t="str">
        <f aca="false">IF('Animal Register'!A44="","",'Animal Register'!A44)</f>
        <v/>
      </c>
      <c r="B44" s="45" t="str">
        <f aca="false">IF($A44="","",'Animal Register'!B44)</f>
        <v/>
      </c>
      <c r="C44" s="45" t="str">
        <f aca="false">IF($A44="","",'Animal Register'!C44)</f>
        <v/>
      </c>
      <c r="D44" s="68" t="str">
        <f aca="false">IF($A44="","",'Animal Register'!I44)</f>
        <v/>
      </c>
      <c r="E44" s="68" t="str">
        <f aca="false">IF($A44="","",'Animal Register'!S44)</f>
        <v/>
      </c>
      <c r="F44" s="52" t="str">
        <f aca="false">IF($A44="","",IF(SUMPRODUCT(MAX(('Weight Log'!$A$5:$A$154=$A44)*ROW('Weight Log'!$A$5:$A$154)))=0,"-",INDEX('Weight Log'!$B:$B,SUMPRODUCT(MAX(('Weight Log'!$A$5:$A$154=$A44)*ROW('Weight Log'!$A$5:$A$154))))))</f>
        <v/>
      </c>
      <c r="G44" s="47" t="str">
        <f aca="false">IF($A44="","",IF(SUMPRODUCT(MAX(('Weight Log'!$A$5:$A$154=$A44)*ROW('Weight Log'!$A$5:$A$154)))=0,"-",IFERROR(INDEX('Weight Log'!$E:$E,SUMPRODUCT(MAX(('Weight Log'!$A$5:$A$154=$A44)*ROW('Weight Log'!$A$5:$A$154)))),"-")))</f>
        <v/>
      </c>
      <c r="H44" s="45" t="str">
        <f aca="false">IF($A44="","",'Animal Register'!O44)</f>
        <v/>
      </c>
      <c r="I44" s="68" t="str">
        <f aca="false">IF($A44="","",'Animal Register'!T44)</f>
        <v/>
      </c>
      <c r="J44" s="47" t="str">
        <f aca="false">IF($A44="","",IF(OR(H44="",H44=0),"-",ROUND(I44*1000/H44,0)))</f>
        <v/>
      </c>
      <c r="K44" s="45" t="str">
        <f aca="false">IF($A44="","",'Animal Register'!M44)</f>
        <v/>
      </c>
      <c r="L44" s="47" t="str">
        <f aca="false">IF($A44="","",IF(ISNUMBER(J44),IF(J44&gt;=K44*0.9,"On Track","Behind Target"),"-"))</f>
        <v/>
      </c>
    </row>
    <row r="45" customFormat="false" ht="15" hidden="false" customHeight="false" outlineLevel="0" collapsed="false">
      <c r="A45" s="45" t="str">
        <f aca="false">IF('Animal Register'!A45="","",'Animal Register'!A45)</f>
        <v/>
      </c>
      <c r="B45" s="45" t="str">
        <f aca="false">IF($A45="","",'Animal Register'!B45)</f>
        <v/>
      </c>
      <c r="C45" s="45" t="str">
        <f aca="false">IF($A45="","",'Animal Register'!C45)</f>
        <v/>
      </c>
      <c r="D45" s="68" t="str">
        <f aca="false">IF($A45="","",'Animal Register'!I45)</f>
        <v/>
      </c>
      <c r="E45" s="68" t="str">
        <f aca="false">IF($A45="","",'Animal Register'!S45)</f>
        <v/>
      </c>
      <c r="F45" s="52" t="str">
        <f aca="false">IF($A45="","",IF(SUMPRODUCT(MAX(('Weight Log'!$A$5:$A$154=$A45)*ROW('Weight Log'!$A$5:$A$154)))=0,"-",INDEX('Weight Log'!$B:$B,SUMPRODUCT(MAX(('Weight Log'!$A$5:$A$154=$A45)*ROW('Weight Log'!$A$5:$A$154))))))</f>
        <v/>
      </c>
      <c r="G45" s="47" t="str">
        <f aca="false">IF($A45="","",IF(SUMPRODUCT(MAX(('Weight Log'!$A$5:$A$154=$A45)*ROW('Weight Log'!$A$5:$A$154)))=0,"-",IFERROR(INDEX('Weight Log'!$E:$E,SUMPRODUCT(MAX(('Weight Log'!$A$5:$A$154=$A45)*ROW('Weight Log'!$A$5:$A$154)))),"-")))</f>
        <v/>
      </c>
      <c r="H45" s="45" t="str">
        <f aca="false">IF($A45="","",'Animal Register'!O45)</f>
        <v/>
      </c>
      <c r="I45" s="68" t="str">
        <f aca="false">IF($A45="","",'Animal Register'!T45)</f>
        <v/>
      </c>
      <c r="J45" s="47" t="str">
        <f aca="false">IF($A45="","",IF(OR(H45="",H45=0),"-",ROUND(I45*1000/H45,0)))</f>
        <v/>
      </c>
      <c r="K45" s="45" t="str">
        <f aca="false">IF($A45="","",'Animal Register'!M45)</f>
        <v/>
      </c>
      <c r="L45" s="47" t="str">
        <f aca="false">IF($A45="","",IF(ISNUMBER(J45),IF(J45&gt;=K45*0.9,"On Track","Behind Target"),"-"))</f>
        <v/>
      </c>
    </row>
    <row r="46" customFormat="false" ht="15" hidden="false" customHeight="false" outlineLevel="0" collapsed="false">
      <c r="A46" s="45" t="str">
        <f aca="false">IF('Animal Register'!A46="","",'Animal Register'!A46)</f>
        <v/>
      </c>
      <c r="B46" s="45" t="str">
        <f aca="false">IF($A46="","",'Animal Register'!B46)</f>
        <v/>
      </c>
      <c r="C46" s="45" t="str">
        <f aca="false">IF($A46="","",'Animal Register'!C46)</f>
        <v/>
      </c>
      <c r="D46" s="68" t="str">
        <f aca="false">IF($A46="","",'Animal Register'!I46)</f>
        <v/>
      </c>
      <c r="E46" s="68" t="str">
        <f aca="false">IF($A46="","",'Animal Register'!S46)</f>
        <v/>
      </c>
      <c r="F46" s="52" t="str">
        <f aca="false">IF($A46="","",IF(SUMPRODUCT(MAX(('Weight Log'!$A$5:$A$154=$A46)*ROW('Weight Log'!$A$5:$A$154)))=0,"-",INDEX('Weight Log'!$B:$B,SUMPRODUCT(MAX(('Weight Log'!$A$5:$A$154=$A46)*ROW('Weight Log'!$A$5:$A$154))))))</f>
        <v/>
      </c>
      <c r="G46" s="47" t="str">
        <f aca="false">IF($A46="","",IF(SUMPRODUCT(MAX(('Weight Log'!$A$5:$A$154=$A46)*ROW('Weight Log'!$A$5:$A$154)))=0,"-",IFERROR(INDEX('Weight Log'!$E:$E,SUMPRODUCT(MAX(('Weight Log'!$A$5:$A$154=$A46)*ROW('Weight Log'!$A$5:$A$154)))),"-")))</f>
        <v/>
      </c>
      <c r="H46" s="45" t="str">
        <f aca="false">IF($A46="","",'Animal Register'!O46)</f>
        <v/>
      </c>
      <c r="I46" s="68" t="str">
        <f aca="false">IF($A46="","",'Animal Register'!T46)</f>
        <v/>
      </c>
      <c r="J46" s="47" t="str">
        <f aca="false">IF($A46="","",IF(OR(H46="",H46=0),"-",ROUND(I46*1000/H46,0)))</f>
        <v/>
      </c>
      <c r="K46" s="45" t="str">
        <f aca="false">IF($A46="","",'Animal Register'!M46)</f>
        <v/>
      </c>
      <c r="L46" s="47" t="str">
        <f aca="false">IF($A46="","",IF(ISNUMBER(J46),IF(J46&gt;=K46*0.9,"On Track","Behind Target"),"-"))</f>
        <v/>
      </c>
    </row>
    <row r="47" customFormat="false" ht="15" hidden="false" customHeight="false" outlineLevel="0" collapsed="false">
      <c r="A47" s="45" t="str">
        <f aca="false">IF('Animal Register'!A47="","",'Animal Register'!A47)</f>
        <v/>
      </c>
      <c r="B47" s="45" t="str">
        <f aca="false">IF($A47="","",'Animal Register'!B47)</f>
        <v/>
      </c>
      <c r="C47" s="45" t="str">
        <f aca="false">IF($A47="","",'Animal Register'!C47)</f>
        <v/>
      </c>
      <c r="D47" s="68" t="str">
        <f aca="false">IF($A47="","",'Animal Register'!I47)</f>
        <v/>
      </c>
      <c r="E47" s="68" t="str">
        <f aca="false">IF($A47="","",'Animal Register'!S47)</f>
        <v/>
      </c>
      <c r="F47" s="52" t="str">
        <f aca="false">IF($A47="","",IF(SUMPRODUCT(MAX(('Weight Log'!$A$5:$A$154=$A47)*ROW('Weight Log'!$A$5:$A$154)))=0,"-",INDEX('Weight Log'!$B:$B,SUMPRODUCT(MAX(('Weight Log'!$A$5:$A$154=$A47)*ROW('Weight Log'!$A$5:$A$154))))))</f>
        <v/>
      </c>
      <c r="G47" s="47" t="str">
        <f aca="false">IF($A47="","",IF(SUMPRODUCT(MAX(('Weight Log'!$A$5:$A$154=$A47)*ROW('Weight Log'!$A$5:$A$154)))=0,"-",IFERROR(INDEX('Weight Log'!$E:$E,SUMPRODUCT(MAX(('Weight Log'!$A$5:$A$154=$A47)*ROW('Weight Log'!$A$5:$A$154)))),"-")))</f>
        <v/>
      </c>
      <c r="H47" s="45" t="str">
        <f aca="false">IF($A47="","",'Animal Register'!O47)</f>
        <v/>
      </c>
      <c r="I47" s="68" t="str">
        <f aca="false">IF($A47="","",'Animal Register'!T47)</f>
        <v/>
      </c>
      <c r="J47" s="47" t="str">
        <f aca="false">IF($A47="","",IF(OR(H47="",H47=0),"-",ROUND(I47*1000/H47,0)))</f>
        <v/>
      </c>
      <c r="K47" s="45" t="str">
        <f aca="false">IF($A47="","",'Animal Register'!M47)</f>
        <v/>
      </c>
      <c r="L47" s="47" t="str">
        <f aca="false">IF($A47="","",IF(ISNUMBER(J47),IF(J47&gt;=K47*0.9,"On Track","Behind Target"),"-"))</f>
        <v/>
      </c>
    </row>
    <row r="48" customFormat="false" ht="15" hidden="false" customHeight="false" outlineLevel="0" collapsed="false">
      <c r="A48" s="45" t="str">
        <f aca="false">IF('Animal Register'!A48="","",'Animal Register'!A48)</f>
        <v/>
      </c>
      <c r="B48" s="45" t="str">
        <f aca="false">IF($A48="","",'Animal Register'!B48)</f>
        <v/>
      </c>
      <c r="C48" s="45" t="str">
        <f aca="false">IF($A48="","",'Animal Register'!C48)</f>
        <v/>
      </c>
      <c r="D48" s="68" t="str">
        <f aca="false">IF($A48="","",'Animal Register'!I48)</f>
        <v/>
      </c>
      <c r="E48" s="68" t="str">
        <f aca="false">IF($A48="","",'Animal Register'!S48)</f>
        <v/>
      </c>
      <c r="F48" s="52" t="str">
        <f aca="false">IF($A48="","",IF(SUMPRODUCT(MAX(('Weight Log'!$A$5:$A$154=$A48)*ROW('Weight Log'!$A$5:$A$154)))=0,"-",INDEX('Weight Log'!$B:$B,SUMPRODUCT(MAX(('Weight Log'!$A$5:$A$154=$A48)*ROW('Weight Log'!$A$5:$A$154))))))</f>
        <v/>
      </c>
      <c r="G48" s="47" t="str">
        <f aca="false">IF($A48="","",IF(SUMPRODUCT(MAX(('Weight Log'!$A$5:$A$154=$A48)*ROW('Weight Log'!$A$5:$A$154)))=0,"-",IFERROR(INDEX('Weight Log'!$E:$E,SUMPRODUCT(MAX(('Weight Log'!$A$5:$A$154=$A48)*ROW('Weight Log'!$A$5:$A$154)))),"-")))</f>
        <v/>
      </c>
      <c r="H48" s="45" t="str">
        <f aca="false">IF($A48="","",'Animal Register'!O48)</f>
        <v/>
      </c>
      <c r="I48" s="68" t="str">
        <f aca="false">IF($A48="","",'Animal Register'!T48)</f>
        <v/>
      </c>
      <c r="J48" s="47" t="str">
        <f aca="false">IF($A48="","",IF(OR(H48="",H48=0),"-",ROUND(I48*1000/H48,0)))</f>
        <v/>
      </c>
      <c r="K48" s="45" t="str">
        <f aca="false">IF($A48="","",'Animal Register'!M48)</f>
        <v/>
      </c>
      <c r="L48" s="47" t="str">
        <f aca="false">IF($A48="","",IF(ISNUMBER(J48),IF(J48&gt;=K48*0.9,"On Track","Behind Target"),"-"))</f>
        <v/>
      </c>
    </row>
    <row r="49" customFormat="false" ht="15" hidden="false" customHeight="false" outlineLevel="0" collapsed="false">
      <c r="A49" s="45" t="str">
        <f aca="false">IF('Animal Register'!A49="","",'Animal Register'!A49)</f>
        <v/>
      </c>
      <c r="B49" s="45" t="str">
        <f aca="false">IF($A49="","",'Animal Register'!B49)</f>
        <v/>
      </c>
      <c r="C49" s="45" t="str">
        <f aca="false">IF($A49="","",'Animal Register'!C49)</f>
        <v/>
      </c>
      <c r="D49" s="68" t="str">
        <f aca="false">IF($A49="","",'Animal Register'!I49)</f>
        <v/>
      </c>
      <c r="E49" s="68" t="str">
        <f aca="false">IF($A49="","",'Animal Register'!S49)</f>
        <v/>
      </c>
      <c r="F49" s="52" t="str">
        <f aca="false">IF($A49="","",IF(SUMPRODUCT(MAX(('Weight Log'!$A$5:$A$154=$A49)*ROW('Weight Log'!$A$5:$A$154)))=0,"-",INDEX('Weight Log'!$B:$B,SUMPRODUCT(MAX(('Weight Log'!$A$5:$A$154=$A49)*ROW('Weight Log'!$A$5:$A$154))))))</f>
        <v/>
      </c>
      <c r="G49" s="47" t="str">
        <f aca="false">IF($A49="","",IF(SUMPRODUCT(MAX(('Weight Log'!$A$5:$A$154=$A49)*ROW('Weight Log'!$A$5:$A$154)))=0,"-",IFERROR(INDEX('Weight Log'!$E:$E,SUMPRODUCT(MAX(('Weight Log'!$A$5:$A$154=$A49)*ROW('Weight Log'!$A$5:$A$154)))),"-")))</f>
        <v/>
      </c>
      <c r="H49" s="45" t="str">
        <f aca="false">IF($A49="","",'Animal Register'!O49)</f>
        <v/>
      </c>
      <c r="I49" s="68" t="str">
        <f aca="false">IF($A49="","",'Animal Register'!T49)</f>
        <v/>
      </c>
      <c r="J49" s="47" t="str">
        <f aca="false">IF($A49="","",IF(OR(H49="",H49=0),"-",ROUND(I49*1000/H49,0)))</f>
        <v/>
      </c>
      <c r="K49" s="45" t="str">
        <f aca="false">IF($A49="","",'Animal Register'!M49)</f>
        <v/>
      </c>
      <c r="L49" s="47" t="str">
        <f aca="false">IF($A49="","",IF(ISNUMBER(J49),IF(J49&gt;=K49*0.9,"On Track","Behind Target"),"-"))</f>
        <v/>
      </c>
    </row>
    <row r="50" customFormat="false" ht="15" hidden="false" customHeight="false" outlineLevel="0" collapsed="false">
      <c r="A50" s="45" t="str">
        <f aca="false">IF('Animal Register'!A50="","",'Animal Register'!A50)</f>
        <v/>
      </c>
      <c r="B50" s="45" t="str">
        <f aca="false">IF($A50="","",'Animal Register'!B50)</f>
        <v/>
      </c>
      <c r="C50" s="45" t="str">
        <f aca="false">IF($A50="","",'Animal Register'!C50)</f>
        <v/>
      </c>
      <c r="D50" s="68" t="str">
        <f aca="false">IF($A50="","",'Animal Register'!I50)</f>
        <v/>
      </c>
      <c r="E50" s="68" t="str">
        <f aca="false">IF($A50="","",'Animal Register'!S50)</f>
        <v/>
      </c>
      <c r="F50" s="52" t="str">
        <f aca="false">IF($A50="","",IF(SUMPRODUCT(MAX(('Weight Log'!$A$5:$A$154=$A50)*ROW('Weight Log'!$A$5:$A$154)))=0,"-",INDEX('Weight Log'!$B:$B,SUMPRODUCT(MAX(('Weight Log'!$A$5:$A$154=$A50)*ROW('Weight Log'!$A$5:$A$154))))))</f>
        <v/>
      </c>
      <c r="G50" s="47" t="str">
        <f aca="false">IF($A50="","",IF(SUMPRODUCT(MAX(('Weight Log'!$A$5:$A$154=$A50)*ROW('Weight Log'!$A$5:$A$154)))=0,"-",IFERROR(INDEX('Weight Log'!$E:$E,SUMPRODUCT(MAX(('Weight Log'!$A$5:$A$154=$A50)*ROW('Weight Log'!$A$5:$A$154)))),"-")))</f>
        <v/>
      </c>
      <c r="H50" s="45" t="str">
        <f aca="false">IF($A50="","",'Animal Register'!O50)</f>
        <v/>
      </c>
      <c r="I50" s="68" t="str">
        <f aca="false">IF($A50="","",'Animal Register'!T50)</f>
        <v/>
      </c>
      <c r="J50" s="47" t="str">
        <f aca="false">IF($A50="","",IF(OR(H50="",H50=0),"-",ROUND(I50*1000/H50,0)))</f>
        <v/>
      </c>
      <c r="K50" s="45" t="str">
        <f aca="false">IF($A50="","",'Animal Register'!M50)</f>
        <v/>
      </c>
      <c r="L50" s="47" t="str">
        <f aca="false">IF($A50="","",IF(ISNUMBER(J50),IF(J50&gt;=K50*0.9,"On Track","Behind Target"),"-"))</f>
        <v/>
      </c>
    </row>
    <row r="51" customFormat="false" ht="15" hidden="false" customHeight="false" outlineLevel="0" collapsed="false">
      <c r="A51" s="45" t="str">
        <f aca="false">IF('Animal Register'!A51="","",'Animal Register'!A51)</f>
        <v/>
      </c>
      <c r="B51" s="45" t="str">
        <f aca="false">IF($A51="","",'Animal Register'!B51)</f>
        <v/>
      </c>
      <c r="C51" s="45" t="str">
        <f aca="false">IF($A51="","",'Animal Register'!C51)</f>
        <v/>
      </c>
      <c r="D51" s="68" t="str">
        <f aca="false">IF($A51="","",'Animal Register'!I51)</f>
        <v/>
      </c>
      <c r="E51" s="68" t="str">
        <f aca="false">IF($A51="","",'Animal Register'!S51)</f>
        <v/>
      </c>
      <c r="F51" s="52" t="str">
        <f aca="false">IF($A51="","",IF(SUMPRODUCT(MAX(('Weight Log'!$A$5:$A$154=$A51)*ROW('Weight Log'!$A$5:$A$154)))=0,"-",INDEX('Weight Log'!$B:$B,SUMPRODUCT(MAX(('Weight Log'!$A$5:$A$154=$A51)*ROW('Weight Log'!$A$5:$A$154))))))</f>
        <v/>
      </c>
      <c r="G51" s="47" t="str">
        <f aca="false">IF($A51="","",IF(SUMPRODUCT(MAX(('Weight Log'!$A$5:$A$154=$A51)*ROW('Weight Log'!$A$5:$A$154)))=0,"-",IFERROR(INDEX('Weight Log'!$E:$E,SUMPRODUCT(MAX(('Weight Log'!$A$5:$A$154=$A51)*ROW('Weight Log'!$A$5:$A$154)))),"-")))</f>
        <v/>
      </c>
      <c r="H51" s="45" t="str">
        <f aca="false">IF($A51="","",'Animal Register'!O51)</f>
        <v/>
      </c>
      <c r="I51" s="68" t="str">
        <f aca="false">IF($A51="","",'Animal Register'!T51)</f>
        <v/>
      </c>
      <c r="J51" s="47" t="str">
        <f aca="false">IF($A51="","",IF(OR(H51="",H51=0),"-",ROUND(I51*1000/H51,0)))</f>
        <v/>
      </c>
      <c r="K51" s="45" t="str">
        <f aca="false">IF($A51="","",'Animal Register'!M51)</f>
        <v/>
      </c>
      <c r="L51" s="47" t="str">
        <f aca="false">IF($A51="","",IF(ISNUMBER(J51),IF(J51&gt;=K51*0.9,"On Track","Behind Target"),"-"))</f>
        <v/>
      </c>
    </row>
    <row r="52" customFormat="false" ht="15" hidden="false" customHeight="false" outlineLevel="0" collapsed="false">
      <c r="A52" s="45" t="str">
        <f aca="false">IF('Animal Register'!A52="","",'Animal Register'!A52)</f>
        <v/>
      </c>
      <c r="B52" s="45" t="str">
        <f aca="false">IF($A52="","",'Animal Register'!B52)</f>
        <v/>
      </c>
      <c r="C52" s="45" t="str">
        <f aca="false">IF($A52="","",'Animal Register'!C52)</f>
        <v/>
      </c>
      <c r="D52" s="68" t="str">
        <f aca="false">IF($A52="","",'Animal Register'!I52)</f>
        <v/>
      </c>
      <c r="E52" s="68" t="str">
        <f aca="false">IF($A52="","",'Animal Register'!S52)</f>
        <v/>
      </c>
      <c r="F52" s="52" t="str">
        <f aca="false">IF($A52="","",IF(SUMPRODUCT(MAX(('Weight Log'!$A$5:$A$154=$A52)*ROW('Weight Log'!$A$5:$A$154)))=0,"-",INDEX('Weight Log'!$B:$B,SUMPRODUCT(MAX(('Weight Log'!$A$5:$A$154=$A52)*ROW('Weight Log'!$A$5:$A$154))))))</f>
        <v/>
      </c>
      <c r="G52" s="47" t="str">
        <f aca="false">IF($A52="","",IF(SUMPRODUCT(MAX(('Weight Log'!$A$5:$A$154=$A52)*ROW('Weight Log'!$A$5:$A$154)))=0,"-",IFERROR(INDEX('Weight Log'!$E:$E,SUMPRODUCT(MAX(('Weight Log'!$A$5:$A$154=$A52)*ROW('Weight Log'!$A$5:$A$154)))),"-")))</f>
        <v/>
      </c>
      <c r="H52" s="45" t="str">
        <f aca="false">IF($A52="","",'Animal Register'!O52)</f>
        <v/>
      </c>
      <c r="I52" s="68" t="str">
        <f aca="false">IF($A52="","",'Animal Register'!T52)</f>
        <v/>
      </c>
      <c r="J52" s="47" t="str">
        <f aca="false">IF($A52="","",IF(OR(H52="",H52=0),"-",ROUND(I52*1000/H52,0)))</f>
        <v/>
      </c>
      <c r="K52" s="45" t="str">
        <f aca="false">IF($A52="","",'Animal Register'!M52)</f>
        <v/>
      </c>
      <c r="L52" s="47" t="str">
        <f aca="false">IF($A52="","",IF(ISNUMBER(J52),IF(J52&gt;=K52*0.9,"On Track","Behind Target"),"-"))</f>
        <v/>
      </c>
    </row>
    <row r="53" customFormat="false" ht="15" hidden="false" customHeight="false" outlineLevel="0" collapsed="false">
      <c r="A53" s="45" t="str">
        <f aca="false">IF('Animal Register'!A53="","",'Animal Register'!A53)</f>
        <v/>
      </c>
      <c r="B53" s="45" t="str">
        <f aca="false">IF($A53="","",'Animal Register'!B53)</f>
        <v/>
      </c>
      <c r="C53" s="45" t="str">
        <f aca="false">IF($A53="","",'Animal Register'!C53)</f>
        <v/>
      </c>
      <c r="D53" s="68" t="str">
        <f aca="false">IF($A53="","",'Animal Register'!I53)</f>
        <v/>
      </c>
      <c r="E53" s="68" t="str">
        <f aca="false">IF($A53="","",'Animal Register'!S53)</f>
        <v/>
      </c>
      <c r="F53" s="52" t="str">
        <f aca="false">IF($A53="","",IF(SUMPRODUCT(MAX(('Weight Log'!$A$5:$A$154=$A53)*ROW('Weight Log'!$A$5:$A$154)))=0,"-",INDEX('Weight Log'!$B:$B,SUMPRODUCT(MAX(('Weight Log'!$A$5:$A$154=$A53)*ROW('Weight Log'!$A$5:$A$154))))))</f>
        <v/>
      </c>
      <c r="G53" s="47" t="str">
        <f aca="false">IF($A53="","",IF(SUMPRODUCT(MAX(('Weight Log'!$A$5:$A$154=$A53)*ROW('Weight Log'!$A$5:$A$154)))=0,"-",IFERROR(INDEX('Weight Log'!$E:$E,SUMPRODUCT(MAX(('Weight Log'!$A$5:$A$154=$A53)*ROW('Weight Log'!$A$5:$A$154)))),"-")))</f>
        <v/>
      </c>
      <c r="H53" s="45" t="str">
        <f aca="false">IF($A53="","",'Animal Register'!O53)</f>
        <v/>
      </c>
      <c r="I53" s="68" t="str">
        <f aca="false">IF($A53="","",'Animal Register'!T53)</f>
        <v/>
      </c>
      <c r="J53" s="47" t="str">
        <f aca="false">IF($A53="","",IF(OR(H53="",H53=0),"-",ROUND(I53*1000/H53,0)))</f>
        <v/>
      </c>
      <c r="K53" s="45" t="str">
        <f aca="false">IF($A53="","",'Animal Register'!M53)</f>
        <v/>
      </c>
      <c r="L53" s="47" t="str">
        <f aca="false">IF($A53="","",IF(ISNUMBER(J53),IF(J53&gt;=K53*0.9,"On Track","Behind Target"),"-"))</f>
        <v/>
      </c>
    </row>
    <row r="54" customFormat="false" ht="15" hidden="false" customHeight="false" outlineLevel="0" collapsed="false">
      <c r="A54" s="45" t="str">
        <f aca="false">IF('Animal Register'!A54="","",'Animal Register'!A54)</f>
        <v/>
      </c>
      <c r="B54" s="45" t="str">
        <f aca="false">IF($A54="","",'Animal Register'!B54)</f>
        <v/>
      </c>
      <c r="C54" s="45" t="str">
        <f aca="false">IF($A54="","",'Animal Register'!C54)</f>
        <v/>
      </c>
      <c r="D54" s="68" t="str">
        <f aca="false">IF($A54="","",'Animal Register'!I54)</f>
        <v/>
      </c>
      <c r="E54" s="68" t="str">
        <f aca="false">IF($A54="","",'Animal Register'!S54)</f>
        <v/>
      </c>
      <c r="F54" s="52" t="str">
        <f aca="false">IF($A54="","",IF(SUMPRODUCT(MAX(('Weight Log'!$A$5:$A$154=$A54)*ROW('Weight Log'!$A$5:$A$154)))=0,"-",INDEX('Weight Log'!$B:$B,SUMPRODUCT(MAX(('Weight Log'!$A$5:$A$154=$A54)*ROW('Weight Log'!$A$5:$A$154))))))</f>
        <v/>
      </c>
      <c r="G54" s="47" t="str">
        <f aca="false">IF($A54="","",IF(SUMPRODUCT(MAX(('Weight Log'!$A$5:$A$154=$A54)*ROW('Weight Log'!$A$5:$A$154)))=0,"-",IFERROR(INDEX('Weight Log'!$E:$E,SUMPRODUCT(MAX(('Weight Log'!$A$5:$A$154=$A54)*ROW('Weight Log'!$A$5:$A$154)))),"-")))</f>
        <v/>
      </c>
      <c r="H54" s="45" t="str">
        <f aca="false">IF($A54="","",'Animal Register'!O54)</f>
        <v/>
      </c>
      <c r="I54" s="68" t="str">
        <f aca="false">IF($A54="","",'Animal Register'!T54)</f>
        <v/>
      </c>
      <c r="J54" s="47" t="str">
        <f aca="false">IF($A54="","",IF(OR(H54="",H54=0),"-",ROUND(I54*1000/H54,0)))</f>
        <v/>
      </c>
      <c r="K54" s="45" t="str">
        <f aca="false">IF($A54="","",'Animal Register'!M54)</f>
        <v/>
      </c>
      <c r="L54" s="47" t="str">
        <f aca="false">IF($A54="","",IF(ISNUMBER(J54),IF(J54&gt;=K54*0.9,"On Track","Behind Target"),"-"))</f>
        <v/>
      </c>
    </row>
    <row r="55" customFormat="false" ht="15" hidden="false" customHeight="false" outlineLevel="0" collapsed="false">
      <c r="A55" s="45" t="str">
        <f aca="false">IF('Animal Register'!A55="","",'Animal Register'!A55)</f>
        <v/>
      </c>
      <c r="B55" s="45" t="str">
        <f aca="false">IF($A55="","",'Animal Register'!B55)</f>
        <v/>
      </c>
      <c r="C55" s="45" t="str">
        <f aca="false">IF($A55="","",'Animal Register'!C55)</f>
        <v/>
      </c>
      <c r="D55" s="68" t="str">
        <f aca="false">IF($A55="","",'Animal Register'!I55)</f>
        <v/>
      </c>
      <c r="E55" s="68" t="str">
        <f aca="false">IF($A55="","",'Animal Register'!S55)</f>
        <v/>
      </c>
      <c r="F55" s="52" t="str">
        <f aca="false">IF($A55="","",IF(SUMPRODUCT(MAX(('Weight Log'!$A$5:$A$154=$A55)*ROW('Weight Log'!$A$5:$A$154)))=0,"-",INDEX('Weight Log'!$B:$B,SUMPRODUCT(MAX(('Weight Log'!$A$5:$A$154=$A55)*ROW('Weight Log'!$A$5:$A$154))))))</f>
        <v/>
      </c>
      <c r="G55" s="47" t="str">
        <f aca="false">IF($A55="","",IF(SUMPRODUCT(MAX(('Weight Log'!$A$5:$A$154=$A55)*ROW('Weight Log'!$A$5:$A$154)))=0,"-",IFERROR(INDEX('Weight Log'!$E:$E,SUMPRODUCT(MAX(('Weight Log'!$A$5:$A$154=$A55)*ROW('Weight Log'!$A$5:$A$154)))),"-")))</f>
        <v/>
      </c>
      <c r="H55" s="45" t="str">
        <f aca="false">IF($A55="","",'Animal Register'!O55)</f>
        <v/>
      </c>
      <c r="I55" s="68" t="str">
        <f aca="false">IF($A55="","",'Animal Register'!T55)</f>
        <v/>
      </c>
      <c r="J55" s="47" t="str">
        <f aca="false">IF($A55="","",IF(OR(H55="",H55=0),"-",ROUND(I55*1000/H55,0)))</f>
        <v/>
      </c>
      <c r="K55" s="45" t="str">
        <f aca="false">IF($A55="","",'Animal Register'!M55)</f>
        <v/>
      </c>
      <c r="L55" s="47" t="str">
        <f aca="false">IF($A55="","",IF(ISNUMBER(J55),IF(J55&gt;=K55*0.9,"On Track","Behind Target"),"-"))</f>
        <v/>
      </c>
    </row>
    <row r="56" customFormat="false" ht="15" hidden="false" customHeight="false" outlineLevel="0" collapsed="false">
      <c r="A56" s="45" t="str">
        <f aca="false">IF('Animal Register'!A56="","",'Animal Register'!A56)</f>
        <v/>
      </c>
      <c r="B56" s="45" t="str">
        <f aca="false">IF($A56="","",'Animal Register'!B56)</f>
        <v/>
      </c>
      <c r="C56" s="45" t="str">
        <f aca="false">IF($A56="","",'Animal Register'!C56)</f>
        <v/>
      </c>
      <c r="D56" s="68" t="str">
        <f aca="false">IF($A56="","",'Animal Register'!I56)</f>
        <v/>
      </c>
      <c r="E56" s="68" t="str">
        <f aca="false">IF($A56="","",'Animal Register'!S56)</f>
        <v/>
      </c>
      <c r="F56" s="52" t="str">
        <f aca="false">IF($A56="","",IF(SUMPRODUCT(MAX(('Weight Log'!$A$5:$A$154=$A56)*ROW('Weight Log'!$A$5:$A$154)))=0,"-",INDEX('Weight Log'!$B:$B,SUMPRODUCT(MAX(('Weight Log'!$A$5:$A$154=$A56)*ROW('Weight Log'!$A$5:$A$154))))))</f>
        <v/>
      </c>
      <c r="G56" s="47" t="str">
        <f aca="false">IF($A56="","",IF(SUMPRODUCT(MAX(('Weight Log'!$A$5:$A$154=$A56)*ROW('Weight Log'!$A$5:$A$154)))=0,"-",IFERROR(INDEX('Weight Log'!$E:$E,SUMPRODUCT(MAX(('Weight Log'!$A$5:$A$154=$A56)*ROW('Weight Log'!$A$5:$A$154)))),"-")))</f>
        <v/>
      </c>
      <c r="H56" s="45" t="str">
        <f aca="false">IF($A56="","",'Animal Register'!O56)</f>
        <v/>
      </c>
      <c r="I56" s="68" t="str">
        <f aca="false">IF($A56="","",'Animal Register'!T56)</f>
        <v/>
      </c>
      <c r="J56" s="47" t="str">
        <f aca="false">IF($A56="","",IF(OR(H56="",H56=0),"-",ROUND(I56*1000/H56,0)))</f>
        <v/>
      </c>
      <c r="K56" s="45" t="str">
        <f aca="false">IF($A56="","",'Animal Register'!M56)</f>
        <v/>
      </c>
      <c r="L56" s="47" t="str">
        <f aca="false">IF($A56="","",IF(ISNUMBER(J56),IF(J56&gt;=K56*0.9,"On Track","Behind Target"),"-"))</f>
        <v/>
      </c>
    </row>
    <row r="57" customFormat="false" ht="15" hidden="false" customHeight="false" outlineLevel="0" collapsed="false">
      <c r="A57" s="45" t="str">
        <f aca="false">IF('Animal Register'!A57="","",'Animal Register'!A57)</f>
        <v/>
      </c>
      <c r="B57" s="45" t="str">
        <f aca="false">IF($A57="","",'Animal Register'!B57)</f>
        <v/>
      </c>
      <c r="C57" s="45" t="str">
        <f aca="false">IF($A57="","",'Animal Register'!C57)</f>
        <v/>
      </c>
      <c r="D57" s="68" t="str">
        <f aca="false">IF($A57="","",'Animal Register'!I57)</f>
        <v/>
      </c>
      <c r="E57" s="68" t="str">
        <f aca="false">IF($A57="","",'Animal Register'!S57)</f>
        <v/>
      </c>
      <c r="F57" s="52" t="str">
        <f aca="false">IF($A57="","",IF(SUMPRODUCT(MAX(('Weight Log'!$A$5:$A$154=$A57)*ROW('Weight Log'!$A$5:$A$154)))=0,"-",INDEX('Weight Log'!$B:$B,SUMPRODUCT(MAX(('Weight Log'!$A$5:$A$154=$A57)*ROW('Weight Log'!$A$5:$A$154))))))</f>
        <v/>
      </c>
      <c r="G57" s="47" t="str">
        <f aca="false">IF($A57="","",IF(SUMPRODUCT(MAX(('Weight Log'!$A$5:$A$154=$A57)*ROW('Weight Log'!$A$5:$A$154)))=0,"-",IFERROR(INDEX('Weight Log'!$E:$E,SUMPRODUCT(MAX(('Weight Log'!$A$5:$A$154=$A57)*ROW('Weight Log'!$A$5:$A$154)))),"-")))</f>
        <v/>
      </c>
      <c r="H57" s="45" t="str">
        <f aca="false">IF($A57="","",'Animal Register'!O57)</f>
        <v/>
      </c>
      <c r="I57" s="68" t="str">
        <f aca="false">IF($A57="","",'Animal Register'!T57)</f>
        <v/>
      </c>
      <c r="J57" s="47" t="str">
        <f aca="false">IF($A57="","",IF(OR(H57="",H57=0),"-",ROUND(I57*1000/H57,0)))</f>
        <v/>
      </c>
      <c r="K57" s="45" t="str">
        <f aca="false">IF($A57="","",'Animal Register'!M57)</f>
        <v/>
      </c>
      <c r="L57" s="47" t="str">
        <f aca="false">IF($A57="","",IF(ISNUMBER(J57),IF(J57&gt;=K57*0.9,"On Track","Behind Target"),"-"))</f>
        <v/>
      </c>
    </row>
    <row r="58" customFormat="false" ht="15" hidden="false" customHeight="false" outlineLevel="0" collapsed="false">
      <c r="A58" s="45" t="str">
        <f aca="false">IF('Animal Register'!A58="","",'Animal Register'!A58)</f>
        <v/>
      </c>
      <c r="B58" s="45" t="str">
        <f aca="false">IF($A58="","",'Animal Register'!B58)</f>
        <v/>
      </c>
      <c r="C58" s="45" t="str">
        <f aca="false">IF($A58="","",'Animal Register'!C58)</f>
        <v/>
      </c>
      <c r="D58" s="68" t="str">
        <f aca="false">IF($A58="","",'Animal Register'!I58)</f>
        <v/>
      </c>
      <c r="E58" s="68" t="str">
        <f aca="false">IF($A58="","",'Animal Register'!S58)</f>
        <v/>
      </c>
      <c r="F58" s="52" t="str">
        <f aca="false">IF($A58="","",IF(SUMPRODUCT(MAX(('Weight Log'!$A$5:$A$154=$A58)*ROW('Weight Log'!$A$5:$A$154)))=0,"-",INDEX('Weight Log'!$B:$B,SUMPRODUCT(MAX(('Weight Log'!$A$5:$A$154=$A58)*ROW('Weight Log'!$A$5:$A$154))))))</f>
        <v/>
      </c>
      <c r="G58" s="47" t="str">
        <f aca="false">IF($A58="","",IF(SUMPRODUCT(MAX(('Weight Log'!$A$5:$A$154=$A58)*ROW('Weight Log'!$A$5:$A$154)))=0,"-",IFERROR(INDEX('Weight Log'!$E:$E,SUMPRODUCT(MAX(('Weight Log'!$A$5:$A$154=$A58)*ROW('Weight Log'!$A$5:$A$154)))),"-")))</f>
        <v/>
      </c>
      <c r="H58" s="45" t="str">
        <f aca="false">IF($A58="","",'Animal Register'!O58)</f>
        <v/>
      </c>
      <c r="I58" s="68" t="str">
        <f aca="false">IF($A58="","",'Animal Register'!T58)</f>
        <v/>
      </c>
      <c r="J58" s="47" t="str">
        <f aca="false">IF($A58="","",IF(OR(H58="",H58=0),"-",ROUND(I58*1000/H58,0)))</f>
        <v/>
      </c>
      <c r="K58" s="45" t="str">
        <f aca="false">IF($A58="","",'Animal Register'!M58)</f>
        <v/>
      </c>
      <c r="L58" s="47" t="str">
        <f aca="false">IF($A58="","",IF(ISNUMBER(J58),IF(J58&gt;=K58*0.9,"On Track","Behind Target"),"-"))</f>
        <v/>
      </c>
    </row>
    <row r="59" customFormat="false" ht="15" hidden="false" customHeight="false" outlineLevel="0" collapsed="false">
      <c r="A59" s="45" t="str">
        <f aca="false">IF('Animal Register'!A59="","",'Animal Register'!A59)</f>
        <v/>
      </c>
      <c r="B59" s="45" t="str">
        <f aca="false">IF($A59="","",'Animal Register'!B59)</f>
        <v/>
      </c>
      <c r="C59" s="45" t="str">
        <f aca="false">IF($A59="","",'Animal Register'!C59)</f>
        <v/>
      </c>
      <c r="D59" s="68" t="str">
        <f aca="false">IF($A59="","",'Animal Register'!I59)</f>
        <v/>
      </c>
      <c r="E59" s="68" t="str">
        <f aca="false">IF($A59="","",'Animal Register'!S59)</f>
        <v/>
      </c>
      <c r="F59" s="52" t="str">
        <f aca="false">IF($A59="","",IF(SUMPRODUCT(MAX(('Weight Log'!$A$5:$A$154=$A59)*ROW('Weight Log'!$A$5:$A$154)))=0,"-",INDEX('Weight Log'!$B:$B,SUMPRODUCT(MAX(('Weight Log'!$A$5:$A$154=$A59)*ROW('Weight Log'!$A$5:$A$154))))))</f>
        <v/>
      </c>
      <c r="G59" s="47" t="str">
        <f aca="false">IF($A59="","",IF(SUMPRODUCT(MAX(('Weight Log'!$A$5:$A$154=$A59)*ROW('Weight Log'!$A$5:$A$154)))=0,"-",IFERROR(INDEX('Weight Log'!$E:$E,SUMPRODUCT(MAX(('Weight Log'!$A$5:$A$154=$A59)*ROW('Weight Log'!$A$5:$A$154)))),"-")))</f>
        <v/>
      </c>
      <c r="H59" s="45" t="str">
        <f aca="false">IF($A59="","",'Animal Register'!O59)</f>
        <v/>
      </c>
      <c r="I59" s="68" t="str">
        <f aca="false">IF($A59="","",'Animal Register'!T59)</f>
        <v/>
      </c>
      <c r="J59" s="47" t="str">
        <f aca="false">IF($A59="","",IF(OR(H59="",H59=0),"-",ROUND(I59*1000/H59,0)))</f>
        <v/>
      </c>
      <c r="K59" s="45" t="str">
        <f aca="false">IF($A59="","",'Animal Register'!M59)</f>
        <v/>
      </c>
      <c r="L59" s="47" t="str">
        <f aca="false">IF($A59="","",IF(ISNUMBER(J59),IF(J59&gt;=K59*0.9,"On Track","Behind Target"),"-"))</f>
        <v/>
      </c>
    </row>
    <row r="60" customFormat="false" ht="15" hidden="false" customHeight="false" outlineLevel="0" collapsed="false">
      <c r="A60" s="45" t="str">
        <f aca="false">IF('Animal Register'!A60="","",'Animal Register'!A60)</f>
        <v/>
      </c>
      <c r="B60" s="45" t="str">
        <f aca="false">IF($A60="","",'Animal Register'!B60)</f>
        <v/>
      </c>
      <c r="C60" s="45" t="str">
        <f aca="false">IF($A60="","",'Animal Register'!C60)</f>
        <v/>
      </c>
      <c r="D60" s="68" t="str">
        <f aca="false">IF($A60="","",'Animal Register'!I60)</f>
        <v/>
      </c>
      <c r="E60" s="68" t="str">
        <f aca="false">IF($A60="","",'Animal Register'!S60)</f>
        <v/>
      </c>
      <c r="F60" s="52" t="str">
        <f aca="false">IF($A60="","",IF(SUMPRODUCT(MAX(('Weight Log'!$A$5:$A$154=$A60)*ROW('Weight Log'!$A$5:$A$154)))=0,"-",INDEX('Weight Log'!$B:$B,SUMPRODUCT(MAX(('Weight Log'!$A$5:$A$154=$A60)*ROW('Weight Log'!$A$5:$A$154))))))</f>
        <v/>
      </c>
      <c r="G60" s="47" t="str">
        <f aca="false">IF($A60="","",IF(SUMPRODUCT(MAX(('Weight Log'!$A$5:$A$154=$A60)*ROW('Weight Log'!$A$5:$A$154)))=0,"-",IFERROR(INDEX('Weight Log'!$E:$E,SUMPRODUCT(MAX(('Weight Log'!$A$5:$A$154=$A60)*ROW('Weight Log'!$A$5:$A$154)))),"-")))</f>
        <v/>
      </c>
      <c r="H60" s="45" t="str">
        <f aca="false">IF($A60="","",'Animal Register'!O60)</f>
        <v/>
      </c>
      <c r="I60" s="68" t="str">
        <f aca="false">IF($A60="","",'Animal Register'!T60)</f>
        <v/>
      </c>
      <c r="J60" s="47" t="str">
        <f aca="false">IF($A60="","",IF(OR(H60="",H60=0),"-",ROUND(I60*1000/H60,0)))</f>
        <v/>
      </c>
      <c r="K60" s="45" t="str">
        <f aca="false">IF($A60="","",'Animal Register'!M60)</f>
        <v/>
      </c>
      <c r="L60" s="47" t="str">
        <f aca="false">IF($A60="","",IF(ISNUMBER(J60),IF(J60&gt;=K60*0.9,"On Track","Behind Target"),"-"))</f>
        <v/>
      </c>
    </row>
    <row r="61" customFormat="false" ht="15" hidden="false" customHeight="false" outlineLevel="0" collapsed="false">
      <c r="A61" s="45" t="str">
        <f aca="false">IF('Animal Register'!A61="","",'Animal Register'!A61)</f>
        <v/>
      </c>
      <c r="B61" s="45" t="str">
        <f aca="false">IF($A61="","",'Animal Register'!B61)</f>
        <v/>
      </c>
      <c r="C61" s="45" t="str">
        <f aca="false">IF($A61="","",'Animal Register'!C61)</f>
        <v/>
      </c>
      <c r="D61" s="68" t="str">
        <f aca="false">IF($A61="","",'Animal Register'!I61)</f>
        <v/>
      </c>
      <c r="E61" s="68" t="str">
        <f aca="false">IF($A61="","",'Animal Register'!S61)</f>
        <v/>
      </c>
      <c r="F61" s="52" t="str">
        <f aca="false">IF($A61="","",IF(SUMPRODUCT(MAX(('Weight Log'!$A$5:$A$154=$A61)*ROW('Weight Log'!$A$5:$A$154)))=0,"-",INDEX('Weight Log'!$B:$B,SUMPRODUCT(MAX(('Weight Log'!$A$5:$A$154=$A61)*ROW('Weight Log'!$A$5:$A$154))))))</f>
        <v/>
      </c>
      <c r="G61" s="47" t="str">
        <f aca="false">IF($A61="","",IF(SUMPRODUCT(MAX(('Weight Log'!$A$5:$A$154=$A61)*ROW('Weight Log'!$A$5:$A$154)))=0,"-",IFERROR(INDEX('Weight Log'!$E:$E,SUMPRODUCT(MAX(('Weight Log'!$A$5:$A$154=$A61)*ROW('Weight Log'!$A$5:$A$154)))),"-")))</f>
        <v/>
      </c>
      <c r="H61" s="45" t="str">
        <f aca="false">IF($A61="","",'Animal Register'!O61)</f>
        <v/>
      </c>
      <c r="I61" s="68" t="str">
        <f aca="false">IF($A61="","",'Animal Register'!T61)</f>
        <v/>
      </c>
      <c r="J61" s="47" t="str">
        <f aca="false">IF($A61="","",IF(OR(H61="",H61=0),"-",ROUND(I61*1000/H61,0)))</f>
        <v/>
      </c>
      <c r="K61" s="45" t="str">
        <f aca="false">IF($A61="","",'Animal Register'!M61)</f>
        <v/>
      </c>
      <c r="L61" s="47" t="str">
        <f aca="false">IF($A61="","",IF(ISNUMBER(J61),IF(J61&gt;=K61*0.9,"On Track","Behind Target"),"-"))</f>
        <v/>
      </c>
    </row>
    <row r="62" customFormat="false" ht="15" hidden="false" customHeight="false" outlineLevel="0" collapsed="false">
      <c r="A62" s="45" t="str">
        <f aca="false">IF('Animal Register'!A62="","",'Animal Register'!A62)</f>
        <v/>
      </c>
      <c r="B62" s="45" t="str">
        <f aca="false">IF($A62="","",'Animal Register'!B62)</f>
        <v/>
      </c>
      <c r="C62" s="45" t="str">
        <f aca="false">IF($A62="","",'Animal Register'!C62)</f>
        <v/>
      </c>
      <c r="D62" s="68" t="str">
        <f aca="false">IF($A62="","",'Animal Register'!I62)</f>
        <v/>
      </c>
      <c r="E62" s="68" t="str">
        <f aca="false">IF($A62="","",'Animal Register'!S62)</f>
        <v/>
      </c>
      <c r="F62" s="52" t="str">
        <f aca="false">IF($A62="","",IF(SUMPRODUCT(MAX(('Weight Log'!$A$5:$A$154=$A62)*ROW('Weight Log'!$A$5:$A$154)))=0,"-",INDEX('Weight Log'!$B:$B,SUMPRODUCT(MAX(('Weight Log'!$A$5:$A$154=$A62)*ROW('Weight Log'!$A$5:$A$154))))))</f>
        <v/>
      </c>
      <c r="G62" s="47" t="str">
        <f aca="false">IF($A62="","",IF(SUMPRODUCT(MAX(('Weight Log'!$A$5:$A$154=$A62)*ROW('Weight Log'!$A$5:$A$154)))=0,"-",IFERROR(INDEX('Weight Log'!$E:$E,SUMPRODUCT(MAX(('Weight Log'!$A$5:$A$154=$A62)*ROW('Weight Log'!$A$5:$A$154)))),"-")))</f>
        <v/>
      </c>
      <c r="H62" s="45" t="str">
        <f aca="false">IF($A62="","",'Animal Register'!O62)</f>
        <v/>
      </c>
      <c r="I62" s="68" t="str">
        <f aca="false">IF($A62="","",'Animal Register'!T62)</f>
        <v/>
      </c>
      <c r="J62" s="47" t="str">
        <f aca="false">IF($A62="","",IF(OR(H62="",H62=0),"-",ROUND(I62*1000/H62,0)))</f>
        <v/>
      </c>
      <c r="K62" s="45" t="str">
        <f aca="false">IF($A62="","",'Animal Register'!M62)</f>
        <v/>
      </c>
      <c r="L62" s="47" t="str">
        <f aca="false">IF($A62="","",IF(ISNUMBER(J62),IF(J62&gt;=K62*0.9,"On Track","Behind Target"),"-"))</f>
        <v/>
      </c>
    </row>
    <row r="63" customFormat="false" ht="15" hidden="false" customHeight="false" outlineLevel="0" collapsed="false">
      <c r="A63" s="45" t="str">
        <f aca="false">IF('Animal Register'!A63="","",'Animal Register'!A63)</f>
        <v/>
      </c>
      <c r="B63" s="45" t="str">
        <f aca="false">IF($A63="","",'Animal Register'!B63)</f>
        <v/>
      </c>
      <c r="C63" s="45" t="str">
        <f aca="false">IF($A63="","",'Animal Register'!C63)</f>
        <v/>
      </c>
      <c r="D63" s="68" t="str">
        <f aca="false">IF($A63="","",'Animal Register'!I63)</f>
        <v/>
      </c>
      <c r="E63" s="68" t="str">
        <f aca="false">IF($A63="","",'Animal Register'!S63)</f>
        <v/>
      </c>
      <c r="F63" s="52" t="str">
        <f aca="false">IF($A63="","",IF(SUMPRODUCT(MAX(('Weight Log'!$A$5:$A$154=$A63)*ROW('Weight Log'!$A$5:$A$154)))=0,"-",INDEX('Weight Log'!$B:$B,SUMPRODUCT(MAX(('Weight Log'!$A$5:$A$154=$A63)*ROW('Weight Log'!$A$5:$A$154))))))</f>
        <v/>
      </c>
      <c r="G63" s="47" t="str">
        <f aca="false">IF($A63="","",IF(SUMPRODUCT(MAX(('Weight Log'!$A$5:$A$154=$A63)*ROW('Weight Log'!$A$5:$A$154)))=0,"-",IFERROR(INDEX('Weight Log'!$E:$E,SUMPRODUCT(MAX(('Weight Log'!$A$5:$A$154=$A63)*ROW('Weight Log'!$A$5:$A$154)))),"-")))</f>
        <v/>
      </c>
      <c r="H63" s="45" t="str">
        <f aca="false">IF($A63="","",'Animal Register'!O63)</f>
        <v/>
      </c>
      <c r="I63" s="68" t="str">
        <f aca="false">IF($A63="","",'Animal Register'!T63)</f>
        <v/>
      </c>
      <c r="J63" s="47" t="str">
        <f aca="false">IF($A63="","",IF(OR(H63="",H63=0),"-",ROUND(I63*1000/H63,0)))</f>
        <v/>
      </c>
      <c r="K63" s="45" t="str">
        <f aca="false">IF($A63="","",'Animal Register'!M63)</f>
        <v/>
      </c>
      <c r="L63" s="47" t="str">
        <f aca="false">IF($A63="","",IF(ISNUMBER(J63),IF(J63&gt;=K63*0.9,"On Track","Behind Target"),"-"))</f>
        <v/>
      </c>
    </row>
    <row r="64" customFormat="false" ht="15" hidden="false" customHeight="false" outlineLevel="0" collapsed="false">
      <c r="A64" s="45" t="str">
        <f aca="false">IF('Animal Register'!A64="","",'Animal Register'!A64)</f>
        <v/>
      </c>
      <c r="B64" s="45" t="str">
        <f aca="false">IF($A64="","",'Animal Register'!B64)</f>
        <v/>
      </c>
      <c r="C64" s="45" t="str">
        <f aca="false">IF($A64="","",'Animal Register'!C64)</f>
        <v/>
      </c>
      <c r="D64" s="68" t="str">
        <f aca="false">IF($A64="","",'Animal Register'!I64)</f>
        <v/>
      </c>
      <c r="E64" s="68" t="str">
        <f aca="false">IF($A64="","",'Animal Register'!S64)</f>
        <v/>
      </c>
      <c r="F64" s="52" t="str">
        <f aca="false">IF($A64="","",IF(SUMPRODUCT(MAX(('Weight Log'!$A$5:$A$154=$A64)*ROW('Weight Log'!$A$5:$A$154)))=0,"-",INDEX('Weight Log'!$B:$B,SUMPRODUCT(MAX(('Weight Log'!$A$5:$A$154=$A64)*ROW('Weight Log'!$A$5:$A$154))))))</f>
        <v/>
      </c>
      <c r="G64" s="47" t="str">
        <f aca="false">IF($A64="","",IF(SUMPRODUCT(MAX(('Weight Log'!$A$5:$A$154=$A64)*ROW('Weight Log'!$A$5:$A$154)))=0,"-",IFERROR(INDEX('Weight Log'!$E:$E,SUMPRODUCT(MAX(('Weight Log'!$A$5:$A$154=$A64)*ROW('Weight Log'!$A$5:$A$154)))),"-")))</f>
        <v/>
      </c>
      <c r="H64" s="45" t="str">
        <f aca="false">IF($A64="","",'Animal Register'!O64)</f>
        <v/>
      </c>
      <c r="I64" s="68" t="str">
        <f aca="false">IF($A64="","",'Animal Register'!T64)</f>
        <v/>
      </c>
      <c r="J64" s="47" t="str">
        <f aca="false">IF($A64="","",IF(OR(H64="",H64=0),"-",ROUND(I64*1000/H64,0)))</f>
        <v/>
      </c>
      <c r="K64" s="45" t="str">
        <f aca="false">IF($A64="","",'Animal Register'!M64)</f>
        <v/>
      </c>
      <c r="L64" s="47" t="str">
        <f aca="false">IF($A64="","",IF(ISNUMBER(J64),IF(J64&gt;=K64*0.9,"On Track","Behind Target"),"-"))</f>
        <v/>
      </c>
    </row>
    <row r="65" customFormat="false" ht="15" hidden="false" customHeight="false" outlineLevel="0" collapsed="false">
      <c r="A65" s="45" t="str">
        <f aca="false">IF('Animal Register'!A65="","",'Animal Register'!A65)</f>
        <v/>
      </c>
      <c r="B65" s="45" t="str">
        <f aca="false">IF($A65="","",'Animal Register'!B65)</f>
        <v/>
      </c>
      <c r="C65" s="45" t="str">
        <f aca="false">IF($A65="","",'Animal Register'!C65)</f>
        <v/>
      </c>
      <c r="D65" s="68" t="str">
        <f aca="false">IF($A65="","",'Animal Register'!I65)</f>
        <v/>
      </c>
      <c r="E65" s="68" t="str">
        <f aca="false">IF($A65="","",'Animal Register'!S65)</f>
        <v/>
      </c>
      <c r="F65" s="52" t="str">
        <f aca="false">IF($A65="","",IF(SUMPRODUCT(MAX(('Weight Log'!$A$5:$A$154=$A65)*ROW('Weight Log'!$A$5:$A$154)))=0,"-",INDEX('Weight Log'!$B:$B,SUMPRODUCT(MAX(('Weight Log'!$A$5:$A$154=$A65)*ROW('Weight Log'!$A$5:$A$154))))))</f>
        <v/>
      </c>
      <c r="G65" s="47" t="str">
        <f aca="false">IF($A65="","",IF(SUMPRODUCT(MAX(('Weight Log'!$A$5:$A$154=$A65)*ROW('Weight Log'!$A$5:$A$154)))=0,"-",IFERROR(INDEX('Weight Log'!$E:$E,SUMPRODUCT(MAX(('Weight Log'!$A$5:$A$154=$A65)*ROW('Weight Log'!$A$5:$A$154)))),"-")))</f>
        <v/>
      </c>
      <c r="H65" s="45" t="str">
        <f aca="false">IF($A65="","",'Animal Register'!O65)</f>
        <v/>
      </c>
      <c r="I65" s="68" t="str">
        <f aca="false">IF($A65="","",'Animal Register'!T65)</f>
        <v/>
      </c>
      <c r="J65" s="47" t="str">
        <f aca="false">IF($A65="","",IF(OR(H65="",H65=0),"-",ROUND(I65*1000/H65,0)))</f>
        <v/>
      </c>
      <c r="K65" s="45" t="str">
        <f aca="false">IF($A65="","",'Animal Register'!M65)</f>
        <v/>
      </c>
      <c r="L65" s="47" t="str">
        <f aca="false">IF($A65="","",IF(ISNUMBER(J65),IF(J65&gt;=K65*0.9,"On Track","Behind Target"),"-"))</f>
        <v/>
      </c>
    </row>
    <row r="66" customFormat="false" ht="15" hidden="false" customHeight="false" outlineLevel="0" collapsed="false">
      <c r="A66" s="45" t="str">
        <f aca="false">IF('Animal Register'!A66="","",'Animal Register'!A66)</f>
        <v/>
      </c>
      <c r="B66" s="45" t="str">
        <f aca="false">IF($A66="","",'Animal Register'!B66)</f>
        <v/>
      </c>
      <c r="C66" s="45" t="str">
        <f aca="false">IF($A66="","",'Animal Register'!C66)</f>
        <v/>
      </c>
      <c r="D66" s="68" t="str">
        <f aca="false">IF($A66="","",'Animal Register'!I66)</f>
        <v/>
      </c>
      <c r="E66" s="68" t="str">
        <f aca="false">IF($A66="","",'Animal Register'!S66)</f>
        <v/>
      </c>
      <c r="F66" s="52" t="str">
        <f aca="false">IF($A66="","",IF(SUMPRODUCT(MAX(('Weight Log'!$A$5:$A$154=$A66)*ROW('Weight Log'!$A$5:$A$154)))=0,"-",INDEX('Weight Log'!$B:$B,SUMPRODUCT(MAX(('Weight Log'!$A$5:$A$154=$A66)*ROW('Weight Log'!$A$5:$A$154))))))</f>
        <v/>
      </c>
      <c r="G66" s="47" t="str">
        <f aca="false">IF($A66="","",IF(SUMPRODUCT(MAX(('Weight Log'!$A$5:$A$154=$A66)*ROW('Weight Log'!$A$5:$A$154)))=0,"-",IFERROR(INDEX('Weight Log'!$E:$E,SUMPRODUCT(MAX(('Weight Log'!$A$5:$A$154=$A66)*ROW('Weight Log'!$A$5:$A$154)))),"-")))</f>
        <v/>
      </c>
      <c r="H66" s="45" t="str">
        <f aca="false">IF($A66="","",'Animal Register'!O66)</f>
        <v/>
      </c>
      <c r="I66" s="68" t="str">
        <f aca="false">IF($A66="","",'Animal Register'!T66)</f>
        <v/>
      </c>
      <c r="J66" s="47" t="str">
        <f aca="false">IF($A66="","",IF(OR(H66="",H66=0),"-",ROUND(I66*1000/H66,0)))</f>
        <v/>
      </c>
      <c r="K66" s="45" t="str">
        <f aca="false">IF($A66="","",'Animal Register'!M66)</f>
        <v/>
      </c>
      <c r="L66" s="47" t="str">
        <f aca="false">IF($A66="","",IF(ISNUMBER(J66),IF(J66&gt;=K66*0.9,"On Track","Behind Target"),"-"))</f>
        <v/>
      </c>
    </row>
    <row r="67" customFormat="false" ht="15" hidden="false" customHeight="false" outlineLevel="0" collapsed="false">
      <c r="A67" s="45" t="str">
        <f aca="false">IF('Animal Register'!A67="","",'Animal Register'!A67)</f>
        <v/>
      </c>
      <c r="B67" s="45" t="str">
        <f aca="false">IF($A67="","",'Animal Register'!B67)</f>
        <v/>
      </c>
      <c r="C67" s="45" t="str">
        <f aca="false">IF($A67="","",'Animal Register'!C67)</f>
        <v/>
      </c>
      <c r="D67" s="68" t="str">
        <f aca="false">IF($A67="","",'Animal Register'!I67)</f>
        <v/>
      </c>
      <c r="E67" s="68" t="str">
        <f aca="false">IF($A67="","",'Animal Register'!S67)</f>
        <v/>
      </c>
      <c r="F67" s="52" t="str">
        <f aca="false">IF($A67="","",IF(SUMPRODUCT(MAX(('Weight Log'!$A$5:$A$154=$A67)*ROW('Weight Log'!$A$5:$A$154)))=0,"-",INDEX('Weight Log'!$B:$B,SUMPRODUCT(MAX(('Weight Log'!$A$5:$A$154=$A67)*ROW('Weight Log'!$A$5:$A$154))))))</f>
        <v/>
      </c>
      <c r="G67" s="47" t="str">
        <f aca="false">IF($A67="","",IF(SUMPRODUCT(MAX(('Weight Log'!$A$5:$A$154=$A67)*ROW('Weight Log'!$A$5:$A$154)))=0,"-",IFERROR(INDEX('Weight Log'!$E:$E,SUMPRODUCT(MAX(('Weight Log'!$A$5:$A$154=$A67)*ROW('Weight Log'!$A$5:$A$154)))),"-")))</f>
        <v/>
      </c>
      <c r="H67" s="45" t="str">
        <f aca="false">IF($A67="","",'Animal Register'!O67)</f>
        <v/>
      </c>
      <c r="I67" s="68" t="str">
        <f aca="false">IF($A67="","",'Animal Register'!T67)</f>
        <v/>
      </c>
      <c r="J67" s="47" t="str">
        <f aca="false">IF($A67="","",IF(OR(H67="",H67=0),"-",ROUND(I67*1000/H67,0)))</f>
        <v/>
      </c>
      <c r="K67" s="45" t="str">
        <f aca="false">IF($A67="","",'Animal Register'!M67)</f>
        <v/>
      </c>
      <c r="L67" s="47" t="str">
        <f aca="false">IF($A67="","",IF(ISNUMBER(J67),IF(J67&gt;=K67*0.9,"On Track","Behind Target"),"-"))</f>
        <v/>
      </c>
    </row>
    <row r="68" customFormat="false" ht="15" hidden="false" customHeight="false" outlineLevel="0" collapsed="false">
      <c r="A68" s="45" t="str">
        <f aca="false">IF('Animal Register'!A68="","",'Animal Register'!A68)</f>
        <v/>
      </c>
      <c r="B68" s="45" t="str">
        <f aca="false">IF($A68="","",'Animal Register'!B68)</f>
        <v/>
      </c>
      <c r="C68" s="45" t="str">
        <f aca="false">IF($A68="","",'Animal Register'!C68)</f>
        <v/>
      </c>
      <c r="D68" s="68" t="str">
        <f aca="false">IF($A68="","",'Animal Register'!I68)</f>
        <v/>
      </c>
      <c r="E68" s="68" t="str">
        <f aca="false">IF($A68="","",'Animal Register'!S68)</f>
        <v/>
      </c>
      <c r="F68" s="52" t="str">
        <f aca="false">IF($A68="","",IF(SUMPRODUCT(MAX(('Weight Log'!$A$5:$A$154=$A68)*ROW('Weight Log'!$A$5:$A$154)))=0,"-",INDEX('Weight Log'!$B:$B,SUMPRODUCT(MAX(('Weight Log'!$A$5:$A$154=$A68)*ROW('Weight Log'!$A$5:$A$154))))))</f>
        <v/>
      </c>
      <c r="G68" s="47" t="str">
        <f aca="false">IF($A68="","",IF(SUMPRODUCT(MAX(('Weight Log'!$A$5:$A$154=$A68)*ROW('Weight Log'!$A$5:$A$154)))=0,"-",IFERROR(INDEX('Weight Log'!$E:$E,SUMPRODUCT(MAX(('Weight Log'!$A$5:$A$154=$A68)*ROW('Weight Log'!$A$5:$A$154)))),"-")))</f>
        <v/>
      </c>
      <c r="H68" s="45" t="str">
        <f aca="false">IF($A68="","",'Animal Register'!O68)</f>
        <v/>
      </c>
      <c r="I68" s="68" t="str">
        <f aca="false">IF($A68="","",'Animal Register'!T68)</f>
        <v/>
      </c>
      <c r="J68" s="47" t="str">
        <f aca="false">IF($A68="","",IF(OR(H68="",H68=0),"-",ROUND(I68*1000/H68,0)))</f>
        <v/>
      </c>
      <c r="K68" s="45" t="str">
        <f aca="false">IF($A68="","",'Animal Register'!M68)</f>
        <v/>
      </c>
      <c r="L68" s="47" t="str">
        <f aca="false">IF($A68="","",IF(ISNUMBER(J68),IF(J68&gt;=K68*0.9,"On Track","Behind Target"),"-"))</f>
        <v/>
      </c>
    </row>
    <row r="69" customFormat="false" ht="15" hidden="false" customHeight="false" outlineLevel="0" collapsed="false">
      <c r="A69" s="45" t="str">
        <f aca="false">IF('Animal Register'!A69="","",'Animal Register'!A69)</f>
        <v/>
      </c>
      <c r="B69" s="45" t="str">
        <f aca="false">IF($A69="","",'Animal Register'!B69)</f>
        <v/>
      </c>
      <c r="C69" s="45" t="str">
        <f aca="false">IF($A69="","",'Animal Register'!C69)</f>
        <v/>
      </c>
      <c r="D69" s="68" t="str">
        <f aca="false">IF($A69="","",'Animal Register'!I69)</f>
        <v/>
      </c>
      <c r="E69" s="68" t="str">
        <f aca="false">IF($A69="","",'Animal Register'!S69)</f>
        <v/>
      </c>
      <c r="F69" s="52" t="str">
        <f aca="false">IF($A69="","",IF(SUMPRODUCT(MAX(('Weight Log'!$A$5:$A$154=$A69)*ROW('Weight Log'!$A$5:$A$154)))=0,"-",INDEX('Weight Log'!$B:$B,SUMPRODUCT(MAX(('Weight Log'!$A$5:$A$154=$A69)*ROW('Weight Log'!$A$5:$A$154))))))</f>
        <v/>
      </c>
      <c r="G69" s="47" t="str">
        <f aca="false">IF($A69="","",IF(SUMPRODUCT(MAX(('Weight Log'!$A$5:$A$154=$A69)*ROW('Weight Log'!$A$5:$A$154)))=0,"-",IFERROR(INDEX('Weight Log'!$E:$E,SUMPRODUCT(MAX(('Weight Log'!$A$5:$A$154=$A69)*ROW('Weight Log'!$A$5:$A$154)))),"-")))</f>
        <v/>
      </c>
      <c r="H69" s="45" t="str">
        <f aca="false">IF($A69="","",'Animal Register'!O69)</f>
        <v/>
      </c>
      <c r="I69" s="68" t="str">
        <f aca="false">IF($A69="","",'Animal Register'!T69)</f>
        <v/>
      </c>
      <c r="J69" s="47" t="str">
        <f aca="false">IF($A69="","",IF(OR(H69="",H69=0),"-",ROUND(I69*1000/H69,0)))</f>
        <v/>
      </c>
      <c r="K69" s="45" t="str">
        <f aca="false">IF($A69="","",'Animal Register'!M69)</f>
        <v/>
      </c>
      <c r="L69" s="47" t="str">
        <f aca="false">IF($A69="","",IF(ISNUMBER(J69),IF(J69&gt;=K69*0.9,"On Track","Behind Target"),"-"))</f>
        <v/>
      </c>
    </row>
    <row r="70" customFormat="false" ht="15" hidden="false" customHeight="false" outlineLevel="0" collapsed="false">
      <c r="A70" s="45" t="str">
        <f aca="false">IF('Animal Register'!A70="","",'Animal Register'!A70)</f>
        <v/>
      </c>
      <c r="B70" s="45" t="str">
        <f aca="false">IF($A70="","",'Animal Register'!B70)</f>
        <v/>
      </c>
      <c r="C70" s="45" t="str">
        <f aca="false">IF($A70="","",'Animal Register'!C70)</f>
        <v/>
      </c>
      <c r="D70" s="68" t="str">
        <f aca="false">IF($A70="","",'Animal Register'!I70)</f>
        <v/>
      </c>
      <c r="E70" s="68" t="str">
        <f aca="false">IF($A70="","",'Animal Register'!S70)</f>
        <v/>
      </c>
      <c r="F70" s="52" t="str">
        <f aca="false">IF($A70="","",IF(SUMPRODUCT(MAX(('Weight Log'!$A$5:$A$154=$A70)*ROW('Weight Log'!$A$5:$A$154)))=0,"-",INDEX('Weight Log'!$B:$B,SUMPRODUCT(MAX(('Weight Log'!$A$5:$A$154=$A70)*ROW('Weight Log'!$A$5:$A$154))))))</f>
        <v/>
      </c>
      <c r="G70" s="47" t="str">
        <f aca="false">IF($A70="","",IF(SUMPRODUCT(MAX(('Weight Log'!$A$5:$A$154=$A70)*ROW('Weight Log'!$A$5:$A$154)))=0,"-",IFERROR(INDEX('Weight Log'!$E:$E,SUMPRODUCT(MAX(('Weight Log'!$A$5:$A$154=$A70)*ROW('Weight Log'!$A$5:$A$154)))),"-")))</f>
        <v/>
      </c>
      <c r="H70" s="45" t="str">
        <f aca="false">IF($A70="","",'Animal Register'!O70)</f>
        <v/>
      </c>
      <c r="I70" s="68" t="str">
        <f aca="false">IF($A70="","",'Animal Register'!T70)</f>
        <v/>
      </c>
      <c r="J70" s="47" t="str">
        <f aca="false">IF($A70="","",IF(OR(H70="",H70=0),"-",ROUND(I70*1000/H70,0)))</f>
        <v/>
      </c>
      <c r="K70" s="45" t="str">
        <f aca="false">IF($A70="","",'Animal Register'!M70)</f>
        <v/>
      </c>
      <c r="L70" s="47" t="str">
        <f aca="false">IF($A70="","",IF(ISNUMBER(J70),IF(J70&gt;=K70*0.9,"On Track","Behind Target"),"-"))</f>
        <v/>
      </c>
    </row>
    <row r="71" customFormat="false" ht="15" hidden="false" customHeight="false" outlineLevel="0" collapsed="false">
      <c r="A71" s="45" t="str">
        <f aca="false">IF('Animal Register'!A71="","",'Animal Register'!A71)</f>
        <v/>
      </c>
      <c r="B71" s="45" t="str">
        <f aca="false">IF($A71="","",'Animal Register'!B71)</f>
        <v/>
      </c>
      <c r="C71" s="45" t="str">
        <f aca="false">IF($A71="","",'Animal Register'!C71)</f>
        <v/>
      </c>
      <c r="D71" s="68" t="str">
        <f aca="false">IF($A71="","",'Animal Register'!I71)</f>
        <v/>
      </c>
      <c r="E71" s="68" t="str">
        <f aca="false">IF($A71="","",'Animal Register'!S71)</f>
        <v/>
      </c>
      <c r="F71" s="52" t="str">
        <f aca="false">IF($A71="","",IF(SUMPRODUCT(MAX(('Weight Log'!$A$5:$A$154=$A71)*ROW('Weight Log'!$A$5:$A$154)))=0,"-",INDEX('Weight Log'!$B:$B,SUMPRODUCT(MAX(('Weight Log'!$A$5:$A$154=$A71)*ROW('Weight Log'!$A$5:$A$154))))))</f>
        <v/>
      </c>
      <c r="G71" s="47" t="str">
        <f aca="false">IF($A71="","",IF(SUMPRODUCT(MAX(('Weight Log'!$A$5:$A$154=$A71)*ROW('Weight Log'!$A$5:$A$154)))=0,"-",IFERROR(INDEX('Weight Log'!$E:$E,SUMPRODUCT(MAX(('Weight Log'!$A$5:$A$154=$A71)*ROW('Weight Log'!$A$5:$A$154)))),"-")))</f>
        <v/>
      </c>
      <c r="H71" s="45" t="str">
        <f aca="false">IF($A71="","",'Animal Register'!O71)</f>
        <v/>
      </c>
      <c r="I71" s="68" t="str">
        <f aca="false">IF($A71="","",'Animal Register'!T71)</f>
        <v/>
      </c>
      <c r="J71" s="47" t="str">
        <f aca="false">IF($A71="","",IF(OR(H71="",H71=0),"-",ROUND(I71*1000/H71,0)))</f>
        <v/>
      </c>
      <c r="K71" s="45" t="str">
        <f aca="false">IF($A71="","",'Animal Register'!M71)</f>
        <v/>
      </c>
      <c r="L71" s="47" t="str">
        <f aca="false">IF($A71="","",IF(ISNUMBER(J71),IF(J71&gt;=K71*0.9,"On Track","Behind Target"),"-"))</f>
        <v/>
      </c>
    </row>
    <row r="72" customFormat="false" ht="15" hidden="false" customHeight="false" outlineLevel="0" collapsed="false">
      <c r="A72" s="45" t="str">
        <f aca="false">IF('Animal Register'!A72="","",'Animal Register'!A72)</f>
        <v/>
      </c>
      <c r="B72" s="45" t="str">
        <f aca="false">IF($A72="","",'Animal Register'!B72)</f>
        <v/>
      </c>
      <c r="C72" s="45" t="str">
        <f aca="false">IF($A72="","",'Animal Register'!C72)</f>
        <v/>
      </c>
      <c r="D72" s="68" t="str">
        <f aca="false">IF($A72="","",'Animal Register'!I72)</f>
        <v/>
      </c>
      <c r="E72" s="68" t="str">
        <f aca="false">IF($A72="","",'Animal Register'!S72)</f>
        <v/>
      </c>
      <c r="F72" s="52" t="str">
        <f aca="false">IF($A72="","",IF(SUMPRODUCT(MAX(('Weight Log'!$A$5:$A$154=$A72)*ROW('Weight Log'!$A$5:$A$154)))=0,"-",INDEX('Weight Log'!$B:$B,SUMPRODUCT(MAX(('Weight Log'!$A$5:$A$154=$A72)*ROW('Weight Log'!$A$5:$A$154))))))</f>
        <v/>
      </c>
      <c r="G72" s="47" t="str">
        <f aca="false">IF($A72="","",IF(SUMPRODUCT(MAX(('Weight Log'!$A$5:$A$154=$A72)*ROW('Weight Log'!$A$5:$A$154)))=0,"-",IFERROR(INDEX('Weight Log'!$E:$E,SUMPRODUCT(MAX(('Weight Log'!$A$5:$A$154=$A72)*ROW('Weight Log'!$A$5:$A$154)))),"-")))</f>
        <v/>
      </c>
      <c r="H72" s="45" t="str">
        <f aca="false">IF($A72="","",'Animal Register'!O72)</f>
        <v/>
      </c>
      <c r="I72" s="68" t="str">
        <f aca="false">IF($A72="","",'Animal Register'!T72)</f>
        <v/>
      </c>
      <c r="J72" s="47" t="str">
        <f aca="false">IF($A72="","",IF(OR(H72="",H72=0),"-",ROUND(I72*1000/H72,0)))</f>
        <v/>
      </c>
      <c r="K72" s="45" t="str">
        <f aca="false">IF($A72="","",'Animal Register'!M72)</f>
        <v/>
      </c>
      <c r="L72" s="47" t="str">
        <f aca="false">IF($A72="","",IF(ISNUMBER(J72),IF(J72&gt;=K72*0.9,"On Track","Behind Target"),"-"))</f>
        <v/>
      </c>
    </row>
    <row r="73" customFormat="false" ht="15" hidden="false" customHeight="false" outlineLevel="0" collapsed="false">
      <c r="A73" s="45" t="str">
        <f aca="false">IF('Animal Register'!A73="","",'Animal Register'!A73)</f>
        <v/>
      </c>
      <c r="B73" s="45" t="str">
        <f aca="false">IF($A73="","",'Animal Register'!B73)</f>
        <v/>
      </c>
      <c r="C73" s="45" t="str">
        <f aca="false">IF($A73="","",'Animal Register'!C73)</f>
        <v/>
      </c>
      <c r="D73" s="68" t="str">
        <f aca="false">IF($A73="","",'Animal Register'!I73)</f>
        <v/>
      </c>
      <c r="E73" s="68" t="str">
        <f aca="false">IF($A73="","",'Animal Register'!S73)</f>
        <v/>
      </c>
      <c r="F73" s="52" t="str">
        <f aca="false">IF($A73="","",IF(SUMPRODUCT(MAX(('Weight Log'!$A$5:$A$154=$A73)*ROW('Weight Log'!$A$5:$A$154)))=0,"-",INDEX('Weight Log'!$B:$B,SUMPRODUCT(MAX(('Weight Log'!$A$5:$A$154=$A73)*ROW('Weight Log'!$A$5:$A$154))))))</f>
        <v/>
      </c>
      <c r="G73" s="47" t="str">
        <f aca="false">IF($A73="","",IF(SUMPRODUCT(MAX(('Weight Log'!$A$5:$A$154=$A73)*ROW('Weight Log'!$A$5:$A$154)))=0,"-",IFERROR(INDEX('Weight Log'!$E:$E,SUMPRODUCT(MAX(('Weight Log'!$A$5:$A$154=$A73)*ROW('Weight Log'!$A$5:$A$154)))),"-")))</f>
        <v/>
      </c>
      <c r="H73" s="45" t="str">
        <f aca="false">IF($A73="","",'Animal Register'!O73)</f>
        <v/>
      </c>
      <c r="I73" s="68" t="str">
        <f aca="false">IF($A73="","",'Animal Register'!T73)</f>
        <v/>
      </c>
      <c r="J73" s="47" t="str">
        <f aca="false">IF($A73="","",IF(OR(H73="",H73=0),"-",ROUND(I73*1000/H73,0)))</f>
        <v/>
      </c>
      <c r="K73" s="45" t="str">
        <f aca="false">IF($A73="","",'Animal Register'!M73)</f>
        <v/>
      </c>
      <c r="L73" s="47" t="str">
        <f aca="false">IF($A73="","",IF(ISNUMBER(J73),IF(J73&gt;=K73*0.9,"On Track","Behind Target"),"-"))</f>
        <v/>
      </c>
    </row>
    <row r="74" customFormat="false" ht="15" hidden="false" customHeight="false" outlineLevel="0" collapsed="false">
      <c r="A74" s="45" t="str">
        <f aca="false">IF('Animal Register'!A74="","",'Animal Register'!A74)</f>
        <v/>
      </c>
      <c r="B74" s="45" t="str">
        <f aca="false">IF($A74="","",'Animal Register'!B74)</f>
        <v/>
      </c>
      <c r="C74" s="45" t="str">
        <f aca="false">IF($A74="","",'Animal Register'!C74)</f>
        <v/>
      </c>
      <c r="D74" s="68" t="str">
        <f aca="false">IF($A74="","",'Animal Register'!I74)</f>
        <v/>
      </c>
      <c r="E74" s="68" t="str">
        <f aca="false">IF($A74="","",'Animal Register'!S74)</f>
        <v/>
      </c>
      <c r="F74" s="52" t="str">
        <f aca="false">IF($A74="","",IF(SUMPRODUCT(MAX(('Weight Log'!$A$5:$A$154=$A74)*ROW('Weight Log'!$A$5:$A$154)))=0,"-",INDEX('Weight Log'!$B:$B,SUMPRODUCT(MAX(('Weight Log'!$A$5:$A$154=$A74)*ROW('Weight Log'!$A$5:$A$154))))))</f>
        <v/>
      </c>
      <c r="G74" s="47" t="str">
        <f aca="false">IF($A74="","",IF(SUMPRODUCT(MAX(('Weight Log'!$A$5:$A$154=$A74)*ROW('Weight Log'!$A$5:$A$154)))=0,"-",IFERROR(INDEX('Weight Log'!$E:$E,SUMPRODUCT(MAX(('Weight Log'!$A$5:$A$154=$A74)*ROW('Weight Log'!$A$5:$A$154)))),"-")))</f>
        <v/>
      </c>
      <c r="H74" s="45" t="str">
        <f aca="false">IF($A74="","",'Animal Register'!O74)</f>
        <v/>
      </c>
      <c r="I74" s="68" t="str">
        <f aca="false">IF($A74="","",'Animal Register'!T74)</f>
        <v/>
      </c>
      <c r="J74" s="47" t="str">
        <f aca="false">IF($A74="","",IF(OR(H74="",H74=0),"-",ROUND(I74*1000/H74,0)))</f>
        <v/>
      </c>
      <c r="K74" s="45" t="str">
        <f aca="false">IF($A74="","",'Animal Register'!M74)</f>
        <v/>
      </c>
      <c r="L74" s="47" t="str">
        <f aca="false">IF($A74="","",IF(ISNUMBER(J74),IF(J74&gt;=K74*0.9,"On Track","Behind Target"),"-"))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H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30" t="s">
        <v>353</v>
      </c>
      <c r="B1" s="30"/>
      <c r="C1" s="30"/>
      <c r="D1" s="30"/>
      <c r="E1" s="30"/>
      <c r="F1" s="30"/>
      <c r="G1" s="30"/>
      <c r="H1" s="30"/>
    </row>
    <row r="3" customFormat="false" ht="26.85" hidden="false" customHeight="false" outlineLevel="0" collapsed="false">
      <c r="A3" s="31" t="s">
        <v>216</v>
      </c>
      <c r="B3" s="31" t="s">
        <v>286</v>
      </c>
      <c r="C3" s="31" t="s">
        <v>354</v>
      </c>
      <c r="D3" s="31" t="s">
        <v>355</v>
      </c>
      <c r="E3" s="31" t="s">
        <v>356</v>
      </c>
      <c r="F3" s="31" t="s">
        <v>357</v>
      </c>
      <c r="G3" s="31" t="s">
        <v>358</v>
      </c>
      <c r="H3" s="31" t="s">
        <v>232</v>
      </c>
    </row>
    <row r="4" customFormat="false" ht="15" hidden="false" customHeight="false" outlineLevel="0" collapsed="false">
      <c r="A4" s="50" t="s">
        <v>238</v>
      </c>
      <c r="B4" s="51" t="n">
        <v>46240</v>
      </c>
      <c r="C4" s="38" t="s">
        <v>359</v>
      </c>
      <c r="D4" s="38" t="s">
        <v>360</v>
      </c>
      <c r="E4" s="38"/>
      <c r="F4" s="49"/>
      <c r="G4" s="38"/>
      <c r="H4" s="32" t="s">
        <v>292</v>
      </c>
    </row>
    <row r="5" customFormat="false" ht="15" hidden="false" customHeight="false" outlineLevel="0" collapsed="false">
      <c r="A5" s="50"/>
      <c r="B5" s="51"/>
      <c r="C5" s="38"/>
      <c r="D5" s="38"/>
      <c r="E5" s="38"/>
      <c r="F5" s="49"/>
      <c r="G5" s="38"/>
      <c r="H5" s="32"/>
    </row>
    <row r="6" customFormat="false" ht="15" hidden="false" customHeight="false" outlineLevel="0" collapsed="false">
      <c r="A6" s="50"/>
      <c r="B6" s="51"/>
      <c r="C6" s="38"/>
      <c r="D6" s="38"/>
      <c r="E6" s="38"/>
      <c r="F6" s="49"/>
      <c r="G6" s="38"/>
      <c r="H6" s="32"/>
    </row>
    <row r="7" customFormat="false" ht="15" hidden="false" customHeight="false" outlineLevel="0" collapsed="false">
      <c r="A7" s="50"/>
      <c r="B7" s="51"/>
      <c r="C7" s="38"/>
      <c r="D7" s="38"/>
      <c r="E7" s="38"/>
      <c r="F7" s="49"/>
      <c r="G7" s="38"/>
      <c r="H7" s="32"/>
    </row>
    <row r="8" customFormat="false" ht="15" hidden="false" customHeight="false" outlineLevel="0" collapsed="false">
      <c r="A8" s="50"/>
      <c r="B8" s="51"/>
      <c r="C8" s="38"/>
      <c r="D8" s="38"/>
      <c r="E8" s="38"/>
      <c r="F8" s="49"/>
      <c r="G8" s="38"/>
      <c r="H8" s="32"/>
    </row>
    <row r="9" customFormat="false" ht="15" hidden="false" customHeight="false" outlineLevel="0" collapsed="false">
      <c r="A9" s="50"/>
      <c r="B9" s="51"/>
      <c r="C9" s="38"/>
      <c r="D9" s="38"/>
      <c r="E9" s="38"/>
      <c r="F9" s="49"/>
      <c r="G9" s="38"/>
      <c r="H9" s="32"/>
    </row>
    <row r="10" customFormat="false" ht="15" hidden="false" customHeight="false" outlineLevel="0" collapsed="false">
      <c r="A10" s="50"/>
      <c r="B10" s="51"/>
      <c r="C10" s="38"/>
      <c r="D10" s="38"/>
      <c r="E10" s="38"/>
      <c r="F10" s="49"/>
      <c r="G10" s="38"/>
      <c r="H10" s="32"/>
    </row>
    <row r="11" customFormat="false" ht="15" hidden="false" customHeight="false" outlineLevel="0" collapsed="false">
      <c r="A11" s="50"/>
      <c r="B11" s="51"/>
      <c r="C11" s="38"/>
      <c r="D11" s="38"/>
      <c r="E11" s="38"/>
      <c r="F11" s="49"/>
      <c r="G11" s="38"/>
      <c r="H11" s="32"/>
    </row>
    <row r="12" customFormat="false" ht="15" hidden="false" customHeight="false" outlineLevel="0" collapsed="false">
      <c r="A12" s="50"/>
      <c r="B12" s="51"/>
      <c r="C12" s="38"/>
      <c r="D12" s="38"/>
      <c r="E12" s="38"/>
      <c r="F12" s="49"/>
      <c r="G12" s="38"/>
      <c r="H12" s="32"/>
    </row>
    <row r="13" customFormat="false" ht="15" hidden="false" customHeight="false" outlineLevel="0" collapsed="false">
      <c r="A13" s="50"/>
      <c r="B13" s="51"/>
      <c r="C13" s="38"/>
      <c r="D13" s="38"/>
      <c r="E13" s="38"/>
      <c r="F13" s="49"/>
      <c r="G13" s="38"/>
      <c r="H13" s="32"/>
    </row>
    <row r="14" customFormat="false" ht="15" hidden="false" customHeight="false" outlineLevel="0" collapsed="false">
      <c r="A14" s="50"/>
      <c r="B14" s="51"/>
      <c r="C14" s="38"/>
      <c r="D14" s="38"/>
      <c r="E14" s="38"/>
      <c r="F14" s="49"/>
      <c r="G14" s="38"/>
      <c r="H14" s="32"/>
    </row>
    <row r="15" customFormat="false" ht="15" hidden="false" customHeight="false" outlineLevel="0" collapsed="false">
      <c r="A15" s="50"/>
      <c r="B15" s="51"/>
      <c r="C15" s="38"/>
      <c r="D15" s="38"/>
      <c r="E15" s="38"/>
      <c r="F15" s="49"/>
      <c r="G15" s="38"/>
      <c r="H15" s="32"/>
    </row>
    <row r="16" customFormat="false" ht="15" hidden="false" customHeight="false" outlineLevel="0" collapsed="false">
      <c r="A16" s="50"/>
      <c r="B16" s="51"/>
      <c r="C16" s="38"/>
      <c r="D16" s="38"/>
      <c r="E16" s="38"/>
      <c r="F16" s="49"/>
      <c r="G16" s="38"/>
      <c r="H16" s="32"/>
    </row>
    <row r="17" customFormat="false" ht="15" hidden="false" customHeight="false" outlineLevel="0" collapsed="false">
      <c r="A17" s="50"/>
      <c r="B17" s="51"/>
      <c r="C17" s="38"/>
      <c r="D17" s="38"/>
      <c r="E17" s="38"/>
      <c r="F17" s="49"/>
      <c r="G17" s="38"/>
      <c r="H17" s="32"/>
    </row>
    <row r="18" customFormat="false" ht="15" hidden="false" customHeight="false" outlineLevel="0" collapsed="false">
      <c r="A18" s="50"/>
      <c r="B18" s="51"/>
      <c r="C18" s="38"/>
      <c r="D18" s="38"/>
      <c r="E18" s="38"/>
      <c r="F18" s="49"/>
      <c r="G18" s="38"/>
      <c r="H18" s="32"/>
    </row>
    <row r="19" customFormat="false" ht="15" hidden="false" customHeight="false" outlineLevel="0" collapsed="false">
      <c r="A19" s="50"/>
      <c r="B19" s="51"/>
      <c r="C19" s="38"/>
      <c r="D19" s="38"/>
      <c r="E19" s="38"/>
      <c r="F19" s="49"/>
      <c r="G19" s="38"/>
      <c r="H19" s="32"/>
    </row>
    <row r="20" customFormat="false" ht="15" hidden="false" customHeight="false" outlineLevel="0" collapsed="false">
      <c r="A20" s="50"/>
      <c r="B20" s="51"/>
      <c r="C20" s="38"/>
      <c r="D20" s="38"/>
      <c r="E20" s="38"/>
      <c r="F20" s="49"/>
      <c r="G20" s="38"/>
      <c r="H20" s="32"/>
    </row>
    <row r="21" customFormat="false" ht="15" hidden="false" customHeight="false" outlineLevel="0" collapsed="false">
      <c r="A21" s="50"/>
      <c r="B21" s="51"/>
      <c r="C21" s="38"/>
      <c r="D21" s="38"/>
      <c r="E21" s="38"/>
      <c r="F21" s="49"/>
      <c r="G21" s="38"/>
      <c r="H21" s="32"/>
    </row>
    <row r="22" customFormat="false" ht="15" hidden="false" customHeight="false" outlineLevel="0" collapsed="false">
      <c r="A22" s="50"/>
      <c r="B22" s="51"/>
      <c r="C22" s="38"/>
      <c r="D22" s="38"/>
      <c r="E22" s="38"/>
      <c r="F22" s="49"/>
      <c r="G22" s="38"/>
      <c r="H22" s="32"/>
    </row>
    <row r="23" customFormat="false" ht="15" hidden="false" customHeight="false" outlineLevel="0" collapsed="false">
      <c r="A23" s="50"/>
      <c r="B23" s="51"/>
      <c r="C23" s="38"/>
      <c r="D23" s="38"/>
      <c r="E23" s="38"/>
      <c r="F23" s="49"/>
      <c r="G23" s="38"/>
      <c r="H23" s="32"/>
    </row>
    <row r="24" customFormat="false" ht="15" hidden="false" customHeight="false" outlineLevel="0" collapsed="false">
      <c r="A24" s="50"/>
      <c r="B24" s="51"/>
      <c r="C24" s="38"/>
      <c r="D24" s="38"/>
      <c r="E24" s="38"/>
      <c r="F24" s="49"/>
      <c r="G24" s="38"/>
      <c r="H24" s="32"/>
    </row>
    <row r="25" customFormat="false" ht="15" hidden="false" customHeight="false" outlineLevel="0" collapsed="false">
      <c r="A25" s="50"/>
      <c r="B25" s="51"/>
      <c r="C25" s="38"/>
      <c r="D25" s="38"/>
      <c r="E25" s="38"/>
      <c r="F25" s="49"/>
      <c r="G25" s="38"/>
      <c r="H25" s="32"/>
    </row>
    <row r="26" customFormat="false" ht="15" hidden="false" customHeight="false" outlineLevel="0" collapsed="false">
      <c r="A26" s="50"/>
      <c r="B26" s="51"/>
      <c r="C26" s="38"/>
      <c r="D26" s="38"/>
      <c r="E26" s="38"/>
      <c r="F26" s="49"/>
      <c r="G26" s="38"/>
      <c r="H26" s="32"/>
    </row>
    <row r="27" customFormat="false" ht="15" hidden="false" customHeight="false" outlineLevel="0" collapsed="false">
      <c r="A27" s="50"/>
      <c r="B27" s="51"/>
      <c r="C27" s="38"/>
      <c r="D27" s="38"/>
      <c r="E27" s="38"/>
      <c r="F27" s="49"/>
      <c r="G27" s="38"/>
      <c r="H27" s="32"/>
    </row>
    <row r="28" customFormat="false" ht="15" hidden="false" customHeight="false" outlineLevel="0" collapsed="false">
      <c r="A28" s="50"/>
      <c r="B28" s="51"/>
      <c r="C28" s="38"/>
      <c r="D28" s="38"/>
      <c r="E28" s="38"/>
      <c r="F28" s="49"/>
      <c r="G28" s="38"/>
      <c r="H28" s="32"/>
    </row>
    <row r="29" customFormat="false" ht="15" hidden="false" customHeight="false" outlineLevel="0" collapsed="false">
      <c r="A29" s="50"/>
      <c r="B29" s="51"/>
      <c r="C29" s="38"/>
      <c r="D29" s="38"/>
      <c r="E29" s="38"/>
      <c r="F29" s="49"/>
      <c r="G29" s="38"/>
      <c r="H29" s="32"/>
    </row>
    <row r="30" customFormat="false" ht="15" hidden="false" customHeight="false" outlineLevel="0" collapsed="false">
      <c r="A30" s="50"/>
      <c r="B30" s="51"/>
      <c r="C30" s="38"/>
      <c r="D30" s="38"/>
      <c r="E30" s="38"/>
      <c r="F30" s="49"/>
      <c r="G30" s="38"/>
      <c r="H30" s="32"/>
    </row>
    <row r="31" customFormat="false" ht="15" hidden="false" customHeight="false" outlineLevel="0" collapsed="false">
      <c r="A31" s="50"/>
      <c r="B31" s="51"/>
      <c r="C31" s="38"/>
      <c r="D31" s="38"/>
      <c r="E31" s="38"/>
      <c r="F31" s="49"/>
      <c r="G31" s="38"/>
      <c r="H31" s="32"/>
    </row>
    <row r="32" customFormat="false" ht="15" hidden="false" customHeight="false" outlineLevel="0" collapsed="false">
      <c r="A32" s="50"/>
      <c r="B32" s="51"/>
      <c r="C32" s="38"/>
      <c r="D32" s="38"/>
      <c r="E32" s="38"/>
      <c r="F32" s="49"/>
      <c r="G32" s="38"/>
      <c r="H32" s="32"/>
    </row>
    <row r="33" customFormat="false" ht="15" hidden="false" customHeight="false" outlineLevel="0" collapsed="false">
      <c r="A33" s="50"/>
      <c r="B33" s="51"/>
      <c r="C33" s="38"/>
      <c r="D33" s="38"/>
      <c r="E33" s="38"/>
      <c r="F33" s="49"/>
      <c r="G33" s="38"/>
      <c r="H33" s="32"/>
    </row>
    <row r="34" customFormat="false" ht="15" hidden="false" customHeight="false" outlineLevel="0" collapsed="false">
      <c r="A34" s="50"/>
      <c r="B34" s="51"/>
      <c r="C34" s="38"/>
      <c r="D34" s="38"/>
      <c r="E34" s="38"/>
      <c r="F34" s="49"/>
      <c r="G34" s="38"/>
      <c r="H34" s="32"/>
    </row>
    <row r="35" customFormat="false" ht="15" hidden="false" customHeight="false" outlineLevel="0" collapsed="false">
      <c r="A35" s="50"/>
      <c r="B35" s="51"/>
      <c r="C35" s="38"/>
      <c r="D35" s="38"/>
      <c r="E35" s="38"/>
      <c r="F35" s="49"/>
      <c r="G35" s="38"/>
      <c r="H35" s="32"/>
    </row>
    <row r="36" customFormat="false" ht="15" hidden="false" customHeight="false" outlineLevel="0" collapsed="false">
      <c r="A36" s="50"/>
      <c r="B36" s="51"/>
      <c r="C36" s="38"/>
      <c r="D36" s="38"/>
      <c r="E36" s="38"/>
      <c r="F36" s="49"/>
      <c r="G36" s="38"/>
      <c r="H36" s="32"/>
    </row>
    <row r="37" customFormat="false" ht="15" hidden="false" customHeight="false" outlineLevel="0" collapsed="false">
      <c r="A37" s="50"/>
      <c r="B37" s="51"/>
      <c r="C37" s="38"/>
      <c r="D37" s="38"/>
      <c r="E37" s="38"/>
      <c r="F37" s="49"/>
      <c r="G37" s="38"/>
      <c r="H37" s="32"/>
    </row>
    <row r="38" customFormat="false" ht="15" hidden="false" customHeight="false" outlineLevel="0" collapsed="false">
      <c r="A38" s="50"/>
      <c r="B38" s="51"/>
      <c r="C38" s="38"/>
      <c r="D38" s="38"/>
      <c r="E38" s="38"/>
      <c r="F38" s="49"/>
      <c r="G38" s="38"/>
      <c r="H38" s="32"/>
    </row>
    <row r="39" customFormat="false" ht="15" hidden="false" customHeight="false" outlineLevel="0" collapsed="false">
      <c r="A39" s="50"/>
      <c r="B39" s="51"/>
      <c r="C39" s="38"/>
      <c r="D39" s="38"/>
      <c r="E39" s="38"/>
      <c r="F39" s="49"/>
      <c r="G39" s="38"/>
      <c r="H39" s="32"/>
    </row>
    <row r="40" customFormat="false" ht="15" hidden="false" customHeight="false" outlineLevel="0" collapsed="false">
      <c r="A40" s="50"/>
      <c r="B40" s="51"/>
      <c r="C40" s="38"/>
      <c r="D40" s="38"/>
      <c r="E40" s="38"/>
      <c r="F40" s="49"/>
      <c r="G40" s="38"/>
      <c r="H40" s="32"/>
    </row>
    <row r="41" customFormat="false" ht="15" hidden="false" customHeight="false" outlineLevel="0" collapsed="false">
      <c r="A41" s="50"/>
      <c r="B41" s="51"/>
      <c r="C41" s="38"/>
      <c r="D41" s="38"/>
      <c r="E41" s="38"/>
      <c r="F41" s="49"/>
      <c r="G41" s="38"/>
      <c r="H41" s="32"/>
    </row>
    <row r="42" customFormat="false" ht="15" hidden="false" customHeight="false" outlineLevel="0" collapsed="false">
      <c r="A42" s="50"/>
      <c r="B42" s="51"/>
      <c r="C42" s="38"/>
      <c r="D42" s="38"/>
      <c r="E42" s="38"/>
      <c r="F42" s="49"/>
      <c r="G42" s="38"/>
      <c r="H42" s="32"/>
    </row>
    <row r="43" customFormat="false" ht="15" hidden="false" customHeight="false" outlineLevel="0" collapsed="false">
      <c r="A43" s="50"/>
      <c r="B43" s="51"/>
      <c r="C43" s="38"/>
      <c r="D43" s="38"/>
      <c r="E43" s="38"/>
      <c r="F43" s="49"/>
      <c r="G43" s="38"/>
      <c r="H43" s="32"/>
    </row>
    <row r="44" customFormat="false" ht="15" hidden="false" customHeight="false" outlineLevel="0" collapsed="false">
      <c r="A44" s="50"/>
      <c r="B44" s="51"/>
      <c r="C44" s="38"/>
      <c r="D44" s="38"/>
      <c r="E44" s="38"/>
      <c r="F44" s="49"/>
      <c r="G44" s="38"/>
      <c r="H44" s="32"/>
    </row>
    <row r="45" customFormat="false" ht="15" hidden="false" customHeight="false" outlineLevel="0" collapsed="false">
      <c r="A45" s="50"/>
      <c r="B45" s="51"/>
      <c r="C45" s="38"/>
      <c r="D45" s="38"/>
      <c r="E45" s="38"/>
      <c r="F45" s="49"/>
      <c r="G45" s="38"/>
      <c r="H45" s="32"/>
    </row>
    <row r="46" customFormat="false" ht="15" hidden="false" customHeight="false" outlineLevel="0" collapsed="false">
      <c r="A46" s="50"/>
      <c r="B46" s="51"/>
      <c r="C46" s="38"/>
      <c r="D46" s="38"/>
      <c r="E46" s="38"/>
      <c r="F46" s="49"/>
      <c r="G46" s="38"/>
      <c r="H46" s="32"/>
    </row>
    <row r="47" customFormat="false" ht="15" hidden="false" customHeight="false" outlineLevel="0" collapsed="false">
      <c r="A47" s="50"/>
      <c r="B47" s="51"/>
      <c r="C47" s="38"/>
      <c r="D47" s="38"/>
      <c r="E47" s="38"/>
      <c r="F47" s="49"/>
      <c r="G47" s="38"/>
      <c r="H47" s="32"/>
    </row>
    <row r="48" customFormat="false" ht="15" hidden="false" customHeight="false" outlineLevel="0" collapsed="false">
      <c r="A48" s="50"/>
      <c r="B48" s="51"/>
      <c r="C48" s="38"/>
      <c r="D48" s="38"/>
      <c r="E48" s="38"/>
      <c r="F48" s="49"/>
      <c r="G48" s="38"/>
      <c r="H48" s="32"/>
    </row>
    <row r="49" customFormat="false" ht="15" hidden="false" customHeight="false" outlineLevel="0" collapsed="false">
      <c r="A49" s="50"/>
      <c r="B49" s="51"/>
      <c r="C49" s="38"/>
      <c r="D49" s="38"/>
      <c r="E49" s="38"/>
      <c r="F49" s="49"/>
      <c r="G49" s="38"/>
      <c r="H49" s="32"/>
    </row>
    <row r="50" customFormat="false" ht="15" hidden="false" customHeight="false" outlineLevel="0" collapsed="false">
      <c r="A50" s="50"/>
      <c r="B50" s="51"/>
      <c r="C50" s="38"/>
      <c r="D50" s="38"/>
      <c r="E50" s="38"/>
      <c r="F50" s="49"/>
      <c r="G50" s="38"/>
      <c r="H50" s="32"/>
    </row>
    <row r="51" customFormat="false" ht="15" hidden="false" customHeight="false" outlineLevel="0" collapsed="false">
      <c r="A51" s="50"/>
      <c r="B51" s="51"/>
      <c r="C51" s="38"/>
      <c r="D51" s="38"/>
      <c r="E51" s="38"/>
      <c r="F51" s="49"/>
      <c r="G51" s="38"/>
      <c r="H51" s="32"/>
    </row>
    <row r="52" customFormat="false" ht="15" hidden="false" customHeight="false" outlineLevel="0" collapsed="false">
      <c r="A52" s="50"/>
      <c r="B52" s="51"/>
      <c r="C52" s="38"/>
      <c r="D52" s="38"/>
      <c r="E52" s="38"/>
      <c r="F52" s="49"/>
      <c r="G52" s="38"/>
      <c r="H52" s="32"/>
    </row>
    <row r="53" customFormat="false" ht="15" hidden="false" customHeight="false" outlineLevel="0" collapsed="false">
      <c r="A53" s="50"/>
      <c r="B53" s="51"/>
      <c r="C53" s="38"/>
      <c r="D53" s="38"/>
      <c r="E53" s="38"/>
      <c r="F53" s="49"/>
      <c r="G53" s="38"/>
      <c r="H53" s="32"/>
    </row>
    <row r="54" customFormat="false" ht="15" hidden="false" customHeight="false" outlineLevel="0" collapsed="false">
      <c r="A54" s="50"/>
      <c r="B54" s="51"/>
      <c r="C54" s="38"/>
      <c r="D54" s="38"/>
      <c r="E54" s="38"/>
      <c r="F54" s="49"/>
      <c r="G54" s="38"/>
      <c r="H54" s="32"/>
    </row>
    <row r="55" customFormat="false" ht="15" hidden="false" customHeight="false" outlineLevel="0" collapsed="false">
      <c r="A55" s="50"/>
      <c r="B55" s="51"/>
      <c r="C55" s="38"/>
      <c r="D55" s="38"/>
      <c r="E55" s="38"/>
      <c r="F55" s="49"/>
      <c r="G55" s="38"/>
      <c r="H55" s="32"/>
    </row>
    <row r="56" customFormat="false" ht="15" hidden="false" customHeight="false" outlineLevel="0" collapsed="false">
      <c r="A56" s="50"/>
      <c r="B56" s="51"/>
      <c r="C56" s="38"/>
      <c r="D56" s="38"/>
      <c r="E56" s="38"/>
      <c r="F56" s="49"/>
      <c r="G56" s="38"/>
      <c r="H56" s="32"/>
    </row>
    <row r="57" customFormat="false" ht="15" hidden="false" customHeight="false" outlineLevel="0" collapsed="false">
      <c r="A57" s="50"/>
      <c r="B57" s="51"/>
      <c r="C57" s="38"/>
      <c r="D57" s="38"/>
      <c r="E57" s="38"/>
      <c r="F57" s="49"/>
      <c r="G57" s="38"/>
      <c r="H57" s="32"/>
    </row>
    <row r="58" customFormat="false" ht="15" hidden="false" customHeight="false" outlineLevel="0" collapsed="false">
      <c r="A58" s="50"/>
      <c r="B58" s="51"/>
      <c r="C58" s="38"/>
      <c r="D58" s="38"/>
      <c r="E58" s="38"/>
      <c r="F58" s="49"/>
      <c r="G58" s="38"/>
      <c r="H58" s="32"/>
    </row>
    <row r="59" customFormat="false" ht="15" hidden="false" customHeight="false" outlineLevel="0" collapsed="false">
      <c r="A59" s="50"/>
      <c r="B59" s="51"/>
      <c r="C59" s="38"/>
      <c r="D59" s="38"/>
      <c r="E59" s="38"/>
      <c r="F59" s="49"/>
      <c r="G59" s="38"/>
      <c r="H59" s="32"/>
    </row>
    <row r="60" customFormat="false" ht="15" hidden="false" customHeight="false" outlineLevel="0" collapsed="false">
      <c r="A60" s="50"/>
      <c r="B60" s="51"/>
      <c r="C60" s="38"/>
      <c r="D60" s="38"/>
      <c r="E60" s="38"/>
      <c r="F60" s="49"/>
      <c r="G60" s="38"/>
      <c r="H60" s="32"/>
    </row>
    <row r="61" customFormat="false" ht="15" hidden="false" customHeight="false" outlineLevel="0" collapsed="false">
      <c r="A61" s="50"/>
      <c r="B61" s="51"/>
      <c r="C61" s="38"/>
      <c r="D61" s="38"/>
      <c r="E61" s="38"/>
      <c r="F61" s="49"/>
      <c r="G61" s="38"/>
      <c r="H61" s="32"/>
    </row>
    <row r="62" customFormat="false" ht="15" hidden="false" customHeight="false" outlineLevel="0" collapsed="false">
      <c r="A62" s="50"/>
      <c r="B62" s="51"/>
      <c r="C62" s="38"/>
      <c r="D62" s="38"/>
      <c r="E62" s="38"/>
      <c r="F62" s="49"/>
      <c r="G62" s="38"/>
      <c r="H62" s="32"/>
    </row>
    <row r="63" customFormat="false" ht="15" hidden="false" customHeight="false" outlineLevel="0" collapsed="false">
      <c r="A63" s="50"/>
      <c r="B63" s="51"/>
      <c r="C63" s="38"/>
      <c r="D63" s="38"/>
      <c r="E63" s="38"/>
      <c r="F63" s="49"/>
      <c r="G63" s="38"/>
      <c r="H63" s="32"/>
    </row>
    <row r="64" customFormat="false" ht="15" hidden="false" customHeight="false" outlineLevel="0" collapsed="false">
      <c r="A64" s="50"/>
      <c r="B64" s="51"/>
      <c r="C64" s="38"/>
      <c r="D64" s="38"/>
      <c r="E64" s="38"/>
      <c r="F64" s="49"/>
      <c r="G64" s="38"/>
      <c r="H64" s="32"/>
    </row>
    <row r="65" customFormat="false" ht="15" hidden="false" customHeight="false" outlineLevel="0" collapsed="false">
      <c r="A65" s="50"/>
      <c r="B65" s="51"/>
      <c r="C65" s="38"/>
      <c r="D65" s="38"/>
      <c r="E65" s="38"/>
      <c r="F65" s="49"/>
      <c r="G65" s="38"/>
      <c r="H65" s="32"/>
    </row>
    <row r="66" customFormat="false" ht="15" hidden="false" customHeight="false" outlineLevel="0" collapsed="false">
      <c r="A66" s="50"/>
      <c r="B66" s="51"/>
      <c r="C66" s="38"/>
      <c r="D66" s="38"/>
      <c r="E66" s="38"/>
      <c r="F66" s="49"/>
      <c r="G66" s="38"/>
      <c r="H66" s="32"/>
    </row>
    <row r="67" customFormat="false" ht="15" hidden="false" customHeight="false" outlineLevel="0" collapsed="false">
      <c r="A67" s="50"/>
      <c r="B67" s="51"/>
      <c r="C67" s="38"/>
      <c r="D67" s="38"/>
      <c r="E67" s="38"/>
      <c r="F67" s="49"/>
      <c r="G67" s="38"/>
      <c r="H67" s="32"/>
    </row>
    <row r="68" customFormat="false" ht="15" hidden="false" customHeight="false" outlineLevel="0" collapsed="false">
      <c r="A68" s="50"/>
      <c r="B68" s="51"/>
      <c r="C68" s="38"/>
      <c r="D68" s="38"/>
      <c r="E68" s="38"/>
      <c r="F68" s="49"/>
      <c r="G68" s="38"/>
      <c r="H68" s="32"/>
    </row>
    <row r="69" customFormat="false" ht="15" hidden="false" customHeight="false" outlineLevel="0" collapsed="false">
      <c r="A69" s="50"/>
      <c r="B69" s="51"/>
      <c r="C69" s="38"/>
      <c r="D69" s="38"/>
      <c r="E69" s="38"/>
      <c r="F69" s="49"/>
      <c r="G69" s="38"/>
      <c r="H69" s="32"/>
    </row>
    <row r="70" customFormat="false" ht="15" hidden="false" customHeight="false" outlineLevel="0" collapsed="false">
      <c r="A70" s="50"/>
      <c r="B70" s="51"/>
      <c r="C70" s="38"/>
      <c r="D70" s="38"/>
      <c r="E70" s="38"/>
      <c r="F70" s="49"/>
      <c r="G70" s="38"/>
      <c r="H70" s="32"/>
    </row>
    <row r="71" customFormat="false" ht="15" hidden="false" customHeight="false" outlineLevel="0" collapsed="false">
      <c r="A71" s="50"/>
      <c r="B71" s="51"/>
      <c r="C71" s="38"/>
      <c r="D71" s="38"/>
      <c r="E71" s="38"/>
      <c r="F71" s="49"/>
      <c r="G71" s="38"/>
      <c r="H71" s="32"/>
    </row>
    <row r="72" customFormat="false" ht="15" hidden="false" customHeight="false" outlineLevel="0" collapsed="false">
      <c r="A72" s="50"/>
      <c r="B72" s="51"/>
      <c r="C72" s="38"/>
      <c r="D72" s="38"/>
      <c r="E72" s="38"/>
      <c r="F72" s="49"/>
      <c r="G72" s="38"/>
      <c r="H72" s="32"/>
    </row>
    <row r="73" customFormat="false" ht="15" hidden="false" customHeight="false" outlineLevel="0" collapsed="false">
      <c r="A73" s="50"/>
      <c r="B73" s="51"/>
      <c r="C73" s="38"/>
      <c r="D73" s="38"/>
      <c r="E73" s="38"/>
      <c r="F73" s="49"/>
      <c r="G73" s="38"/>
      <c r="H73" s="32"/>
    </row>
    <row r="74" customFormat="false" ht="15" hidden="false" customHeight="false" outlineLevel="0" collapsed="false">
      <c r="A74" s="50"/>
      <c r="B74" s="51"/>
      <c r="C74" s="38"/>
      <c r="D74" s="38"/>
      <c r="E74" s="38"/>
      <c r="F74" s="49"/>
      <c r="G74" s="38"/>
      <c r="H74" s="32"/>
    </row>
    <row r="75" customFormat="false" ht="15" hidden="false" customHeight="false" outlineLevel="0" collapsed="false">
      <c r="A75" s="50"/>
      <c r="B75" s="51"/>
      <c r="C75" s="38"/>
      <c r="D75" s="38"/>
      <c r="E75" s="38"/>
      <c r="F75" s="49"/>
      <c r="G75" s="38"/>
      <c r="H75" s="32"/>
    </row>
    <row r="76" customFormat="false" ht="15" hidden="false" customHeight="false" outlineLevel="0" collapsed="false">
      <c r="A76" s="50"/>
      <c r="B76" s="51"/>
      <c r="C76" s="38"/>
      <c r="D76" s="38"/>
      <c r="E76" s="38"/>
      <c r="F76" s="49"/>
      <c r="G76" s="38"/>
      <c r="H76" s="32"/>
    </row>
    <row r="77" customFormat="false" ht="15" hidden="false" customHeight="false" outlineLevel="0" collapsed="false">
      <c r="A77" s="50"/>
      <c r="B77" s="51"/>
      <c r="C77" s="38"/>
      <c r="D77" s="38"/>
      <c r="E77" s="38"/>
      <c r="F77" s="49"/>
      <c r="G77" s="38"/>
      <c r="H77" s="32"/>
    </row>
    <row r="78" customFormat="false" ht="15" hidden="false" customHeight="false" outlineLevel="0" collapsed="false">
      <c r="A78" s="50"/>
      <c r="B78" s="51"/>
      <c r="C78" s="38"/>
      <c r="D78" s="38"/>
      <c r="E78" s="38"/>
      <c r="F78" s="49"/>
      <c r="G78" s="38"/>
      <c r="H78" s="32"/>
    </row>
    <row r="79" customFormat="false" ht="15" hidden="false" customHeight="false" outlineLevel="0" collapsed="false">
      <c r="A79" s="50"/>
      <c r="B79" s="51"/>
      <c r="C79" s="38"/>
      <c r="D79" s="38"/>
      <c r="E79" s="38"/>
      <c r="F79" s="49"/>
      <c r="G79" s="38"/>
      <c r="H79" s="32"/>
    </row>
    <row r="80" customFormat="false" ht="15" hidden="false" customHeight="false" outlineLevel="0" collapsed="false">
      <c r="A80" s="50"/>
      <c r="B80" s="51"/>
      <c r="C80" s="38"/>
      <c r="D80" s="38"/>
      <c r="E80" s="38"/>
      <c r="F80" s="49"/>
      <c r="G80" s="38"/>
      <c r="H80" s="32"/>
    </row>
    <row r="81" customFormat="false" ht="15" hidden="false" customHeight="false" outlineLevel="0" collapsed="false">
      <c r="A81" s="50"/>
      <c r="B81" s="51"/>
      <c r="C81" s="38"/>
      <c r="D81" s="38"/>
      <c r="E81" s="38"/>
      <c r="F81" s="49"/>
      <c r="G81" s="38"/>
      <c r="H81" s="32"/>
    </row>
    <row r="82" customFormat="false" ht="15" hidden="false" customHeight="false" outlineLevel="0" collapsed="false">
      <c r="A82" s="50"/>
      <c r="B82" s="51"/>
      <c r="C82" s="38"/>
      <c r="D82" s="38"/>
      <c r="E82" s="38"/>
      <c r="F82" s="49"/>
      <c r="G82" s="38"/>
      <c r="H82" s="32"/>
    </row>
    <row r="83" customFormat="false" ht="15" hidden="false" customHeight="false" outlineLevel="0" collapsed="false">
      <c r="A83" s="50"/>
      <c r="B83" s="51"/>
      <c r="C83" s="38"/>
      <c r="D83" s="38"/>
      <c r="E83" s="38"/>
      <c r="F83" s="49"/>
      <c r="G83" s="38"/>
      <c r="H83" s="32"/>
    </row>
    <row r="84" customFormat="false" ht="15" hidden="false" customHeight="false" outlineLevel="0" collapsed="false">
      <c r="A84" s="50"/>
      <c r="B84" s="51"/>
      <c r="C84" s="38"/>
      <c r="D84" s="38"/>
      <c r="E84" s="38"/>
      <c r="F84" s="49"/>
      <c r="G84" s="38"/>
      <c r="H84" s="32"/>
    </row>
    <row r="85" customFormat="false" ht="15" hidden="false" customHeight="false" outlineLevel="0" collapsed="false">
      <c r="A85" s="50"/>
      <c r="B85" s="51"/>
      <c r="C85" s="38"/>
      <c r="D85" s="38"/>
      <c r="E85" s="38"/>
      <c r="F85" s="49"/>
      <c r="G85" s="38"/>
      <c r="H85" s="32"/>
    </row>
    <row r="86" customFormat="false" ht="15" hidden="false" customHeight="false" outlineLevel="0" collapsed="false">
      <c r="A86" s="50"/>
      <c r="B86" s="51"/>
      <c r="C86" s="38"/>
      <c r="D86" s="38"/>
      <c r="E86" s="38"/>
      <c r="F86" s="49"/>
      <c r="G86" s="38"/>
      <c r="H86" s="32"/>
    </row>
    <row r="87" customFormat="false" ht="15" hidden="false" customHeight="false" outlineLevel="0" collapsed="false">
      <c r="A87" s="50"/>
      <c r="B87" s="51"/>
      <c r="C87" s="38"/>
      <c r="D87" s="38"/>
      <c r="E87" s="38"/>
      <c r="F87" s="49"/>
      <c r="G87" s="38"/>
      <c r="H87" s="32"/>
    </row>
    <row r="88" customFormat="false" ht="15" hidden="false" customHeight="false" outlineLevel="0" collapsed="false">
      <c r="A88" s="50"/>
      <c r="B88" s="51"/>
      <c r="C88" s="38"/>
      <c r="D88" s="38"/>
      <c r="E88" s="38"/>
      <c r="F88" s="49"/>
      <c r="G88" s="38"/>
      <c r="H88" s="32"/>
    </row>
    <row r="89" customFormat="false" ht="15" hidden="false" customHeight="false" outlineLevel="0" collapsed="false">
      <c r="A89" s="50"/>
      <c r="B89" s="51"/>
      <c r="C89" s="38"/>
      <c r="D89" s="38"/>
      <c r="E89" s="38"/>
      <c r="F89" s="49"/>
      <c r="G89" s="38"/>
      <c r="H89" s="32"/>
    </row>
    <row r="90" customFormat="false" ht="15" hidden="false" customHeight="false" outlineLevel="0" collapsed="false">
      <c r="A90" s="50"/>
      <c r="B90" s="51"/>
      <c r="C90" s="38"/>
      <c r="D90" s="38"/>
      <c r="E90" s="38"/>
      <c r="F90" s="49"/>
      <c r="G90" s="38"/>
      <c r="H90" s="32"/>
    </row>
    <row r="91" customFormat="false" ht="15" hidden="false" customHeight="false" outlineLevel="0" collapsed="false">
      <c r="A91" s="50"/>
      <c r="B91" s="51"/>
      <c r="C91" s="38"/>
      <c r="D91" s="38"/>
      <c r="E91" s="38"/>
      <c r="F91" s="49"/>
      <c r="G91" s="38"/>
      <c r="H91" s="32"/>
    </row>
    <row r="92" customFormat="false" ht="15" hidden="false" customHeight="false" outlineLevel="0" collapsed="false">
      <c r="A92" s="50"/>
      <c r="B92" s="51"/>
      <c r="C92" s="38"/>
      <c r="D92" s="38"/>
      <c r="E92" s="38"/>
      <c r="F92" s="49"/>
      <c r="G92" s="38"/>
      <c r="H92" s="32"/>
    </row>
    <row r="93" customFormat="false" ht="15" hidden="false" customHeight="false" outlineLevel="0" collapsed="false">
      <c r="A93" s="50"/>
      <c r="B93" s="51"/>
      <c r="C93" s="38"/>
      <c r="D93" s="38"/>
      <c r="E93" s="38"/>
      <c r="F93" s="49"/>
      <c r="G93" s="38"/>
      <c r="H93" s="32"/>
    </row>
    <row r="94" customFormat="false" ht="15" hidden="false" customHeight="false" outlineLevel="0" collapsed="false">
      <c r="A94" s="50"/>
      <c r="B94" s="51"/>
      <c r="C94" s="38"/>
      <c r="D94" s="38"/>
      <c r="E94" s="38"/>
      <c r="F94" s="49"/>
      <c r="G94" s="38"/>
      <c r="H94" s="32"/>
    </row>
    <row r="95" customFormat="false" ht="15" hidden="false" customHeight="false" outlineLevel="0" collapsed="false">
      <c r="A95" s="50"/>
      <c r="B95" s="51"/>
      <c r="C95" s="38"/>
      <c r="D95" s="38"/>
      <c r="E95" s="38"/>
      <c r="F95" s="49"/>
      <c r="G95" s="38"/>
      <c r="H95" s="32"/>
    </row>
    <row r="96" customFormat="false" ht="15" hidden="false" customHeight="false" outlineLevel="0" collapsed="false">
      <c r="A96" s="50"/>
      <c r="B96" s="51"/>
      <c r="C96" s="38"/>
      <c r="D96" s="38"/>
      <c r="E96" s="38"/>
      <c r="F96" s="49"/>
      <c r="G96" s="38"/>
      <c r="H96" s="32"/>
    </row>
    <row r="97" customFormat="false" ht="15" hidden="false" customHeight="false" outlineLevel="0" collapsed="false">
      <c r="A97" s="50"/>
      <c r="B97" s="51"/>
      <c r="C97" s="38"/>
      <c r="D97" s="38"/>
      <c r="E97" s="38"/>
      <c r="F97" s="49"/>
      <c r="G97" s="38"/>
      <c r="H97" s="32"/>
    </row>
    <row r="98" customFormat="false" ht="15" hidden="false" customHeight="false" outlineLevel="0" collapsed="false">
      <c r="A98" s="50"/>
      <c r="B98" s="51"/>
      <c r="C98" s="38"/>
      <c r="D98" s="38"/>
      <c r="E98" s="38"/>
      <c r="F98" s="49"/>
      <c r="G98" s="38"/>
      <c r="H98" s="32"/>
    </row>
    <row r="99" customFormat="false" ht="15" hidden="false" customHeight="false" outlineLevel="0" collapsed="false">
      <c r="A99" s="50"/>
      <c r="B99" s="51"/>
      <c r="C99" s="38"/>
      <c r="D99" s="38"/>
      <c r="E99" s="38"/>
      <c r="F99" s="49"/>
      <c r="G99" s="38"/>
      <c r="H99" s="32"/>
    </row>
    <row r="100" customFormat="false" ht="15" hidden="false" customHeight="false" outlineLevel="0" collapsed="false">
      <c r="A100" s="50"/>
      <c r="B100" s="51"/>
      <c r="C100" s="38"/>
      <c r="D100" s="38"/>
      <c r="E100" s="38"/>
      <c r="F100" s="49"/>
      <c r="G100" s="38"/>
      <c r="H100" s="32"/>
    </row>
    <row r="101" customFormat="false" ht="15" hidden="false" customHeight="false" outlineLevel="0" collapsed="false">
      <c r="A101" s="50"/>
      <c r="B101" s="51"/>
      <c r="C101" s="38"/>
      <c r="D101" s="38"/>
      <c r="E101" s="38"/>
      <c r="F101" s="49"/>
      <c r="G101" s="38"/>
      <c r="H101" s="32"/>
    </row>
    <row r="102" customFormat="false" ht="15" hidden="false" customHeight="false" outlineLevel="0" collapsed="false">
      <c r="A102" s="50"/>
      <c r="B102" s="51"/>
      <c r="C102" s="38"/>
      <c r="D102" s="38"/>
      <c r="E102" s="38"/>
      <c r="F102" s="49"/>
      <c r="G102" s="38"/>
      <c r="H102" s="32"/>
    </row>
    <row r="103" customFormat="false" ht="15" hidden="false" customHeight="false" outlineLevel="0" collapsed="false">
      <c r="A103" s="50"/>
      <c r="B103" s="51"/>
      <c r="C103" s="38"/>
      <c r="D103" s="38"/>
      <c r="E103" s="38"/>
      <c r="F103" s="49"/>
      <c r="G103" s="38"/>
      <c r="H103" s="32"/>
    </row>
  </sheetData>
  <mergeCells count="1">
    <mergeCell ref="A1:H1"/>
  </mergeCells>
  <conditionalFormatting sqref="F4:F103">
    <cfRule type="expression" priority="2" aboveAverage="0" equalAverage="0" bottom="0" percent="0" rank="0" text="" dxfId="1">
      <formula>AND(F4&lt;&gt;"",F4&lt;TODAY())</formula>
    </cfRule>
  </conditionalFormatting>
  <dataValidations count="2">
    <dataValidation allowBlank="true" errorStyle="stop" operator="between" showDropDown="false" showErrorMessage="false" showInputMessage="false" sqref="A4:A103" type="list">
      <formula1>'Animal Register'!$A$5:$A$74</formula1>
      <formula2>0</formula2>
    </dataValidation>
    <dataValidation allowBlank="true" errorStyle="stop" operator="between" showDropDown="false" showErrorMessage="false" showInputMessage="false" sqref="C4:C103" type="list">
      <formula1>"Vaccination,Deworming,Treatment,Checkup"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30" t="s">
        <v>361</v>
      </c>
      <c r="B1" s="30"/>
      <c r="C1" s="30"/>
      <c r="D1" s="30"/>
      <c r="E1" s="30"/>
      <c r="F1" s="30"/>
      <c r="G1" s="30"/>
    </row>
    <row r="2" customFormat="false" ht="15" hidden="false" customHeight="false" outlineLevel="0" collapsed="false">
      <c r="A2" s="48" t="s">
        <v>362</v>
      </c>
      <c r="B2" s="48"/>
      <c r="C2" s="48"/>
      <c r="D2" s="48"/>
      <c r="E2" s="48"/>
      <c r="F2" s="48"/>
      <c r="G2" s="48"/>
    </row>
    <row r="3" customFormat="false" ht="15" hidden="false" customHeight="false" outlineLevel="0" collapsed="false">
      <c r="A3" s="28" t="s">
        <v>363</v>
      </c>
      <c r="B3" s="66" t="n">
        <f aca="false">SUM(F5:F204)</f>
        <v>4750</v>
      </c>
    </row>
    <row r="4" customFormat="false" ht="26.85" hidden="false" customHeight="false" outlineLevel="0" collapsed="false">
      <c r="A4" s="31" t="s">
        <v>286</v>
      </c>
      <c r="B4" s="31" t="s">
        <v>364</v>
      </c>
      <c r="C4" s="31" t="s">
        <v>365</v>
      </c>
      <c r="D4" s="31" t="s">
        <v>366</v>
      </c>
      <c r="E4" s="31" t="s">
        <v>109</v>
      </c>
      <c r="F4" s="31" t="s">
        <v>367</v>
      </c>
      <c r="G4" s="31" t="s">
        <v>232</v>
      </c>
    </row>
    <row r="5" customFormat="false" ht="15" hidden="false" customHeight="false" outlineLevel="0" collapsed="false">
      <c r="A5" s="51" t="n">
        <v>46240</v>
      </c>
      <c r="B5" s="38" t="s">
        <v>368</v>
      </c>
      <c r="C5" s="50" t="s">
        <v>110</v>
      </c>
      <c r="D5" s="62" t="n">
        <v>50</v>
      </c>
      <c r="E5" s="69" t="n">
        <v>95</v>
      </c>
      <c r="F5" s="70" t="n">
        <f aca="false">IF(OR($C5="",$D5=""),"",D5*E5)</f>
        <v>4750</v>
      </c>
      <c r="G5" s="32" t="s">
        <v>292</v>
      </c>
    </row>
    <row r="6" customFormat="false" ht="15" hidden="false" customHeight="false" outlineLevel="0" collapsed="false">
      <c r="A6" s="51"/>
      <c r="B6" s="38"/>
      <c r="C6" s="50"/>
      <c r="D6" s="62"/>
      <c r="E6" s="69"/>
      <c r="F6" s="70" t="str">
        <f aca="false">IF(OR($C6="",$D6=""),"",D6*E6)</f>
        <v/>
      </c>
      <c r="G6" s="32"/>
    </row>
    <row r="7" customFormat="false" ht="15" hidden="false" customHeight="false" outlineLevel="0" collapsed="false">
      <c r="A7" s="51"/>
      <c r="B7" s="38"/>
      <c r="C7" s="50"/>
      <c r="D7" s="62"/>
      <c r="E7" s="69"/>
      <c r="F7" s="70" t="str">
        <f aca="false">IF(OR($C7="",$D7=""),"",D7*E7)</f>
        <v/>
      </c>
      <c r="G7" s="32"/>
    </row>
    <row r="8" customFormat="false" ht="15" hidden="false" customHeight="false" outlineLevel="0" collapsed="false">
      <c r="A8" s="51"/>
      <c r="B8" s="38"/>
      <c r="C8" s="50"/>
      <c r="D8" s="62"/>
      <c r="E8" s="69"/>
      <c r="F8" s="70" t="str">
        <f aca="false">IF(OR($C8="",$D8=""),"",D8*E8)</f>
        <v/>
      </c>
      <c r="G8" s="32"/>
    </row>
    <row r="9" customFormat="false" ht="15" hidden="false" customHeight="false" outlineLevel="0" collapsed="false">
      <c r="A9" s="51"/>
      <c r="B9" s="38"/>
      <c r="C9" s="50"/>
      <c r="D9" s="62"/>
      <c r="E9" s="69"/>
      <c r="F9" s="70" t="str">
        <f aca="false">IF(OR($C9="",$D9=""),"",D9*E9)</f>
        <v/>
      </c>
      <c r="G9" s="32"/>
    </row>
    <row r="10" customFormat="false" ht="15" hidden="false" customHeight="false" outlineLevel="0" collapsed="false">
      <c r="A10" s="51"/>
      <c r="B10" s="38"/>
      <c r="C10" s="50"/>
      <c r="D10" s="62"/>
      <c r="E10" s="69"/>
      <c r="F10" s="70" t="str">
        <f aca="false">IF(OR($C10="",$D10=""),"",D10*E10)</f>
        <v/>
      </c>
      <c r="G10" s="32"/>
    </row>
    <row r="11" customFormat="false" ht="15" hidden="false" customHeight="false" outlineLevel="0" collapsed="false">
      <c r="A11" s="51"/>
      <c r="B11" s="38"/>
      <c r="C11" s="50"/>
      <c r="D11" s="62"/>
      <c r="E11" s="69"/>
      <c r="F11" s="70" t="str">
        <f aca="false">IF(OR($C11="",$D11=""),"",D11*E11)</f>
        <v/>
      </c>
      <c r="G11" s="32"/>
    </row>
    <row r="12" customFormat="false" ht="15" hidden="false" customHeight="false" outlineLevel="0" collapsed="false">
      <c r="A12" s="51"/>
      <c r="B12" s="38"/>
      <c r="C12" s="50"/>
      <c r="D12" s="62"/>
      <c r="E12" s="69"/>
      <c r="F12" s="70" t="str">
        <f aca="false">IF(OR($C12="",$D12=""),"",D12*E12)</f>
        <v/>
      </c>
      <c r="G12" s="32"/>
    </row>
    <row r="13" customFormat="false" ht="15" hidden="false" customHeight="false" outlineLevel="0" collapsed="false">
      <c r="A13" s="51"/>
      <c r="B13" s="38"/>
      <c r="C13" s="50"/>
      <c r="D13" s="62"/>
      <c r="E13" s="69"/>
      <c r="F13" s="70" t="str">
        <f aca="false">IF(OR($C13="",$D13=""),"",D13*E13)</f>
        <v/>
      </c>
      <c r="G13" s="32"/>
    </row>
    <row r="14" customFormat="false" ht="15" hidden="false" customHeight="false" outlineLevel="0" collapsed="false">
      <c r="A14" s="51"/>
      <c r="B14" s="38"/>
      <c r="C14" s="50"/>
      <c r="D14" s="62"/>
      <c r="E14" s="69"/>
      <c r="F14" s="70" t="str">
        <f aca="false">IF(OR($C14="",$D14=""),"",D14*E14)</f>
        <v/>
      </c>
      <c r="G14" s="32"/>
    </row>
    <row r="15" customFormat="false" ht="15" hidden="false" customHeight="false" outlineLevel="0" collapsed="false">
      <c r="A15" s="51"/>
      <c r="B15" s="38"/>
      <c r="C15" s="50"/>
      <c r="D15" s="62"/>
      <c r="E15" s="69"/>
      <c r="F15" s="70" t="str">
        <f aca="false">IF(OR($C15="",$D15=""),"",D15*E15)</f>
        <v/>
      </c>
      <c r="G15" s="32"/>
    </row>
    <row r="16" customFormat="false" ht="15" hidden="false" customHeight="false" outlineLevel="0" collapsed="false">
      <c r="A16" s="51"/>
      <c r="B16" s="38"/>
      <c r="C16" s="50"/>
      <c r="D16" s="62"/>
      <c r="E16" s="69"/>
      <c r="F16" s="70" t="str">
        <f aca="false">IF(OR($C16="",$D16=""),"",D16*E16)</f>
        <v/>
      </c>
      <c r="G16" s="32"/>
    </row>
    <row r="17" customFormat="false" ht="15" hidden="false" customHeight="false" outlineLevel="0" collapsed="false">
      <c r="A17" s="51"/>
      <c r="B17" s="38"/>
      <c r="C17" s="50"/>
      <c r="D17" s="62"/>
      <c r="E17" s="69"/>
      <c r="F17" s="70" t="str">
        <f aca="false">IF(OR($C17="",$D17=""),"",D17*E17)</f>
        <v/>
      </c>
      <c r="G17" s="32"/>
    </row>
    <row r="18" customFormat="false" ht="15" hidden="false" customHeight="false" outlineLevel="0" collapsed="false">
      <c r="A18" s="51"/>
      <c r="B18" s="38"/>
      <c r="C18" s="50"/>
      <c r="D18" s="62"/>
      <c r="E18" s="69"/>
      <c r="F18" s="70" t="str">
        <f aca="false">IF(OR($C18="",$D18=""),"",D18*E18)</f>
        <v/>
      </c>
      <c r="G18" s="32"/>
    </row>
    <row r="19" customFormat="false" ht="15" hidden="false" customHeight="false" outlineLevel="0" collapsed="false">
      <c r="A19" s="51"/>
      <c r="B19" s="38"/>
      <c r="C19" s="50"/>
      <c r="D19" s="62"/>
      <c r="E19" s="69"/>
      <c r="F19" s="70" t="str">
        <f aca="false">IF(OR($C19="",$D19=""),"",D19*E19)</f>
        <v/>
      </c>
      <c r="G19" s="32"/>
    </row>
    <row r="20" customFormat="false" ht="15" hidden="false" customHeight="false" outlineLevel="0" collapsed="false">
      <c r="A20" s="51"/>
      <c r="B20" s="38"/>
      <c r="C20" s="50"/>
      <c r="D20" s="62"/>
      <c r="E20" s="69"/>
      <c r="F20" s="70" t="str">
        <f aca="false">IF(OR($C20="",$D20=""),"",D20*E20)</f>
        <v/>
      </c>
      <c r="G20" s="32"/>
    </row>
    <row r="21" customFormat="false" ht="15" hidden="false" customHeight="false" outlineLevel="0" collapsed="false">
      <c r="A21" s="51"/>
      <c r="B21" s="38"/>
      <c r="C21" s="50"/>
      <c r="D21" s="62"/>
      <c r="E21" s="69"/>
      <c r="F21" s="70" t="str">
        <f aca="false">IF(OR($C21="",$D21=""),"",D21*E21)</f>
        <v/>
      </c>
      <c r="G21" s="32"/>
    </row>
    <row r="22" customFormat="false" ht="15" hidden="false" customHeight="false" outlineLevel="0" collapsed="false">
      <c r="A22" s="51"/>
      <c r="B22" s="38"/>
      <c r="C22" s="50"/>
      <c r="D22" s="62"/>
      <c r="E22" s="69"/>
      <c r="F22" s="70" t="str">
        <f aca="false">IF(OR($C22="",$D22=""),"",D22*E22)</f>
        <v/>
      </c>
      <c r="G22" s="32"/>
    </row>
    <row r="23" customFormat="false" ht="15" hidden="false" customHeight="false" outlineLevel="0" collapsed="false">
      <c r="A23" s="51"/>
      <c r="B23" s="38"/>
      <c r="C23" s="50"/>
      <c r="D23" s="62"/>
      <c r="E23" s="69"/>
      <c r="F23" s="70" t="str">
        <f aca="false">IF(OR($C23="",$D23=""),"",D23*E23)</f>
        <v/>
      </c>
      <c r="G23" s="32"/>
    </row>
    <row r="24" customFormat="false" ht="15" hidden="false" customHeight="false" outlineLevel="0" collapsed="false">
      <c r="A24" s="51"/>
      <c r="B24" s="38"/>
      <c r="C24" s="50"/>
      <c r="D24" s="62"/>
      <c r="E24" s="69"/>
      <c r="F24" s="70" t="str">
        <f aca="false">IF(OR($C24="",$D24=""),"",D24*E24)</f>
        <v/>
      </c>
      <c r="G24" s="32"/>
    </row>
    <row r="25" customFormat="false" ht="15" hidden="false" customHeight="false" outlineLevel="0" collapsed="false">
      <c r="A25" s="51"/>
      <c r="B25" s="38"/>
      <c r="C25" s="50"/>
      <c r="D25" s="62"/>
      <c r="E25" s="69"/>
      <c r="F25" s="70" t="str">
        <f aca="false">IF(OR($C25="",$D25=""),"",D25*E25)</f>
        <v/>
      </c>
      <c r="G25" s="32"/>
    </row>
    <row r="26" customFormat="false" ht="15" hidden="false" customHeight="false" outlineLevel="0" collapsed="false">
      <c r="A26" s="51"/>
      <c r="B26" s="38"/>
      <c r="C26" s="50"/>
      <c r="D26" s="62"/>
      <c r="E26" s="69"/>
      <c r="F26" s="70" t="str">
        <f aca="false">IF(OR($C26="",$D26=""),"",D26*E26)</f>
        <v/>
      </c>
      <c r="G26" s="32"/>
    </row>
    <row r="27" customFormat="false" ht="15" hidden="false" customHeight="false" outlineLevel="0" collapsed="false">
      <c r="A27" s="51"/>
      <c r="B27" s="38"/>
      <c r="C27" s="50"/>
      <c r="D27" s="62"/>
      <c r="E27" s="69"/>
      <c r="F27" s="70" t="str">
        <f aca="false">IF(OR($C27="",$D27=""),"",D27*E27)</f>
        <v/>
      </c>
      <c r="G27" s="32"/>
    </row>
    <row r="28" customFormat="false" ht="15" hidden="false" customHeight="false" outlineLevel="0" collapsed="false">
      <c r="A28" s="51"/>
      <c r="B28" s="38"/>
      <c r="C28" s="50"/>
      <c r="D28" s="62"/>
      <c r="E28" s="69"/>
      <c r="F28" s="70" t="str">
        <f aca="false">IF(OR($C28="",$D28=""),"",D28*E28)</f>
        <v/>
      </c>
      <c r="G28" s="32"/>
    </row>
    <row r="29" customFormat="false" ht="15" hidden="false" customHeight="false" outlineLevel="0" collapsed="false">
      <c r="A29" s="51"/>
      <c r="B29" s="38"/>
      <c r="C29" s="50"/>
      <c r="D29" s="62"/>
      <c r="E29" s="69"/>
      <c r="F29" s="70" t="str">
        <f aca="false">IF(OR($C29="",$D29=""),"",D29*E29)</f>
        <v/>
      </c>
      <c r="G29" s="32"/>
    </row>
    <row r="30" customFormat="false" ht="15" hidden="false" customHeight="false" outlineLevel="0" collapsed="false">
      <c r="A30" s="51"/>
      <c r="B30" s="38"/>
      <c r="C30" s="50"/>
      <c r="D30" s="62"/>
      <c r="E30" s="69"/>
      <c r="F30" s="70" t="str">
        <f aca="false">IF(OR($C30="",$D30=""),"",D30*E30)</f>
        <v/>
      </c>
      <c r="G30" s="32"/>
    </row>
    <row r="31" customFormat="false" ht="15" hidden="false" customHeight="false" outlineLevel="0" collapsed="false">
      <c r="A31" s="51"/>
      <c r="B31" s="38"/>
      <c r="C31" s="50"/>
      <c r="D31" s="62"/>
      <c r="E31" s="69"/>
      <c r="F31" s="70" t="str">
        <f aca="false">IF(OR($C31="",$D31=""),"",D31*E31)</f>
        <v/>
      </c>
      <c r="G31" s="32"/>
    </row>
    <row r="32" customFormat="false" ht="15" hidden="false" customHeight="false" outlineLevel="0" collapsed="false">
      <c r="A32" s="51"/>
      <c r="B32" s="38"/>
      <c r="C32" s="50"/>
      <c r="D32" s="62"/>
      <c r="E32" s="69"/>
      <c r="F32" s="70" t="str">
        <f aca="false">IF(OR($C32="",$D32=""),"",D32*E32)</f>
        <v/>
      </c>
      <c r="G32" s="32"/>
    </row>
    <row r="33" customFormat="false" ht="15" hidden="false" customHeight="false" outlineLevel="0" collapsed="false">
      <c r="A33" s="51"/>
      <c r="B33" s="38"/>
      <c r="C33" s="50"/>
      <c r="D33" s="62"/>
      <c r="E33" s="69"/>
      <c r="F33" s="70" t="str">
        <f aca="false">IF(OR($C33="",$D33=""),"",D33*E33)</f>
        <v/>
      </c>
      <c r="G33" s="32"/>
    </row>
    <row r="34" customFormat="false" ht="15" hidden="false" customHeight="false" outlineLevel="0" collapsed="false">
      <c r="A34" s="51"/>
      <c r="B34" s="38"/>
      <c r="C34" s="50"/>
      <c r="D34" s="62"/>
      <c r="E34" s="69"/>
      <c r="F34" s="70" t="str">
        <f aca="false">IF(OR($C34="",$D34=""),"",D34*E34)</f>
        <v/>
      </c>
      <c r="G34" s="32"/>
    </row>
    <row r="35" customFormat="false" ht="15" hidden="false" customHeight="false" outlineLevel="0" collapsed="false">
      <c r="A35" s="51"/>
      <c r="B35" s="38"/>
      <c r="C35" s="50"/>
      <c r="D35" s="62"/>
      <c r="E35" s="69"/>
      <c r="F35" s="70" t="str">
        <f aca="false">IF(OR($C35="",$D35=""),"",D35*E35)</f>
        <v/>
      </c>
      <c r="G35" s="32"/>
    </row>
    <row r="36" customFormat="false" ht="15" hidden="false" customHeight="false" outlineLevel="0" collapsed="false">
      <c r="A36" s="51"/>
      <c r="B36" s="38"/>
      <c r="C36" s="50"/>
      <c r="D36" s="62"/>
      <c r="E36" s="69"/>
      <c r="F36" s="70" t="str">
        <f aca="false">IF(OR($C36="",$D36=""),"",D36*E36)</f>
        <v/>
      </c>
      <c r="G36" s="32"/>
    </row>
    <row r="37" customFormat="false" ht="15" hidden="false" customHeight="false" outlineLevel="0" collapsed="false">
      <c r="A37" s="51"/>
      <c r="B37" s="38"/>
      <c r="C37" s="50"/>
      <c r="D37" s="62"/>
      <c r="E37" s="69"/>
      <c r="F37" s="70" t="str">
        <f aca="false">IF(OR($C37="",$D37=""),"",D37*E37)</f>
        <v/>
      </c>
      <c r="G37" s="32"/>
    </row>
    <row r="38" customFormat="false" ht="15" hidden="false" customHeight="false" outlineLevel="0" collapsed="false">
      <c r="A38" s="51"/>
      <c r="B38" s="38"/>
      <c r="C38" s="50"/>
      <c r="D38" s="62"/>
      <c r="E38" s="69"/>
      <c r="F38" s="70" t="str">
        <f aca="false">IF(OR($C38="",$D38=""),"",D38*E38)</f>
        <v/>
      </c>
      <c r="G38" s="32"/>
    </row>
    <row r="39" customFormat="false" ht="15" hidden="false" customHeight="false" outlineLevel="0" collapsed="false">
      <c r="A39" s="51"/>
      <c r="B39" s="38"/>
      <c r="C39" s="50"/>
      <c r="D39" s="62"/>
      <c r="E39" s="69"/>
      <c r="F39" s="70" t="str">
        <f aca="false">IF(OR($C39="",$D39=""),"",D39*E39)</f>
        <v/>
      </c>
      <c r="G39" s="32"/>
    </row>
    <row r="40" customFormat="false" ht="15" hidden="false" customHeight="false" outlineLevel="0" collapsed="false">
      <c r="A40" s="51"/>
      <c r="B40" s="38"/>
      <c r="C40" s="50"/>
      <c r="D40" s="62"/>
      <c r="E40" s="69"/>
      <c r="F40" s="70" t="str">
        <f aca="false">IF(OR($C40="",$D40=""),"",D40*E40)</f>
        <v/>
      </c>
      <c r="G40" s="32"/>
    </row>
    <row r="41" customFormat="false" ht="15" hidden="false" customHeight="false" outlineLevel="0" collapsed="false">
      <c r="A41" s="51"/>
      <c r="B41" s="38"/>
      <c r="C41" s="50"/>
      <c r="D41" s="62"/>
      <c r="E41" s="69"/>
      <c r="F41" s="70" t="str">
        <f aca="false">IF(OR($C41="",$D41=""),"",D41*E41)</f>
        <v/>
      </c>
      <c r="G41" s="32"/>
    </row>
    <row r="42" customFormat="false" ht="15" hidden="false" customHeight="false" outlineLevel="0" collapsed="false">
      <c r="A42" s="51"/>
      <c r="B42" s="38"/>
      <c r="C42" s="50"/>
      <c r="D42" s="62"/>
      <c r="E42" s="69"/>
      <c r="F42" s="70" t="str">
        <f aca="false">IF(OR($C42="",$D42=""),"",D42*E42)</f>
        <v/>
      </c>
      <c r="G42" s="32"/>
    </row>
    <row r="43" customFormat="false" ht="15" hidden="false" customHeight="false" outlineLevel="0" collapsed="false">
      <c r="A43" s="51"/>
      <c r="B43" s="38"/>
      <c r="C43" s="50"/>
      <c r="D43" s="62"/>
      <c r="E43" s="69"/>
      <c r="F43" s="70" t="str">
        <f aca="false">IF(OR($C43="",$D43=""),"",D43*E43)</f>
        <v/>
      </c>
      <c r="G43" s="32"/>
    </row>
    <row r="44" customFormat="false" ht="15" hidden="false" customHeight="false" outlineLevel="0" collapsed="false">
      <c r="A44" s="51"/>
      <c r="B44" s="38"/>
      <c r="C44" s="50"/>
      <c r="D44" s="62"/>
      <c r="E44" s="69"/>
      <c r="F44" s="70" t="str">
        <f aca="false">IF(OR($C44="",$D44=""),"",D44*E44)</f>
        <v/>
      </c>
      <c r="G44" s="32"/>
    </row>
    <row r="45" customFormat="false" ht="15" hidden="false" customHeight="false" outlineLevel="0" collapsed="false">
      <c r="A45" s="51"/>
      <c r="B45" s="38"/>
      <c r="C45" s="50"/>
      <c r="D45" s="62"/>
      <c r="E45" s="69"/>
      <c r="F45" s="70" t="str">
        <f aca="false">IF(OR($C45="",$D45=""),"",D45*E45)</f>
        <v/>
      </c>
      <c r="G45" s="32"/>
    </row>
    <row r="46" customFormat="false" ht="15" hidden="false" customHeight="false" outlineLevel="0" collapsed="false">
      <c r="A46" s="51"/>
      <c r="B46" s="38"/>
      <c r="C46" s="50"/>
      <c r="D46" s="62"/>
      <c r="E46" s="69"/>
      <c r="F46" s="70" t="str">
        <f aca="false">IF(OR($C46="",$D46=""),"",D46*E46)</f>
        <v/>
      </c>
      <c r="G46" s="32"/>
    </row>
    <row r="47" customFormat="false" ht="15" hidden="false" customHeight="false" outlineLevel="0" collapsed="false">
      <c r="A47" s="51"/>
      <c r="B47" s="38"/>
      <c r="C47" s="50"/>
      <c r="D47" s="62"/>
      <c r="E47" s="69"/>
      <c r="F47" s="70" t="str">
        <f aca="false">IF(OR($C47="",$D47=""),"",D47*E47)</f>
        <v/>
      </c>
      <c r="G47" s="32"/>
    </row>
    <row r="48" customFormat="false" ht="15" hidden="false" customHeight="false" outlineLevel="0" collapsed="false">
      <c r="A48" s="51"/>
      <c r="B48" s="38"/>
      <c r="C48" s="50"/>
      <c r="D48" s="62"/>
      <c r="E48" s="69"/>
      <c r="F48" s="70" t="str">
        <f aca="false">IF(OR($C48="",$D48=""),"",D48*E48)</f>
        <v/>
      </c>
      <c r="G48" s="32"/>
    </row>
    <row r="49" customFormat="false" ht="15" hidden="false" customHeight="false" outlineLevel="0" collapsed="false">
      <c r="A49" s="51"/>
      <c r="B49" s="38"/>
      <c r="C49" s="50"/>
      <c r="D49" s="62"/>
      <c r="E49" s="69"/>
      <c r="F49" s="70" t="str">
        <f aca="false">IF(OR($C49="",$D49=""),"",D49*E49)</f>
        <v/>
      </c>
      <c r="G49" s="32"/>
    </row>
    <row r="50" customFormat="false" ht="15" hidden="false" customHeight="false" outlineLevel="0" collapsed="false">
      <c r="A50" s="51"/>
      <c r="B50" s="38"/>
      <c r="C50" s="50"/>
      <c r="D50" s="62"/>
      <c r="E50" s="69"/>
      <c r="F50" s="70" t="str">
        <f aca="false">IF(OR($C50="",$D50=""),"",D50*E50)</f>
        <v/>
      </c>
      <c r="G50" s="32"/>
    </row>
    <row r="51" customFormat="false" ht="15" hidden="false" customHeight="false" outlineLevel="0" collapsed="false">
      <c r="A51" s="51"/>
      <c r="B51" s="38"/>
      <c r="C51" s="50"/>
      <c r="D51" s="62"/>
      <c r="E51" s="69"/>
      <c r="F51" s="70" t="str">
        <f aca="false">IF(OR($C51="",$D51=""),"",D51*E51)</f>
        <v/>
      </c>
      <c r="G51" s="32"/>
    </row>
    <row r="52" customFormat="false" ht="15" hidden="false" customHeight="false" outlineLevel="0" collapsed="false">
      <c r="A52" s="51"/>
      <c r="B52" s="38"/>
      <c r="C52" s="50"/>
      <c r="D52" s="62"/>
      <c r="E52" s="69"/>
      <c r="F52" s="70" t="str">
        <f aca="false">IF(OR($C52="",$D52=""),"",D52*E52)</f>
        <v/>
      </c>
      <c r="G52" s="32"/>
    </row>
    <row r="53" customFormat="false" ht="15" hidden="false" customHeight="false" outlineLevel="0" collapsed="false">
      <c r="A53" s="51"/>
      <c r="B53" s="38"/>
      <c r="C53" s="50"/>
      <c r="D53" s="62"/>
      <c r="E53" s="69"/>
      <c r="F53" s="70" t="str">
        <f aca="false">IF(OR($C53="",$D53=""),"",D53*E53)</f>
        <v/>
      </c>
      <c r="G53" s="32"/>
    </row>
    <row r="54" customFormat="false" ht="15" hidden="false" customHeight="false" outlineLevel="0" collapsed="false">
      <c r="A54" s="51"/>
      <c r="B54" s="38"/>
      <c r="C54" s="50"/>
      <c r="D54" s="62"/>
      <c r="E54" s="69"/>
      <c r="F54" s="70" t="str">
        <f aca="false">IF(OR($C54="",$D54=""),"",D54*E54)</f>
        <v/>
      </c>
      <c r="G54" s="32"/>
    </row>
    <row r="55" customFormat="false" ht="15" hidden="false" customHeight="false" outlineLevel="0" collapsed="false">
      <c r="A55" s="51"/>
      <c r="B55" s="38"/>
      <c r="C55" s="50"/>
      <c r="D55" s="62"/>
      <c r="E55" s="69"/>
      <c r="F55" s="70" t="str">
        <f aca="false">IF(OR($C55="",$D55=""),"",D55*E55)</f>
        <v/>
      </c>
      <c r="G55" s="32"/>
    </row>
    <row r="56" customFormat="false" ht="15" hidden="false" customHeight="false" outlineLevel="0" collapsed="false">
      <c r="A56" s="51"/>
      <c r="B56" s="38"/>
      <c r="C56" s="50"/>
      <c r="D56" s="62"/>
      <c r="E56" s="69"/>
      <c r="F56" s="70" t="str">
        <f aca="false">IF(OR($C56="",$D56=""),"",D56*E56)</f>
        <v/>
      </c>
      <c r="G56" s="32"/>
    </row>
    <row r="57" customFormat="false" ht="15" hidden="false" customHeight="false" outlineLevel="0" collapsed="false">
      <c r="A57" s="51"/>
      <c r="B57" s="38"/>
      <c r="C57" s="50"/>
      <c r="D57" s="62"/>
      <c r="E57" s="69"/>
      <c r="F57" s="70" t="str">
        <f aca="false">IF(OR($C57="",$D57=""),"",D57*E57)</f>
        <v/>
      </c>
      <c r="G57" s="32"/>
    </row>
    <row r="58" customFormat="false" ht="15" hidden="false" customHeight="false" outlineLevel="0" collapsed="false">
      <c r="A58" s="51"/>
      <c r="B58" s="38"/>
      <c r="C58" s="50"/>
      <c r="D58" s="62"/>
      <c r="E58" s="69"/>
      <c r="F58" s="70" t="str">
        <f aca="false">IF(OR($C58="",$D58=""),"",D58*E58)</f>
        <v/>
      </c>
      <c r="G58" s="32"/>
    </row>
    <row r="59" customFormat="false" ht="15" hidden="false" customHeight="false" outlineLevel="0" collapsed="false">
      <c r="A59" s="51"/>
      <c r="B59" s="38"/>
      <c r="C59" s="50"/>
      <c r="D59" s="62"/>
      <c r="E59" s="69"/>
      <c r="F59" s="70" t="str">
        <f aca="false">IF(OR($C59="",$D59=""),"",D59*E59)</f>
        <v/>
      </c>
      <c r="G59" s="32"/>
    </row>
    <row r="60" customFormat="false" ht="15" hidden="false" customHeight="false" outlineLevel="0" collapsed="false">
      <c r="A60" s="51"/>
      <c r="B60" s="38"/>
      <c r="C60" s="50"/>
      <c r="D60" s="62"/>
      <c r="E60" s="69"/>
      <c r="F60" s="70" t="str">
        <f aca="false">IF(OR($C60="",$D60=""),"",D60*E60)</f>
        <v/>
      </c>
      <c r="G60" s="32"/>
    </row>
    <row r="61" customFormat="false" ht="15" hidden="false" customHeight="false" outlineLevel="0" collapsed="false">
      <c r="A61" s="51"/>
      <c r="B61" s="38"/>
      <c r="C61" s="50"/>
      <c r="D61" s="62"/>
      <c r="E61" s="69"/>
      <c r="F61" s="70" t="str">
        <f aca="false">IF(OR($C61="",$D61=""),"",D61*E61)</f>
        <v/>
      </c>
      <c r="G61" s="32"/>
    </row>
    <row r="62" customFormat="false" ht="15" hidden="false" customHeight="false" outlineLevel="0" collapsed="false">
      <c r="A62" s="51"/>
      <c r="B62" s="38"/>
      <c r="C62" s="50"/>
      <c r="D62" s="62"/>
      <c r="E62" s="69"/>
      <c r="F62" s="70" t="str">
        <f aca="false">IF(OR($C62="",$D62=""),"",D62*E62)</f>
        <v/>
      </c>
      <c r="G62" s="32"/>
    </row>
    <row r="63" customFormat="false" ht="15" hidden="false" customHeight="false" outlineLevel="0" collapsed="false">
      <c r="A63" s="51"/>
      <c r="B63" s="38"/>
      <c r="C63" s="50"/>
      <c r="D63" s="62"/>
      <c r="E63" s="69"/>
      <c r="F63" s="70" t="str">
        <f aca="false">IF(OR($C63="",$D63=""),"",D63*E63)</f>
        <v/>
      </c>
      <c r="G63" s="32"/>
    </row>
    <row r="64" customFormat="false" ht="15" hidden="false" customHeight="false" outlineLevel="0" collapsed="false">
      <c r="A64" s="51"/>
      <c r="B64" s="38"/>
      <c r="C64" s="50"/>
      <c r="D64" s="62"/>
      <c r="E64" s="69"/>
      <c r="F64" s="70" t="str">
        <f aca="false">IF(OR($C64="",$D64=""),"",D64*E64)</f>
        <v/>
      </c>
      <c r="G64" s="32"/>
    </row>
    <row r="65" customFormat="false" ht="15" hidden="false" customHeight="false" outlineLevel="0" collapsed="false">
      <c r="A65" s="51"/>
      <c r="B65" s="38"/>
      <c r="C65" s="50"/>
      <c r="D65" s="62"/>
      <c r="E65" s="69"/>
      <c r="F65" s="70" t="str">
        <f aca="false">IF(OR($C65="",$D65=""),"",D65*E65)</f>
        <v/>
      </c>
      <c r="G65" s="32"/>
    </row>
    <row r="66" customFormat="false" ht="15" hidden="false" customHeight="false" outlineLevel="0" collapsed="false">
      <c r="A66" s="51"/>
      <c r="B66" s="38"/>
      <c r="C66" s="50"/>
      <c r="D66" s="62"/>
      <c r="E66" s="69"/>
      <c r="F66" s="70" t="str">
        <f aca="false">IF(OR($C66="",$D66=""),"",D66*E66)</f>
        <v/>
      </c>
      <c r="G66" s="32"/>
    </row>
    <row r="67" customFormat="false" ht="15" hidden="false" customHeight="false" outlineLevel="0" collapsed="false">
      <c r="A67" s="51"/>
      <c r="B67" s="38"/>
      <c r="C67" s="50"/>
      <c r="D67" s="62"/>
      <c r="E67" s="69"/>
      <c r="F67" s="70" t="str">
        <f aca="false">IF(OR($C67="",$D67=""),"",D67*E67)</f>
        <v/>
      </c>
      <c r="G67" s="32"/>
    </row>
    <row r="68" customFormat="false" ht="15" hidden="false" customHeight="false" outlineLevel="0" collapsed="false">
      <c r="A68" s="51"/>
      <c r="B68" s="38"/>
      <c r="C68" s="50"/>
      <c r="D68" s="62"/>
      <c r="E68" s="69"/>
      <c r="F68" s="70" t="str">
        <f aca="false">IF(OR($C68="",$D68=""),"",D68*E68)</f>
        <v/>
      </c>
      <c r="G68" s="32"/>
    </row>
    <row r="69" customFormat="false" ht="15" hidden="false" customHeight="false" outlineLevel="0" collapsed="false">
      <c r="A69" s="51"/>
      <c r="B69" s="38"/>
      <c r="C69" s="50"/>
      <c r="D69" s="62"/>
      <c r="E69" s="69"/>
      <c r="F69" s="70" t="str">
        <f aca="false">IF(OR($C69="",$D69=""),"",D69*E69)</f>
        <v/>
      </c>
      <c r="G69" s="32"/>
    </row>
    <row r="70" customFormat="false" ht="15" hidden="false" customHeight="false" outlineLevel="0" collapsed="false">
      <c r="A70" s="51"/>
      <c r="B70" s="38"/>
      <c r="C70" s="50"/>
      <c r="D70" s="62"/>
      <c r="E70" s="69"/>
      <c r="F70" s="70" t="str">
        <f aca="false">IF(OR($C70="",$D70=""),"",D70*E70)</f>
        <v/>
      </c>
      <c r="G70" s="32"/>
    </row>
    <row r="71" customFormat="false" ht="15" hidden="false" customHeight="false" outlineLevel="0" collapsed="false">
      <c r="A71" s="51"/>
      <c r="B71" s="38"/>
      <c r="C71" s="50"/>
      <c r="D71" s="62"/>
      <c r="E71" s="69"/>
      <c r="F71" s="70" t="str">
        <f aca="false">IF(OR($C71="",$D71=""),"",D71*E71)</f>
        <v/>
      </c>
      <c r="G71" s="32"/>
    </row>
    <row r="72" customFormat="false" ht="15" hidden="false" customHeight="false" outlineLevel="0" collapsed="false">
      <c r="A72" s="51"/>
      <c r="B72" s="38"/>
      <c r="C72" s="50"/>
      <c r="D72" s="62"/>
      <c r="E72" s="69"/>
      <c r="F72" s="70" t="str">
        <f aca="false">IF(OR($C72="",$D72=""),"",D72*E72)</f>
        <v/>
      </c>
      <c r="G72" s="32"/>
    </row>
    <row r="73" customFormat="false" ht="15" hidden="false" customHeight="false" outlineLevel="0" collapsed="false">
      <c r="A73" s="51"/>
      <c r="B73" s="38"/>
      <c r="C73" s="50"/>
      <c r="D73" s="62"/>
      <c r="E73" s="69"/>
      <c r="F73" s="70" t="str">
        <f aca="false">IF(OR($C73="",$D73=""),"",D73*E73)</f>
        <v/>
      </c>
      <c r="G73" s="32"/>
    </row>
    <row r="74" customFormat="false" ht="15" hidden="false" customHeight="false" outlineLevel="0" collapsed="false">
      <c r="A74" s="51"/>
      <c r="B74" s="38"/>
      <c r="C74" s="50"/>
      <c r="D74" s="62"/>
      <c r="E74" s="69"/>
      <c r="F74" s="70" t="str">
        <f aca="false">IF(OR($C74="",$D74=""),"",D74*E74)</f>
        <v/>
      </c>
      <c r="G74" s="32"/>
    </row>
    <row r="75" customFormat="false" ht="15" hidden="false" customHeight="false" outlineLevel="0" collapsed="false">
      <c r="A75" s="51"/>
      <c r="B75" s="38"/>
      <c r="C75" s="50"/>
      <c r="D75" s="62"/>
      <c r="E75" s="69"/>
      <c r="F75" s="70" t="str">
        <f aca="false">IF(OR($C75="",$D75=""),"",D75*E75)</f>
        <v/>
      </c>
      <c r="G75" s="32"/>
    </row>
    <row r="76" customFormat="false" ht="15" hidden="false" customHeight="false" outlineLevel="0" collapsed="false">
      <c r="A76" s="51"/>
      <c r="B76" s="38"/>
      <c r="C76" s="50"/>
      <c r="D76" s="62"/>
      <c r="E76" s="69"/>
      <c r="F76" s="70" t="str">
        <f aca="false">IF(OR($C76="",$D76=""),"",D76*E76)</f>
        <v/>
      </c>
      <c r="G76" s="32"/>
    </row>
    <row r="77" customFormat="false" ht="15" hidden="false" customHeight="false" outlineLevel="0" collapsed="false">
      <c r="A77" s="51"/>
      <c r="B77" s="38"/>
      <c r="C77" s="50"/>
      <c r="D77" s="62"/>
      <c r="E77" s="69"/>
      <c r="F77" s="70" t="str">
        <f aca="false">IF(OR($C77="",$D77=""),"",D77*E77)</f>
        <v/>
      </c>
      <c r="G77" s="32"/>
    </row>
    <row r="78" customFormat="false" ht="15" hidden="false" customHeight="false" outlineLevel="0" collapsed="false">
      <c r="A78" s="51"/>
      <c r="B78" s="38"/>
      <c r="C78" s="50"/>
      <c r="D78" s="62"/>
      <c r="E78" s="69"/>
      <c r="F78" s="70" t="str">
        <f aca="false">IF(OR($C78="",$D78=""),"",D78*E78)</f>
        <v/>
      </c>
      <c r="G78" s="32"/>
    </row>
    <row r="79" customFormat="false" ht="15" hidden="false" customHeight="false" outlineLevel="0" collapsed="false">
      <c r="A79" s="51"/>
      <c r="B79" s="38"/>
      <c r="C79" s="50"/>
      <c r="D79" s="62"/>
      <c r="E79" s="69"/>
      <c r="F79" s="70" t="str">
        <f aca="false">IF(OR($C79="",$D79=""),"",D79*E79)</f>
        <v/>
      </c>
      <c r="G79" s="32"/>
    </row>
    <row r="80" customFormat="false" ht="15" hidden="false" customHeight="false" outlineLevel="0" collapsed="false">
      <c r="A80" s="51"/>
      <c r="B80" s="38"/>
      <c r="C80" s="50"/>
      <c r="D80" s="62"/>
      <c r="E80" s="69"/>
      <c r="F80" s="70" t="str">
        <f aca="false">IF(OR($C80="",$D80=""),"",D80*E80)</f>
        <v/>
      </c>
      <c r="G80" s="32"/>
    </row>
    <row r="81" customFormat="false" ht="15" hidden="false" customHeight="false" outlineLevel="0" collapsed="false">
      <c r="A81" s="51"/>
      <c r="B81" s="38"/>
      <c r="C81" s="50"/>
      <c r="D81" s="62"/>
      <c r="E81" s="69"/>
      <c r="F81" s="70" t="str">
        <f aca="false">IF(OR($C81="",$D81=""),"",D81*E81)</f>
        <v/>
      </c>
      <c r="G81" s="32"/>
    </row>
    <row r="82" customFormat="false" ht="15" hidden="false" customHeight="false" outlineLevel="0" collapsed="false">
      <c r="A82" s="51"/>
      <c r="B82" s="38"/>
      <c r="C82" s="50"/>
      <c r="D82" s="62"/>
      <c r="E82" s="69"/>
      <c r="F82" s="70" t="str">
        <f aca="false">IF(OR($C82="",$D82=""),"",D82*E82)</f>
        <v/>
      </c>
      <c r="G82" s="32"/>
    </row>
    <row r="83" customFormat="false" ht="15" hidden="false" customHeight="false" outlineLevel="0" collapsed="false">
      <c r="A83" s="51"/>
      <c r="B83" s="38"/>
      <c r="C83" s="50"/>
      <c r="D83" s="62"/>
      <c r="E83" s="69"/>
      <c r="F83" s="70" t="str">
        <f aca="false">IF(OR($C83="",$D83=""),"",D83*E83)</f>
        <v/>
      </c>
      <c r="G83" s="32"/>
    </row>
    <row r="84" customFormat="false" ht="15" hidden="false" customHeight="false" outlineLevel="0" collapsed="false">
      <c r="A84" s="51"/>
      <c r="B84" s="38"/>
      <c r="C84" s="50"/>
      <c r="D84" s="62"/>
      <c r="E84" s="69"/>
      <c r="F84" s="70" t="str">
        <f aca="false">IF(OR($C84="",$D84=""),"",D84*E84)</f>
        <v/>
      </c>
      <c r="G84" s="32"/>
    </row>
    <row r="85" customFormat="false" ht="15" hidden="false" customHeight="false" outlineLevel="0" collapsed="false">
      <c r="A85" s="51"/>
      <c r="B85" s="38"/>
      <c r="C85" s="50"/>
      <c r="D85" s="62"/>
      <c r="E85" s="69"/>
      <c r="F85" s="70" t="str">
        <f aca="false">IF(OR($C85="",$D85=""),"",D85*E85)</f>
        <v/>
      </c>
      <c r="G85" s="32"/>
    </row>
    <row r="86" customFormat="false" ht="15" hidden="false" customHeight="false" outlineLevel="0" collapsed="false">
      <c r="A86" s="51"/>
      <c r="B86" s="38"/>
      <c r="C86" s="50"/>
      <c r="D86" s="62"/>
      <c r="E86" s="69"/>
      <c r="F86" s="70" t="str">
        <f aca="false">IF(OR($C86="",$D86=""),"",D86*E86)</f>
        <v/>
      </c>
      <c r="G86" s="32"/>
    </row>
    <row r="87" customFormat="false" ht="15" hidden="false" customHeight="false" outlineLevel="0" collapsed="false">
      <c r="A87" s="51"/>
      <c r="B87" s="38"/>
      <c r="C87" s="50"/>
      <c r="D87" s="62"/>
      <c r="E87" s="69"/>
      <c r="F87" s="70" t="str">
        <f aca="false">IF(OR($C87="",$D87=""),"",D87*E87)</f>
        <v/>
      </c>
      <c r="G87" s="32"/>
    </row>
    <row r="88" customFormat="false" ht="15" hidden="false" customHeight="false" outlineLevel="0" collapsed="false">
      <c r="A88" s="51"/>
      <c r="B88" s="38"/>
      <c r="C88" s="50"/>
      <c r="D88" s="62"/>
      <c r="E88" s="69"/>
      <c r="F88" s="70" t="str">
        <f aca="false">IF(OR($C88="",$D88=""),"",D88*E88)</f>
        <v/>
      </c>
      <c r="G88" s="32"/>
    </row>
    <row r="89" customFormat="false" ht="15" hidden="false" customHeight="false" outlineLevel="0" collapsed="false">
      <c r="A89" s="51"/>
      <c r="B89" s="38"/>
      <c r="C89" s="50"/>
      <c r="D89" s="62"/>
      <c r="E89" s="69"/>
      <c r="F89" s="70" t="str">
        <f aca="false">IF(OR($C89="",$D89=""),"",D89*E89)</f>
        <v/>
      </c>
      <c r="G89" s="32"/>
    </row>
    <row r="90" customFormat="false" ht="15" hidden="false" customHeight="false" outlineLevel="0" collapsed="false">
      <c r="A90" s="51"/>
      <c r="B90" s="38"/>
      <c r="C90" s="50"/>
      <c r="D90" s="62"/>
      <c r="E90" s="69"/>
      <c r="F90" s="70" t="str">
        <f aca="false">IF(OR($C90="",$D90=""),"",D90*E90)</f>
        <v/>
      </c>
      <c r="G90" s="32"/>
    </row>
    <row r="91" customFormat="false" ht="15" hidden="false" customHeight="false" outlineLevel="0" collapsed="false">
      <c r="A91" s="51"/>
      <c r="B91" s="38"/>
      <c r="C91" s="50"/>
      <c r="D91" s="62"/>
      <c r="E91" s="69"/>
      <c r="F91" s="70" t="str">
        <f aca="false">IF(OR($C91="",$D91=""),"",D91*E91)</f>
        <v/>
      </c>
      <c r="G91" s="32"/>
    </row>
    <row r="92" customFormat="false" ht="15" hidden="false" customHeight="false" outlineLevel="0" collapsed="false">
      <c r="A92" s="51"/>
      <c r="B92" s="38"/>
      <c r="C92" s="50"/>
      <c r="D92" s="62"/>
      <c r="E92" s="69"/>
      <c r="F92" s="70" t="str">
        <f aca="false">IF(OR($C92="",$D92=""),"",D92*E92)</f>
        <v/>
      </c>
      <c r="G92" s="32"/>
    </row>
    <row r="93" customFormat="false" ht="15" hidden="false" customHeight="false" outlineLevel="0" collapsed="false">
      <c r="A93" s="51"/>
      <c r="B93" s="38"/>
      <c r="C93" s="50"/>
      <c r="D93" s="62"/>
      <c r="E93" s="69"/>
      <c r="F93" s="70" t="str">
        <f aca="false">IF(OR($C93="",$D93=""),"",D93*E93)</f>
        <v/>
      </c>
      <c r="G93" s="32"/>
    </row>
    <row r="94" customFormat="false" ht="15" hidden="false" customHeight="false" outlineLevel="0" collapsed="false">
      <c r="A94" s="51"/>
      <c r="B94" s="38"/>
      <c r="C94" s="50"/>
      <c r="D94" s="62"/>
      <c r="E94" s="69"/>
      <c r="F94" s="70" t="str">
        <f aca="false">IF(OR($C94="",$D94=""),"",D94*E94)</f>
        <v/>
      </c>
      <c r="G94" s="32"/>
    </row>
    <row r="95" customFormat="false" ht="15" hidden="false" customHeight="false" outlineLevel="0" collapsed="false">
      <c r="A95" s="51"/>
      <c r="B95" s="38"/>
      <c r="C95" s="50"/>
      <c r="D95" s="62"/>
      <c r="E95" s="69"/>
      <c r="F95" s="70" t="str">
        <f aca="false">IF(OR($C95="",$D95=""),"",D95*E95)</f>
        <v/>
      </c>
      <c r="G95" s="32"/>
    </row>
    <row r="96" customFormat="false" ht="15" hidden="false" customHeight="false" outlineLevel="0" collapsed="false">
      <c r="A96" s="51"/>
      <c r="B96" s="38"/>
      <c r="C96" s="50"/>
      <c r="D96" s="62"/>
      <c r="E96" s="69"/>
      <c r="F96" s="70" t="str">
        <f aca="false">IF(OR($C96="",$D96=""),"",D96*E96)</f>
        <v/>
      </c>
      <c r="G96" s="32"/>
    </row>
    <row r="97" customFormat="false" ht="15" hidden="false" customHeight="false" outlineLevel="0" collapsed="false">
      <c r="A97" s="51"/>
      <c r="B97" s="38"/>
      <c r="C97" s="50"/>
      <c r="D97" s="62"/>
      <c r="E97" s="69"/>
      <c r="F97" s="70" t="str">
        <f aca="false">IF(OR($C97="",$D97=""),"",D97*E97)</f>
        <v/>
      </c>
      <c r="G97" s="32"/>
    </row>
    <row r="98" customFormat="false" ht="15" hidden="false" customHeight="false" outlineLevel="0" collapsed="false">
      <c r="A98" s="51"/>
      <c r="B98" s="38"/>
      <c r="C98" s="50"/>
      <c r="D98" s="62"/>
      <c r="E98" s="69"/>
      <c r="F98" s="70" t="str">
        <f aca="false">IF(OR($C98="",$D98=""),"",D98*E98)</f>
        <v/>
      </c>
      <c r="G98" s="32"/>
    </row>
    <row r="99" customFormat="false" ht="15" hidden="false" customHeight="false" outlineLevel="0" collapsed="false">
      <c r="A99" s="51"/>
      <c r="B99" s="38"/>
      <c r="C99" s="50"/>
      <c r="D99" s="62"/>
      <c r="E99" s="69"/>
      <c r="F99" s="70" t="str">
        <f aca="false">IF(OR($C99="",$D99=""),"",D99*E99)</f>
        <v/>
      </c>
      <c r="G99" s="32"/>
    </row>
    <row r="100" customFormat="false" ht="15" hidden="false" customHeight="false" outlineLevel="0" collapsed="false">
      <c r="A100" s="51"/>
      <c r="B100" s="38"/>
      <c r="C100" s="50"/>
      <c r="D100" s="62"/>
      <c r="E100" s="69"/>
      <c r="F100" s="70" t="str">
        <f aca="false">IF(OR($C100="",$D100=""),"",D100*E100)</f>
        <v/>
      </c>
      <c r="G100" s="32"/>
    </row>
    <row r="101" customFormat="false" ht="15" hidden="false" customHeight="false" outlineLevel="0" collapsed="false">
      <c r="A101" s="51"/>
      <c r="B101" s="38"/>
      <c r="C101" s="50"/>
      <c r="D101" s="62"/>
      <c r="E101" s="69"/>
      <c r="F101" s="70" t="str">
        <f aca="false">IF(OR($C101="",$D101=""),"",D101*E101)</f>
        <v/>
      </c>
      <c r="G101" s="32"/>
    </row>
    <row r="102" customFormat="false" ht="15" hidden="false" customHeight="false" outlineLevel="0" collapsed="false">
      <c r="A102" s="51"/>
      <c r="B102" s="38"/>
      <c r="C102" s="50"/>
      <c r="D102" s="62"/>
      <c r="E102" s="69"/>
      <c r="F102" s="70" t="str">
        <f aca="false">IF(OR($C102="",$D102=""),"",D102*E102)</f>
        <v/>
      </c>
      <c r="G102" s="32"/>
    </row>
    <row r="103" customFormat="false" ht="15" hidden="false" customHeight="false" outlineLevel="0" collapsed="false">
      <c r="A103" s="51"/>
      <c r="B103" s="38"/>
      <c r="C103" s="50"/>
      <c r="D103" s="62"/>
      <c r="E103" s="69"/>
      <c r="F103" s="70" t="str">
        <f aca="false">IF(OR($C103="",$D103=""),"",D103*E103)</f>
        <v/>
      </c>
      <c r="G103" s="32"/>
    </row>
    <row r="104" customFormat="false" ht="15" hidden="false" customHeight="false" outlineLevel="0" collapsed="false">
      <c r="A104" s="51"/>
      <c r="B104" s="38"/>
      <c r="C104" s="50"/>
      <c r="D104" s="62"/>
      <c r="E104" s="69"/>
      <c r="F104" s="70" t="str">
        <f aca="false">IF(OR($C104="",$D104=""),"",D104*E104)</f>
        <v/>
      </c>
      <c r="G104" s="32"/>
    </row>
    <row r="105" customFormat="false" ht="15" hidden="false" customHeight="false" outlineLevel="0" collapsed="false">
      <c r="A105" s="51"/>
      <c r="B105" s="38"/>
      <c r="C105" s="50"/>
      <c r="D105" s="62"/>
      <c r="E105" s="69"/>
      <c r="F105" s="70" t="str">
        <f aca="false">IF(OR($C105="",$D105=""),"",D105*E105)</f>
        <v/>
      </c>
      <c r="G105" s="32"/>
    </row>
    <row r="106" customFormat="false" ht="15" hidden="false" customHeight="false" outlineLevel="0" collapsed="false">
      <c r="A106" s="51"/>
      <c r="B106" s="38"/>
      <c r="C106" s="50"/>
      <c r="D106" s="62"/>
      <c r="E106" s="69"/>
      <c r="F106" s="70" t="str">
        <f aca="false">IF(OR($C106="",$D106=""),"",D106*E106)</f>
        <v/>
      </c>
      <c r="G106" s="32"/>
    </row>
    <row r="107" customFormat="false" ht="15" hidden="false" customHeight="false" outlineLevel="0" collapsed="false">
      <c r="A107" s="51"/>
      <c r="B107" s="38"/>
      <c r="C107" s="50"/>
      <c r="D107" s="62"/>
      <c r="E107" s="69"/>
      <c r="F107" s="70" t="str">
        <f aca="false">IF(OR($C107="",$D107=""),"",D107*E107)</f>
        <v/>
      </c>
      <c r="G107" s="32"/>
    </row>
    <row r="108" customFormat="false" ht="15" hidden="false" customHeight="false" outlineLevel="0" collapsed="false">
      <c r="A108" s="51"/>
      <c r="B108" s="38"/>
      <c r="C108" s="50"/>
      <c r="D108" s="62"/>
      <c r="E108" s="69"/>
      <c r="F108" s="70" t="str">
        <f aca="false">IF(OR($C108="",$D108=""),"",D108*E108)</f>
        <v/>
      </c>
      <c r="G108" s="32"/>
    </row>
    <row r="109" customFormat="false" ht="15" hidden="false" customHeight="false" outlineLevel="0" collapsed="false">
      <c r="A109" s="51"/>
      <c r="B109" s="38"/>
      <c r="C109" s="50"/>
      <c r="D109" s="62"/>
      <c r="E109" s="69"/>
      <c r="F109" s="70" t="str">
        <f aca="false">IF(OR($C109="",$D109=""),"",D109*E109)</f>
        <v/>
      </c>
      <c r="G109" s="32"/>
    </row>
    <row r="110" customFormat="false" ht="15" hidden="false" customHeight="false" outlineLevel="0" collapsed="false">
      <c r="A110" s="51"/>
      <c r="B110" s="38"/>
      <c r="C110" s="50"/>
      <c r="D110" s="62"/>
      <c r="E110" s="69"/>
      <c r="F110" s="70" t="str">
        <f aca="false">IF(OR($C110="",$D110=""),"",D110*E110)</f>
        <v/>
      </c>
      <c r="G110" s="32"/>
    </row>
    <row r="111" customFormat="false" ht="15" hidden="false" customHeight="false" outlineLevel="0" collapsed="false">
      <c r="A111" s="51"/>
      <c r="B111" s="38"/>
      <c r="C111" s="50"/>
      <c r="D111" s="62"/>
      <c r="E111" s="69"/>
      <c r="F111" s="70" t="str">
        <f aca="false">IF(OR($C111="",$D111=""),"",D111*E111)</f>
        <v/>
      </c>
      <c r="G111" s="32"/>
    </row>
    <row r="112" customFormat="false" ht="15" hidden="false" customHeight="false" outlineLevel="0" collapsed="false">
      <c r="A112" s="51"/>
      <c r="B112" s="38"/>
      <c r="C112" s="50"/>
      <c r="D112" s="62"/>
      <c r="E112" s="69"/>
      <c r="F112" s="70" t="str">
        <f aca="false">IF(OR($C112="",$D112=""),"",D112*E112)</f>
        <v/>
      </c>
      <c r="G112" s="32"/>
    </row>
    <row r="113" customFormat="false" ht="15" hidden="false" customHeight="false" outlineLevel="0" collapsed="false">
      <c r="A113" s="51"/>
      <c r="B113" s="38"/>
      <c r="C113" s="50"/>
      <c r="D113" s="62"/>
      <c r="E113" s="69"/>
      <c r="F113" s="70" t="str">
        <f aca="false">IF(OR($C113="",$D113=""),"",D113*E113)</f>
        <v/>
      </c>
      <c r="G113" s="32"/>
    </row>
    <row r="114" customFormat="false" ht="15" hidden="false" customHeight="false" outlineLevel="0" collapsed="false">
      <c r="A114" s="51"/>
      <c r="B114" s="38"/>
      <c r="C114" s="50"/>
      <c r="D114" s="62"/>
      <c r="E114" s="69"/>
      <c r="F114" s="70" t="str">
        <f aca="false">IF(OR($C114="",$D114=""),"",D114*E114)</f>
        <v/>
      </c>
      <c r="G114" s="32"/>
    </row>
    <row r="115" customFormat="false" ht="15" hidden="false" customHeight="false" outlineLevel="0" collapsed="false">
      <c r="A115" s="51"/>
      <c r="B115" s="38"/>
      <c r="C115" s="50"/>
      <c r="D115" s="62"/>
      <c r="E115" s="69"/>
      <c r="F115" s="70" t="str">
        <f aca="false">IF(OR($C115="",$D115=""),"",D115*E115)</f>
        <v/>
      </c>
      <c r="G115" s="32"/>
    </row>
    <row r="116" customFormat="false" ht="15" hidden="false" customHeight="false" outlineLevel="0" collapsed="false">
      <c r="A116" s="51"/>
      <c r="B116" s="38"/>
      <c r="C116" s="50"/>
      <c r="D116" s="62"/>
      <c r="E116" s="69"/>
      <c r="F116" s="70" t="str">
        <f aca="false">IF(OR($C116="",$D116=""),"",D116*E116)</f>
        <v/>
      </c>
      <c r="G116" s="32"/>
    </row>
    <row r="117" customFormat="false" ht="15" hidden="false" customHeight="false" outlineLevel="0" collapsed="false">
      <c r="A117" s="51"/>
      <c r="B117" s="38"/>
      <c r="C117" s="50"/>
      <c r="D117" s="62"/>
      <c r="E117" s="69"/>
      <c r="F117" s="70" t="str">
        <f aca="false">IF(OR($C117="",$D117=""),"",D117*E117)</f>
        <v/>
      </c>
      <c r="G117" s="32"/>
    </row>
    <row r="118" customFormat="false" ht="15" hidden="false" customHeight="false" outlineLevel="0" collapsed="false">
      <c r="A118" s="51"/>
      <c r="B118" s="38"/>
      <c r="C118" s="50"/>
      <c r="D118" s="62"/>
      <c r="E118" s="69"/>
      <c r="F118" s="70" t="str">
        <f aca="false">IF(OR($C118="",$D118=""),"",D118*E118)</f>
        <v/>
      </c>
      <c r="G118" s="32"/>
    </row>
    <row r="119" customFormat="false" ht="15" hidden="false" customHeight="false" outlineLevel="0" collapsed="false">
      <c r="A119" s="51"/>
      <c r="B119" s="38"/>
      <c r="C119" s="50"/>
      <c r="D119" s="62"/>
      <c r="E119" s="69"/>
      <c r="F119" s="70" t="str">
        <f aca="false">IF(OR($C119="",$D119=""),"",D119*E119)</f>
        <v/>
      </c>
      <c r="G119" s="32"/>
    </row>
    <row r="120" customFormat="false" ht="15" hidden="false" customHeight="false" outlineLevel="0" collapsed="false">
      <c r="A120" s="51"/>
      <c r="B120" s="38"/>
      <c r="C120" s="50"/>
      <c r="D120" s="62"/>
      <c r="E120" s="69"/>
      <c r="F120" s="70" t="str">
        <f aca="false">IF(OR($C120="",$D120=""),"",D120*E120)</f>
        <v/>
      </c>
      <c r="G120" s="32"/>
    </row>
    <row r="121" customFormat="false" ht="15" hidden="false" customHeight="false" outlineLevel="0" collapsed="false">
      <c r="A121" s="51"/>
      <c r="B121" s="38"/>
      <c r="C121" s="50"/>
      <c r="D121" s="62"/>
      <c r="E121" s="69"/>
      <c r="F121" s="70" t="str">
        <f aca="false">IF(OR($C121="",$D121=""),"",D121*E121)</f>
        <v/>
      </c>
      <c r="G121" s="32"/>
    </row>
    <row r="122" customFormat="false" ht="15" hidden="false" customHeight="false" outlineLevel="0" collapsed="false">
      <c r="A122" s="51"/>
      <c r="B122" s="38"/>
      <c r="C122" s="50"/>
      <c r="D122" s="62"/>
      <c r="E122" s="69"/>
      <c r="F122" s="70" t="str">
        <f aca="false">IF(OR($C122="",$D122=""),"",D122*E122)</f>
        <v/>
      </c>
      <c r="G122" s="32"/>
    </row>
    <row r="123" customFormat="false" ht="15" hidden="false" customHeight="false" outlineLevel="0" collapsed="false">
      <c r="A123" s="51"/>
      <c r="B123" s="38"/>
      <c r="C123" s="50"/>
      <c r="D123" s="62"/>
      <c r="E123" s="69"/>
      <c r="F123" s="70" t="str">
        <f aca="false">IF(OR($C123="",$D123=""),"",D123*E123)</f>
        <v/>
      </c>
      <c r="G123" s="32"/>
    </row>
    <row r="124" customFormat="false" ht="15" hidden="false" customHeight="false" outlineLevel="0" collapsed="false">
      <c r="A124" s="51"/>
      <c r="B124" s="38"/>
      <c r="C124" s="50"/>
      <c r="D124" s="62"/>
      <c r="E124" s="69"/>
      <c r="F124" s="70" t="str">
        <f aca="false">IF(OR($C124="",$D124=""),"",D124*E124)</f>
        <v/>
      </c>
      <c r="G124" s="32"/>
    </row>
    <row r="125" customFormat="false" ht="15" hidden="false" customHeight="false" outlineLevel="0" collapsed="false">
      <c r="A125" s="51"/>
      <c r="B125" s="38"/>
      <c r="C125" s="50"/>
      <c r="D125" s="62"/>
      <c r="E125" s="69"/>
      <c r="F125" s="70" t="str">
        <f aca="false">IF(OR($C125="",$D125=""),"",D125*E125)</f>
        <v/>
      </c>
      <c r="G125" s="32"/>
    </row>
    <row r="126" customFormat="false" ht="15" hidden="false" customHeight="false" outlineLevel="0" collapsed="false">
      <c r="A126" s="51"/>
      <c r="B126" s="38"/>
      <c r="C126" s="50"/>
      <c r="D126" s="62"/>
      <c r="E126" s="69"/>
      <c r="F126" s="70" t="str">
        <f aca="false">IF(OR($C126="",$D126=""),"",D126*E126)</f>
        <v/>
      </c>
      <c r="G126" s="32"/>
    </row>
    <row r="127" customFormat="false" ht="15" hidden="false" customHeight="false" outlineLevel="0" collapsed="false">
      <c r="A127" s="51"/>
      <c r="B127" s="38"/>
      <c r="C127" s="50"/>
      <c r="D127" s="62"/>
      <c r="E127" s="69"/>
      <c r="F127" s="70" t="str">
        <f aca="false">IF(OR($C127="",$D127=""),"",D127*E127)</f>
        <v/>
      </c>
      <c r="G127" s="32"/>
    </row>
    <row r="128" customFormat="false" ht="15" hidden="false" customHeight="false" outlineLevel="0" collapsed="false">
      <c r="A128" s="51"/>
      <c r="B128" s="38"/>
      <c r="C128" s="50"/>
      <c r="D128" s="62"/>
      <c r="E128" s="69"/>
      <c r="F128" s="70" t="str">
        <f aca="false">IF(OR($C128="",$D128=""),"",D128*E128)</f>
        <v/>
      </c>
      <c r="G128" s="32"/>
    </row>
    <row r="129" customFormat="false" ht="15" hidden="false" customHeight="false" outlineLevel="0" collapsed="false">
      <c r="A129" s="51"/>
      <c r="B129" s="38"/>
      <c r="C129" s="50"/>
      <c r="D129" s="62"/>
      <c r="E129" s="69"/>
      <c r="F129" s="70" t="str">
        <f aca="false">IF(OR($C129="",$D129=""),"",D129*E129)</f>
        <v/>
      </c>
      <c r="G129" s="32"/>
    </row>
    <row r="130" customFormat="false" ht="15" hidden="false" customHeight="false" outlineLevel="0" collapsed="false">
      <c r="A130" s="51"/>
      <c r="B130" s="38"/>
      <c r="C130" s="50"/>
      <c r="D130" s="62"/>
      <c r="E130" s="69"/>
      <c r="F130" s="70" t="str">
        <f aca="false">IF(OR($C130="",$D130=""),"",D130*E130)</f>
        <v/>
      </c>
      <c r="G130" s="32"/>
    </row>
    <row r="131" customFormat="false" ht="15" hidden="false" customHeight="false" outlineLevel="0" collapsed="false">
      <c r="A131" s="51"/>
      <c r="B131" s="38"/>
      <c r="C131" s="50"/>
      <c r="D131" s="62"/>
      <c r="E131" s="69"/>
      <c r="F131" s="70" t="str">
        <f aca="false">IF(OR($C131="",$D131=""),"",D131*E131)</f>
        <v/>
      </c>
      <c r="G131" s="32"/>
    </row>
    <row r="132" customFormat="false" ht="15" hidden="false" customHeight="false" outlineLevel="0" collapsed="false">
      <c r="A132" s="51"/>
      <c r="B132" s="38"/>
      <c r="C132" s="50"/>
      <c r="D132" s="62"/>
      <c r="E132" s="69"/>
      <c r="F132" s="70" t="str">
        <f aca="false">IF(OR($C132="",$D132=""),"",D132*E132)</f>
        <v/>
      </c>
      <c r="G132" s="32"/>
    </row>
    <row r="133" customFormat="false" ht="15" hidden="false" customHeight="false" outlineLevel="0" collapsed="false">
      <c r="A133" s="51"/>
      <c r="B133" s="38"/>
      <c r="C133" s="50"/>
      <c r="D133" s="62"/>
      <c r="E133" s="69"/>
      <c r="F133" s="70" t="str">
        <f aca="false">IF(OR($C133="",$D133=""),"",D133*E133)</f>
        <v/>
      </c>
      <c r="G133" s="32"/>
    </row>
    <row r="134" customFormat="false" ht="15" hidden="false" customHeight="false" outlineLevel="0" collapsed="false">
      <c r="A134" s="51"/>
      <c r="B134" s="38"/>
      <c r="C134" s="50"/>
      <c r="D134" s="62"/>
      <c r="E134" s="69"/>
      <c r="F134" s="70" t="str">
        <f aca="false">IF(OR($C134="",$D134=""),"",D134*E134)</f>
        <v/>
      </c>
      <c r="G134" s="32"/>
    </row>
    <row r="135" customFormat="false" ht="15" hidden="false" customHeight="false" outlineLevel="0" collapsed="false">
      <c r="A135" s="51"/>
      <c r="B135" s="38"/>
      <c r="C135" s="50"/>
      <c r="D135" s="62"/>
      <c r="E135" s="69"/>
      <c r="F135" s="70" t="str">
        <f aca="false">IF(OR($C135="",$D135=""),"",D135*E135)</f>
        <v/>
      </c>
      <c r="G135" s="32"/>
    </row>
    <row r="136" customFormat="false" ht="15" hidden="false" customHeight="false" outlineLevel="0" collapsed="false">
      <c r="A136" s="51"/>
      <c r="B136" s="38"/>
      <c r="C136" s="50"/>
      <c r="D136" s="62"/>
      <c r="E136" s="69"/>
      <c r="F136" s="70" t="str">
        <f aca="false">IF(OR($C136="",$D136=""),"",D136*E136)</f>
        <v/>
      </c>
      <c r="G136" s="32"/>
    </row>
    <row r="137" customFormat="false" ht="15" hidden="false" customHeight="false" outlineLevel="0" collapsed="false">
      <c r="A137" s="51"/>
      <c r="B137" s="38"/>
      <c r="C137" s="50"/>
      <c r="D137" s="62"/>
      <c r="E137" s="69"/>
      <c r="F137" s="70" t="str">
        <f aca="false">IF(OR($C137="",$D137=""),"",D137*E137)</f>
        <v/>
      </c>
      <c r="G137" s="32"/>
    </row>
    <row r="138" customFormat="false" ht="15" hidden="false" customHeight="false" outlineLevel="0" collapsed="false">
      <c r="A138" s="51"/>
      <c r="B138" s="38"/>
      <c r="C138" s="50"/>
      <c r="D138" s="62"/>
      <c r="E138" s="69"/>
      <c r="F138" s="70" t="str">
        <f aca="false">IF(OR($C138="",$D138=""),"",D138*E138)</f>
        <v/>
      </c>
      <c r="G138" s="32"/>
    </row>
    <row r="139" customFormat="false" ht="15" hidden="false" customHeight="false" outlineLevel="0" collapsed="false">
      <c r="A139" s="51"/>
      <c r="B139" s="38"/>
      <c r="C139" s="50"/>
      <c r="D139" s="62"/>
      <c r="E139" s="69"/>
      <c r="F139" s="70" t="str">
        <f aca="false">IF(OR($C139="",$D139=""),"",D139*E139)</f>
        <v/>
      </c>
      <c r="G139" s="32"/>
    </row>
    <row r="140" customFormat="false" ht="15" hidden="false" customHeight="false" outlineLevel="0" collapsed="false">
      <c r="A140" s="51"/>
      <c r="B140" s="38"/>
      <c r="C140" s="50"/>
      <c r="D140" s="62"/>
      <c r="E140" s="69"/>
      <c r="F140" s="70" t="str">
        <f aca="false">IF(OR($C140="",$D140=""),"",D140*E140)</f>
        <v/>
      </c>
      <c r="G140" s="32"/>
    </row>
    <row r="141" customFormat="false" ht="15" hidden="false" customHeight="false" outlineLevel="0" collapsed="false">
      <c r="A141" s="51"/>
      <c r="B141" s="38"/>
      <c r="C141" s="50"/>
      <c r="D141" s="62"/>
      <c r="E141" s="69"/>
      <c r="F141" s="70" t="str">
        <f aca="false">IF(OR($C141="",$D141=""),"",D141*E141)</f>
        <v/>
      </c>
      <c r="G141" s="32"/>
    </row>
    <row r="142" customFormat="false" ht="15" hidden="false" customHeight="false" outlineLevel="0" collapsed="false">
      <c r="A142" s="51"/>
      <c r="B142" s="38"/>
      <c r="C142" s="50"/>
      <c r="D142" s="62"/>
      <c r="E142" s="69"/>
      <c r="F142" s="70" t="str">
        <f aca="false">IF(OR($C142="",$D142=""),"",D142*E142)</f>
        <v/>
      </c>
      <c r="G142" s="32"/>
    </row>
    <row r="143" customFormat="false" ht="15" hidden="false" customHeight="false" outlineLevel="0" collapsed="false">
      <c r="A143" s="51"/>
      <c r="B143" s="38"/>
      <c r="C143" s="50"/>
      <c r="D143" s="62"/>
      <c r="E143" s="69"/>
      <c r="F143" s="70" t="str">
        <f aca="false">IF(OR($C143="",$D143=""),"",D143*E143)</f>
        <v/>
      </c>
      <c r="G143" s="32"/>
    </row>
    <row r="144" customFormat="false" ht="15" hidden="false" customHeight="false" outlineLevel="0" collapsed="false">
      <c r="A144" s="51"/>
      <c r="B144" s="38"/>
      <c r="C144" s="50"/>
      <c r="D144" s="62"/>
      <c r="E144" s="69"/>
      <c r="F144" s="70" t="str">
        <f aca="false">IF(OR($C144="",$D144=""),"",D144*E144)</f>
        <v/>
      </c>
      <c r="G144" s="32"/>
    </row>
    <row r="145" customFormat="false" ht="15" hidden="false" customHeight="false" outlineLevel="0" collapsed="false">
      <c r="A145" s="51"/>
      <c r="B145" s="38"/>
      <c r="C145" s="50"/>
      <c r="D145" s="62"/>
      <c r="E145" s="69"/>
      <c r="F145" s="70" t="str">
        <f aca="false">IF(OR($C145="",$D145=""),"",D145*E145)</f>
        <v/>
      </c>
      <c r="G145" s="32"/>
    </row>
    <row r="146" customFormat="false" ht="15" hidden="false" customHeight="false" outlineLevel="0" collapsed="false">
      <c r="A146" s="51"/>
      <c r="B146" s="38"/>
      <c r="C146" s="50"/>
      <c r="D146" s="62"/>
      <c r="E146" s="69"/>
      <c r="F146" s="70" t="str">
        <f aca="false">IF(OR($C146="",$D146=""),"",D146*E146)</f>
        <v/>
      </c>
      <c r="G146" s="32"/>
    </row>
    <row r="147" customFormat="false" ht="15" hidden="false" customHeight="false" outlineLevel="0" collapsed="false">
      <c r="A147" s="51"/>
      <c r="B147" s="38"/>
      <c r="C147" s="50"/>
      <c r="D147" s="62"/>
      <c r="E147" s="69"/>
      <c r="F147" s="70" t="str">
        <f aca="false">IF(OR($C147="",$D147=""),"",D147*E147)</f>
        <v/>
      </c>
      <c r="G147" s="32"/>
    </row>
    <row r="148" customFormat="false" ht="15" hidden="false" customHeight="false" outlineLevel="0" collapsed="false">
      <c r="A148" s="51"/>
      <c r="B148" s="38"/>
      <c r="C148" s="50"/>
      <c r="D148" s="62"/>
      <c r="E148" s="69"/>
      <c r="F148" s="70" t="str">
        <f aca="false">IF(OR($C148="",$D148=""),"",D148*E148)</f>
        <v/>
      </c>
      <c r="G148" s="32"/>
    </row>
    <row r="149" customFormat="false" ht="15" hidden="false" customHeight="false" outlineLevel="0" collapsed="false">
      <c r="A149" s="51"/>
      <c r="B149" s="38"/>
      <c r="C149" s="50"/>
      <c r="D149" s="62"/>
      <c r="E149" s="69"/>
      <c r="F149" s="70" t="str">
        <f aca="false">IF(OR($C149="",$D149=""),"",D149*E149)</f>
        <v/>
      </c>
      <c r="G149" s="32"/>
    </row>
    <row r="150" customFormat="false" ht="15" hidden="false" customHeight="false" outlineLevel="0" collapsed="false">
      <c r="A150" s="51"/>
      <c r="B150" s="38"/>
      <c r="C150" s="50"/>
      <c r="D150" s="62"/>
      <c r="E150" s="69"/>
      <c r="F150" s="70" t="str">
        <f aca="false">IF(OR($C150="",$D150=""),"",D150*E150)</f>
        <v/>
      </c>
      <c r="G150" s="32"/>
    </row>
    <row r="151" customFormat="false" ht="15" hidden="false" customHeight="false" outlineLevel="0" collapsed="false">
      <c r="A151" s="51"/>
      <c r="B151" s="38"/>
      <c r="C151" s="50"/>
      <c r="D151" s="62"/>
      <c r="E151" s="69"/>
      <c r="F151" s="70" t="str">
        <f aca="false">IF(OR($C151="",$D151=""),"",D151*E151)</f>
        <v/>
      </c>
      <c r="G151" s="32"/>
    </row>
    <row r="152" customFormat="false" ht="15" hidden="false" customHeight="false" outlineLevel="0" collapsed="false">
      <c r="A152" s="51"/>
      <c r="B152" s="38"/>
      <c r="C152" s="50"/>
      <c r="D152" s="62"/>
      <c r="E152" s="69"/>
      <c r="F152" s="70" t="str">
        <f aca="false">IF(OR($C152="",$D152=""),"",D152*E152)</f>
        <v/>
      </c>
      <c r="G152" s="32"/>
    </row>
    <row r="153" customFormat="false" ht="15" hidden="false" customHeight="false" outlineLevel="0" collapsed="false">
      <c r="A153" s="51"/>
      <c r="B153" s="38"/>
      <c r="C153" s="50"/>
      <c r="D153" s="62"/>
      <c r="E153" s="69"/>
      <c r="F153" s="70" t="str">
        <f aca="false">IF(OR($C153="",$D153=""),"",D153*E153)</f>
        <v/>
      </c>
      <c r="G153" s="32"/>
    </row>
    <row r="154" customFormat="false" ht="15" hidden="false" customHeight="false" outlineLevel="0" collapsed="false">
      <c r="A154" s="51"/>
      <c r="B154" s="38"/>
      <c r="C154" s="50"/>
      <c r="D154" s="62"/>
      <c r="E154" s="69"/>
      <c r="F154" s="70" t="str">
        <f aca="false">IF(OR($C154="",$D154=""),"",D154*E154)</f>
        <v/>
      </c>
      <c r="G154" s="32"/>
    </row>
    <row r="155" customFormat="false" ht="15" hidden="false" customHeight="false" outlineLevel="0" collapsed="false">
      <c r="A155" s="51"/>
      <c r="B155" s="38"/>
      <c r="C155" s="50"/>
      <c r="D155" s="62"/>
      <c r="E155" s="69"/>
      <c r="F155" s="70" t="str">
        <f aca="false">IF(OR($C155="",$D155=""),"",D155*E155)</f>
        <v/>
      </c>
      <c r="G155" s="32"/>
    </row>
    <row r="156" customFormat="false" ht="15" hidden="false" customHeight="false" outlineLevel="0" collapsed="false">
      <c r="A156" s="51"/>
      <c r="B156" s="38"/>
      <c r="C156" s="50"/>
      <c r="D156" s="62"/>
      <c r="E156" s="69"/>
      <c r="F156" s="70" t="str">
        <f aca="false">IF(OR($C156="",$D156=""),"",D156*E156)</f>
        <v/>
      </c>
      <c r="G156" s="32"/>
    </row>
    <row r="157" customFormat="false" ht="15" hidden="false" customHeight="false" outlineLevel="0" collapsed="false">
      <c r="A157" s="51"/>
      <c r="B157" s="38"/>
      <c r="C157" s="50"/>
      <c r="D157" s="62"/>
      <c r="E157" s="69"/>
      <c r="F157" s="70" t="str">
        <f aca="false">IF(OR($C157="",$D157=""),"",D157*E157)</f>
        <v/>
      </c>
      <c r="G157" s="32"/>
    </row>
    <row r="158" customFormat="false" ht="15" hidden="false" customHeight="false" outlineLevel="0" collapsed="false">
      <c r="A158" s="51"/>
      <c r="B158" s="38"/>
      <c r="C158" s="50"/>
      <c r="D158" s="62"/>
      <c r="E158" s="69"/>
      <c r="F158" s="70" t="str">
        <f aca="false">IF(OR($C158="",$D158=""),"",D158*E158)</f>
        <v/>
      </c>
      <c r="G158" s="32"/>
    </row>
    <row r="159" customFormat="false" ht="15" hidden="false" customHeight="false" outlineLevel="0" collapsed="false">
      <c r="A159" s="51"/>
      <c r="B159" s="38"/>
      <c r="C159" s="50"/>
      <c r="D159" s="62"/>
      <c r="E159" s="69"/>
      <c r="F159" s="70" t="str">
        <f aca="false">IF(OR($C159="",$D159=""),"",D159*E159)</f>
        <v/>
      </c>
      <c r="G159" s="32"/>
    </row>
    <row r="160" customFormat="false" ht="15" hidden="false" customHeight="false" outlineLevel="0" collapsed="false">
      <c r="A160" s="51"/>
      <c r="B160" s="38"/>
      <c r="C160" s="50"/>
      <c r="D160" s="62"/>
      <c r="E160" s="69"/>
      <c r="F160" s="70" t="str">
        <f aca="false">IF(OR($C160="",$D160=""),"",D160*E160)</f>
        <v/>
      </c>
      <c r="G160" s="32"/>
    </row>
    <row r="161" customFormat="false" ht="15" hidden="false" customHeight="false" outlineLevel="0" collapsed="false">
      <c r="A161" s="51"/>
      <c r="B161" s="38"/>
      <c r="C161" s="50"/>
      <c r="D161" s="62"/>
      <c r="E161" s="69"/>
      <c r="F161" s="70" t="str">
        <f aca="false">IF(OR($C161="",$D161=""),"",D161*E161)</f>
        <v/>
      </c>
      <c r="G161" s="32"/>
    </row>
    <row r="162" customFormat="false" ht="15" hidden="false" customHeight="false" outlineLevel="0" collapsed="false">
      <c r="A162" s="51"/>
      <c r="B162" s="38"/>
      <c r="C162" s="50"/>
      <c r="D162" s="62"/>
      <c r="E162" s="69"/>
      <c r="F162" s="70" t="str">
        <f aca="false">IF(OR($C162="",$D162=""),"",D162*E162)</f>
        <v/>
      </c>
      <c r="G162" s="32"/>
    </row>
    <row r="163" customFormat="false" ht="15" hidden="false" customHeight="false" outlineLevel="0" collapsed="false">
      <c r="A163" s="51"/>
      <c r="B163" s="38"/>
      <c r="C163" s="50"/>
      <c r="D163" s="62"/>
      <c r="E163" s="69"/>
      <c r="F163" s="70" t="str">
        <f aca="false">IF(OR($C163="",$D163=""),"",D163*E163)</f>
        <v/>
      </c>
      <c r="G163" s="32"/>
    </row>
    <row r="164" customFormat="false" ht="15" hidden="false" customHeight="false" outlineLevel="0" collapsed="false">
      <c r="A164" s="51"/>
      <c r="B164" s="38"/>
      <c r="C164" s="50"/>
      <c r="D164" s="62"/>
      <c r="E164" s="69"/>
      <c r="F164" s="70" t="str">
        <f aca="false">IF(OR($C164="",$D164=""),"",D164*E164)</f>
        <v/>
      </c>
      <c r="G164" s="32"/>
    </row>
    <row r="165" customFormat="false" ht="15" hidden="false" customHeight="false" outlineLevel="0" collapsed="false">
      <c r="A165" s="51"/>
      <c r="B165" s="38"/>
      <c r="C165" s="50"/>
      <c r="D165" s="62"/>
      <c r="E165" s="69"/>
      <c r="F165" s="70" t="str">
        <f aca="false">IF(OR($C165="",$D165=""),"",D165*E165)</f>
        <v/>
      </c>
      <c r="G165" s="32"/>
    </row>
    <row r="166" customFormat="false" ht="15" hidden="false" customHeight="false" outlineLevel="0" collapsed="false">
      <c r="A166" s="51"/>
      <c r="B166" s="38"/>
      <c r="C166" s="50"/>
      <c r="D166" s="62"/>
      <c r="E166" s="69"/>
      <c r="F166" s="70" t="str">
        <f aca="false">IF(OR($C166="",$D166=""),"",D166*E166)</f>
        <v/>
      </c>
      <c r="G166" s="32"/>
    </row>
    <row r="167" customFormat="false" ht="15" hidden="false" customHeight="false" outlineLevel="0" collapsed="false">
      <c r="A167" s="51"/>
      <c r="B167" s="38"/>
      <c r="C167" s="50"/>
      <c r="D167" s="62"/>
      <c r="E167" s="69"/>
      <c r="F167" s="70" t="str">
        <f aca="false">IF(OR($C167="",$D167=""),"",D167*E167)</f>
        <v/>
      </c>
      <c r="G167" s="32"/>
    </row>
    <row r="168" customFormat="false" ht="15" hidden="false" customHeight="false" outlineLevel="0" collapsed="false">
      <c r="A168" s="51"/>
      <c r="B168" s="38"/>
      <c r="C168" s="50"/>
      <c r="D168" s="62"/>
      <c r="E168" s="69"/>
      <c r="F168" s="70" t="str">
        <f aca="false">IF(OR($C168="",$D168=""),"",D168*E168)</f>
        <v/>
      </c>
      <c r="G168" s="32"/>
    </row>
    <row r="169" customFormat="false" ht="15" hidden="false" customHeight="false" outlineLevel="0" collapsed="false">
      <c r="A169" s="51"/>
      <c r="B169" s="38"/>
      <c r="C169" s="50"/>
      <c r="D169" s="62"/>
      <c r="E169" s="69"/>
      <c r="F169" s="70" t="str">
        <f aca="false">IF(OR($C169="",$D169=""),"",D169*E169)</f>
        <v/>
      </c>
      <c r="G169" s="32"/>
    </row>
    <row r="170" customFormat="false" ht="15" hidden="false" customHeight="false" outlineLevel="0" collapsed="false">
      <c r="A170" s="51"/>
      <c r="B170" s="38"/>
      <c r="C170" s="50"/>
      <c r="D170" s="62"/>
      <c r="E170" s="69"/>
      <c r="F170" s="70" t="str">
        <f aca="false">IF(OR($C170="",$D170=""),"",D170*E170)</f>
        <v/>
      </c>
      <c r="G170" s="32"/>
    </row>
    <row r="171" customFormat="false" ht="15" hidden="false" customHeight="false" outlineLevel="0" collapsed="false">
      <c r="A171" s="51"/>
      <c r="B171" s="38"/>
      <c r="C171" s="50"/>
      <c r="D171" s="62"/>
      <c r="E171" s="69"/>
      <c r="F171" s="70" t="str">
        <f aca="false">IF(OR($C171="",$D171=""),"",D171*E171)</f>
        <v/>
      </c>
      <c r="G171" s="32"/>
    </row>
    <row r="172" customFormat="false" ht="15" hidden="false" customHeight="false" outlineLevel="0" collapsed="false">
      <c r="A172" s="51"/>
      <c r="B172" s="38"/>
      <c r="C172" s="50"/>
      <c r="D172" s="62"/>
      <c r="E172" s="69"/>
      <c r="F172" s="70" t="str">
        <f aca="false">IF(OR($C172="",$D172=""),"",D172*E172)</f>
        <v/>
      </c>
      <c r="G172" s="32"/>
    </row>
    <row r="173" customFormat="false" ht="15" hidden="false" customHeight="false" outlineLevel="0" collapsed="false">
      <c r="A173" s="51"/>
      <c r="B173" s="38"/>
      <c r="C173" s="50"/>
      <c r="D173" s="62"/>
      <c r="E173" s="69"/>
      <c r="F173" s="70" t="str">
        <f aca="false">IF(OR($C173="",$D173=""),"",D173*E173)</f>
        <v/>
      </c>
      <c r="G173" s="32"/>
    </row>
    <row r="174" customFormat="false" ht="15" hidden="false" customHeight="false" outlineLevel="0" collapsed="false">
      <c r="A174" s="51"/>
      <c r="B174" s="38"/>
      <c r="C174" s="50"/>
      <c r="D174" s="62"/>
      <c r="E174" s="69"/>
      <c r="F174" s="70" t="str">
        <f aca="false">IF(OR($C174="",$D174=""),"",D174*E174)</f>
        <v/>
      </c>
      <c r="G174" s="32"/>
    </row>
    <row r="175" customFormat="false" ht="15" hidden="false" customHeight="false" outlineLevel="0" collapsed="false">
      <c r="A175" s="51"/>
      <c r="B175" s="38"/>
      <c r="C175" s="50"/>
      <c r="D175" s="62"/>
      <c r="E175" s="69"/>
      <c r="F175" s="70" t="str">
        <f aca="false">IF(OR($C175="",$D175=""),"",D175*E175)</f>
        <v/>
      </c>
      <c r="G175" s="32"/>
    </row>
    <row r="176" customFormat="false" ht="15" hidden="false" customHeight="false" outlineLevel="0" collapsed="false">
      <c r="A176" s="51"/>
      <c r="B176" s="38"/>
      <c r="C176" s="50"/>
      <c r="D176" s="62"/>
      <c r="E176" s="69"/>
      <c r="F176" s="70" t="str">
        <f aca="false">IF(OR($C176="",$D176=""),"",D176*E176)</f>
        <v/>
      </c>
      <c r="G176" s="32"/>
    </row>
    <row r="177" customFormat="false" ht="15" hidden="false" customHeight="false" outlineLevel="0" collapsed="false">
      <c r="A177" s="51"/>
      <c r="B177" s="38"/>
      <c r="C177" s="50"/>
      <c r="D177" s="62"/>
      <c r="E177" s="69"/>
      <c r="F177" s="70" t="str">
        <f aca="false">IF(OR($C177="",$D177=""),"",D177*E177)</f>
        <v/>
      </c>
      <c r="G177" s="32"/>
    </row>
    <row r="178" customFormat="false" ht="15" hidden="false" customHeight="false" outlineLevel="0" collapsed="false">
      <c r="A178" s="51"/>
      <c r="B178" s="38"/>
      <c r="C178" s="50"/>
      <c r="D178" s="62"/>
      <c r="E178" s="69"/>
      <c r="F178" s="70" t="str">
        <f aca="false">IF(OR($C178="",$D178=""),"",D178*E178)</f>
        <v/>
      </c>
      <c r="G178" s="32"/>
    </row>
    <row r="179" customFormat="false" ht="15" hidden="false" customHeight="false" outlineLevel="0" collapsed="false">
      <c r="A179" s="51"/>
      <c r="B179" s="38"/>
      <c r="C179" s="50"/>
      <c r="D179" s="62"/>
      <c r="E179" s="69"/>
      <c r="F179" s="70" t="str">
        <f aca="false">IF(OR($C179="",$D179=""),"",D179*E179)</f>
        <v/>
      </c>
      <c r="G179" s="32"/>
    </row>
    <row r="180" customFormat="false" ht="15" hidden="false" customHeight="false" outlineLevel="0" collapsed="false">
      <c r="A180" s="51"/>
      <c r="B180" s="38"/>
      <c r="C180" s="50"/>
      <c r="D180" s="62"/>
      <c r="E180" s="69"/>
      <c r="F180" s="70" t="str">
        <f aca="false">IF(OR($C180="",$D180=""),"",D180*E180)</f>
        <v/>
      </c>
      <c r="G180" s="32"/>
    </row>
    <row r="181" customFormat="false" ht="15" hidden="false" customHeight="false" outlineLevel="0" collapsed="false">
      <c r="A181" s="51"/>
      <c r="B181" s="38"/>
      <c r="C181" s="50"/>
      <c r="D181" s="62"/>
      <c r="E181" s="69"/>
      <c r="F181" s="70" t="str">
        <f aca="false">IF(OR($C181="",$D181=""),"",D181*E181)</f>
        <v/>
      </c>
      <c r="G181" s="32"/>
    </row>
    <row r="182" customFormat="false" ht="15" hidden="false" customHeight="false" outlineLevel="0" collapsed="false">
      <c r="A182" s="51"/>
      <c r="B182" s="38"/>
      <c r="C182" s="50"/>
      <c r="D182" s="62"/>
      <c r="E182" s="69"/>
      <c r="F182" s="70" t="str">
        <f aca="false">IF(OR($C182="",$D182=""),"",D182*E182)</f>
        <v/>
      </c>
      <c r="G182" s="32"/>
    </row>
    <row r="183" customFormat="false" ht="15" hidden="false" customHeight="false" outlineLevel="0" collapsed="false">
      <c r="A183" s="51"/>
      <c r="B183" s="38"/>
      <c r="C183" s="50"/>
      <c r="D183" s="62"/>
      <c r="E183" s="69"/>
      <c r="F183" s="70" t="str">
        <f aca="false">IF(OR($C183="",$D183=""),"",D183*E183)</f>
        <v/>
      </c>
      <c r="G183" s="32"/>
    </row>
    <row r="184" customFormat="false" ht="15" hidden="false" customHeight="false" outlineLevel="0" collapsed="false">
      <c r="A184" s="51"/>
      <c r="B184" s="38"/>
      <c r="C184" s="50"/>
      <c r="D184" s="62"/>
      <c r="E184" s="69"/>
      <c r="F184" s="70" t="str">
        <f aca="false">IF(OR($C184="",$D184=""),"",D184*E184)</f>
        <v/>
      </c>
      <c r="G184" s="32"/>
    </row>
    <row r="185" customFormat="false" ht="15" hidden="false" customHeight="false" outlineLevel="0" collapsed="false">
      <c r="A185" s="51"/>
      <c r="B185" s="38"/>
      <c r="C185" s="50"/>
      <c r="D185" s="62"/>
      <c r="E185" s="69"/>
      <c r="F185" s="70" t="str">
        <f aca="false">IF(OR($C185="",$D185=""),"",D185*E185)</f>
        <v/>
      </c>
      <c r="G185" s="32"/>
    </row>
    <row r="186" customFormat="false" ht="15" hidden="false" customHeight="false" outlineLevel="0" collapsed="false">
      <c r="A186" s="51"/>
      <c r="B186" s="38"/>
      <c r="C186" s="50"/>
      <c r="D186" s="62"/>
      <c r="E186" s="69"/>
      <c r="F186" s="70" t="str">
        <f aca="false">IF(OR($C186="",$D186=""),"",D186*E186)</f>
        <v/>
      </c>
      <c r="G186" s="32"/>
    </row>
    <row r="187" customFormat="false" ht="15" hidden="false" customHeight="false" outlineLevel="0" collapsed="false">
      <c r="A187" s="51"/>
      <c r="B187" s="38"/>
      <c r="C187" s="50"/>
      <c r="D187" s="62"/>
      <c r="E187" s="69"/>
      <c r="F187" s="70" t="str">
        <f aca="false">IF(OR($C187="",$D187=""),"",D187*E187)</f>
        <v/>
      </c>
      <c r="G187" s="32"/>
    </row>
    <row r="188" customFormat="false" ht="15" hidden="false" customHeight="false" outlineLevel="0" collapsed="false">
      <c r="A188" s="51"/>
      <c r="B188" s="38"/>
      <c r="C188" s="50"/>
      <c r="D188" s="62"/>
      <c r="E188" s="69"/>
      <c r="F188" s="70" t="str">
        <f aca="false">IF(OR($C188="",$D188=""),"",D188*E188)</f>
        <v/>
      </c>
      <c r="G188" s="32"/>
    </row>
    <row r="189" customFormat="false" ht="15" hidden="false" customHeight="false" outlineLevel="0" collapsed="false">
      <c r="A189" s="51"/>
      <c r="B189" s="38"/>
      <c r="C189" s="50"/>
      <c r="D189" s="62"/>
      <c r="E189" s="69"/>
      <c r="F189" s="70" t="str">
        <f aca="false">IF(OR($C189="",$D189=""),"",D189*E189)</f>
        <v/>
      </c>
      <c r="G189" s="32"/>
    </row>
    <row r="190" customFormat="false" ht="15" hidden="false" customHeight="false" outlineLevel="0" collapsed="false">
      <c r="A190" s="51"/>
      <c r="B190" s="38"/>
      <c r="C190" s="50"/>
      <c r="D190" s="62"/>
      <c r="E190" s="69"/>
      <c r="F190" s="70" t="str">
        <f aca="false">IF(OR($C190="",$D190=""),"",D190*E190)</f>
        <v/>
      </c>
      <c r="G190" s="32"/>
    </row>
    <row r="191" customFormat="false" ht="15" hidden="false" customHeight="false" outlineLevel="0" collapsed="false">
      <c r="A191" s="51"/>
      <c r="B191" s="38"/>
      <c r="C191" s="50"/>
      <c r="D191" s="62"/>
      <c r="E191" s="69"/>
      <c r="F191" s="70" t="str">
        <f aca="false">IF(OR($C191="",$D191=""),"",D191*E191)</f>
        <v/>
      </c>
      <c r="G191" s="32"/>
    </row>
    <row r="192" customFormat="false" ht="15" hidden="false" customHeight="false" outlineLevel="0" collapsed="false">
      <c r="A192" s="51"/>
      <c r="B192" s="38"/>
      <c r="C192" s="50"/>
      <c r="D192" s="62"/>
      <c r="E192" s="69"/>
      <c r="F192" s="70" t="str">
        <f aca="false">IF(OR($C192="",$D192=""),"",D192*E192)</f>
        <v/>
      </c>
      <c r="G192" s="32"/>
    </row>
    <row r="193" customFormat="false" ht="15" hidden="false" customHeight="false" outlineLevel="0" collapsed="false">
      <c r="A193" s="51"/>
      <c r="B193" s="38"/>
      <c r="C193" s="50"/>
      <c r="D193" s="62"/>
      <c r="E193" s="69"/>
      <c r="F193" s="70" t="str">
        <f aca="false">IF(OR($C193="",$D193=""),"",D193*E193)</f>
        <v/>
      </c>
      <c r="G193" s="32"/>
    </row>
    <row r="194" customFormat="false" ht="15" hidden="false" customHeight="false" outlineLevel="0" collapsed="false">
      <c r="A194" s="51"/>
      <c r="B194" s="38"/>
      <c r="C194" s="50"/>
      <c r="D194" s="62"/>
      <c r="E194" s="69"/>
      <c r="F194" s="70" t="str">
        <f aca="false">IF(OR($C194="",$D194=""),"",D194*E194)</f>
        <v/>
      </c>
      <c r="G194" s="32"/>
    </row>
    <row r="195" customFormat="false" ht="15" hidden="false" customHeight="false" outlineLevel="0" collapsed="false">
      <c r="A195" s="51"/>
      <c r="B195" s="38"/>
      <c r="C195" s="50"/>
      <c r="D195" s="62"/>
      <c r="E195" s="69"/>
      <c r="F195" s="70" t="str">
        <f aca="false">IF(OR($C195="",$D195=""),"",D195*E195)</f>
        <v/>
      </c>
      <c r="G195" s="32"/>
    </row>
    <row r="196" customFormat="false" ht="15" hidden="false" customHeight="false" outlineLevel="0" collapsed="false">
      <c r="A196" s="51"/>
      <c r="B196" s="38"/>
      <c r="C196" s="50"/>
      <c r="D196" s="62"/>
      <c r="E196" s="69"/>
      <c r="F196" s="70" t="str">
        <f aca="false">IF(OR($C196="",$D196=""),"",D196*E196)</f>
        <v/>
      </c>
      <c r="G196" s="32"/>
    </row>
    <row r="197" customFormat="false" ht="15" hidden="false" customHeight="false" outlineLevel="0" collapsed="false">
      <c r="A197" s="51"/>
      <c r="B197" s="38"/>
      <c r="C197" s="50"/>
      <c r="D197" s="62"/>
      <c r="E197" s="69"/>
      <c r="F197" s="70" t="str">
        <f aca="false">IF(OR($C197="",$D197=""),"",D197*E197)</f>
        <v/>
      </c>
      <c r="G197" s="32"/>
    </row>
    <row r="198" customFormat="false" ht="15" hidden="false" customHeight="false" outlineLevel="0" collapsed="false">
      <c r="A198" s="51"/>
      <c r="B198" s="38"/>
      <c r="C198" s="50"/>
      <c r="D198" s="62"/>
      <c r="E198" s="69"/>
      <c r="F198" s="70" t="str">
        <f aca="false">IF(OR($C198="",$D198=""),"",D198*E198)</f>
        <v/>
      </c>
      <c r="G198" s="32"/>
    </row>
    <row r="199" customFormat="false" ht="15" hidden="false" customHeight="false" outlineLevel="0" collapsed="false">
      <c r="A199" s="51"/>
      <c r="B199" s="38"/>
      <c r="C199" s="50"/>
      <c r="D199" s="62"/>
      <c r="E199" s="69"/>
      <c r="F199" s="70" t="str">
        <f aca="false">IF(OR($C199="",$D199=""),"",D199*E199)</f>
        <v/>
      </c>
      <c r="G199" s="32"/>
    </row>
    <row r="200" customFormat="false" ht="15" hidden="false" customHeight="false" outlineLevel="0" collapsed="false">
      <c r="A200" s="51"/>
      <c r="B200" s="38"/>
      <c r="C200" s="50"/>
      <c r="D200" s="62"/>
      <c r="E200" s="69"/>
      <c r="F200" s="70" t="str">
        <f aca="false">IF(OR($C200="",$D200=""),"",D200*E200)</f>
        <v/>
      </c>
      <c r="G200" s="32"/>
    </row>
    <row r="201" customFormat="false" ht="15" hidden="false" customHeight="false" outlineLevel="0" collapsed="false">
      <c r="A201" s="51"/>
      <c r="B201" s="38"/>
      <c r="C201" s="50"/>
      <c r="D201" s="62"/>
      <c r="E201" s="69"/>
      <c r="F201" s="70" t="str">
        <f aca="false">IF(OR($C201="",$D201=""),"",D201*E201)</f>
        <v/>
      </c>
      <c r="G201" s="32"/>
    </row>
    <row r="202" customFormat="false" ht="15" hidden="false" customHeight="false" outlineLevel="0" collapsed="false">
      <c r="A202" s="51"/>
      <c r="B202" s="38"/>
      <c r="C202" s="50"/>
      <c r="D202" s="62"/>
      <c r="E202" s="69"/>
      <c r="F202" s="70" t="str">
        <f aca="false">IF(OR($C202="",$D202=""),"",D202*E202)</f>
        <v/>
      </c>
      <c r="G202" s="32"/>
    </row>
    <row r="203" customFormat="false" ht="15" hidden="false" customHeight="false" outlineLevel="0" collapsed="false">
      <c r="A203" s="51"/>
      <c r="B203" s="38"/>
      <c r="C203" s="50"/>
      <c r="D203" s="62"/>
      <c r="E203" s="69"/>
      <c r="F203" s="70" t="str">
        <f aca="false">IF(OR($C203="",$D203=""),"",D203*E203)</f>
        <v/>
      </c>
      <c r="G203" s="32"/>
    </row>
    <row r="204" customFormat="false" ht="15" hidden="false" customHeight="false" outlineLevel="0" collapsed="false">
      <c r="A204" s="51"/>
      <c r="B204" s="38"/>
      <c r="C204" s="50"/>
      <c r="D204" s="62"/>
      <c r="E204" s="69"/>
      <c r="F204" s="70" t="str">
        <f aca="false">IF(OR($C204="",$D204=""),"",D204*E204)</f>
        <v/>
      </c>
      <c r="G204" s="32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5:C204" type="list">
      <formula1>'Ingredient Database'!$B$4:$B$59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J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24"/>
    <col collapsed="false" customWidth="true" hidden="false" outlineLevel="0" max="8" min="8" style="0" width="2"/>
    <col collapsed="false" customWidth="true" hidden="false" outlineLevel="0" max="9" min="9" style="0" width="38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30" t="s">
        <v>369</v>
      </c>
      <c r="B1" s="30"/>
      <c r="C1" s="30"/>
      <c r="D1" s="30"/>
      <c r="E1" s="30"/>
      <c r="F1" s="30"/>
      <c r="G1" s="30"/>
    </row>
    <row r="3" customFormat="false" ht="39.55" hidden="false" customHeight="false" outlineLevel="0" collapsed="false">
      <c r="A3" s="31" t="s">
        <v>286</v>
      </c>
      <c r="B3" s="31" t="s">
        <v>370</v>
      </c>
      <c r="C3" s="31" t="s">
        <v>365</v>
      </c>
      <c r="D3" s="31" t="s">
        <v>371</v>
      </c>
      <c r="E3" s="31" t="s">
        <v>109</v>
      </c>
      <c r="F3" s="31" t="s">
        <v>372</v>
      </c>
      <c r="G3" s="31" t="s">
        <v>232</v>
      </c>
      <c r="I3" s="9" t="s">
        <v>373</v>
      </c>
      <c r="J3" s="9"/>
    </row>
    <row r="4" customFormat="false" ht="15" hidden="false" customHeight="false" outlineLevel="0" collapsed="false">
      <c r="A4" s="51" t="n">
        <v>46240</v>
      </c>
      <c r="B4" s="38" t="s">
        <v>238</v>
      </c>
      <c r="C4" s="50" t="s">
        <v>110</v>
      </c>
      <c r="D4" s="71" t="n">
        <v>2.5</v>
      </c>
      <c r="E4" s="70" t="n">
        <f aca="false">IF($C4="","",IFERROR(INDEX('Ingredient Database'!$J:$J,MATCH($C4,'Ingredient Database'!$B:$B,0)),""))</f>
        <v>0</v>
      </c>
      <c r="F4" s="70" t="n">
        <f aca="false">IF(OR($C4="",$D4=""),"",D4*E4)</f>
        <v>0</v>
      </c>
      <c r="G4" s="32" t="s">
        <v>292</v>
      </c>
      <c r="I4" s="4" t="s">
        <v>374</v>
      </c>
      <c r="J4" s="66" t="n">
        <f aca="false">SUM(F4:F503)</f>
        <v>0</v>
      </c>
    </row>
    <row r="5" customFormat="false" ht="15" hidden="false" customHeight="false" outlineLevel="0" collapsed="false">
      <c r="A5" s="51"/>
      <c r="B5" s="38"/>
      <c r="C5" s="50"/>
      <c r="D5" s="71"/>
      <c r="E5" s="70" t="str">
        <f aca="false">IF($C5="","",IFERROR(INDEX('Ingredient Database'!$J:$J,MATCH($C5,'Ingredient Database'!$B:$B,0)),""))</f>
        <v/>
      </c>
      <c r="F5" s="70" t="str">
        <f aca="false">IF(OR($C5="",$D5=""),"",D5*E5)</f>
        <v/>
      </c>
      <c r="G5" s="32"/>
    </row>
    <row r="6" customFormat="false" ht="15" hidden="false" customHeight="false" outlineLevel="0" collapsed="false">
      <c r="A6" s="51"/>
      <c r="B6" s="38"/>
      <c r="C6" s="50"/>
      <c r="D6" s="71"/>
      <c r="E6" s="70" t="str">
        <f aca="false">IF($C6="","",IFERROR(INDEX('Ingredient Database'!$J:$J,MATCH($C6,'Ingredient Database'!$B:$B,0)),""))</f>
        <v/>
      </c>
      <c r="F6" s="70" t="str">
        <f aca="false">IF(OR($C6="",$D6=""),"",D6*E6)</f>
        <v/>
      </c>
      <c r="G6" s="32"/>
      <c r="I6" s="9" t="s">
        <v>375</v>
      </c>
      <c r="J6" s="9"/>
    </row>
    <row r="7" customFormat="false" ht="15" hidden="false" customHeight="false" outlineLevel="0" collapsed="false">
      <c r="A7" s="51"/>
      <c r="B7" s="38"/>
      <c r="C7" s="50"/>
      <c r="D7" s="71"/>
      <c r="E7" s="70" t="str">
        <f aca="false">IF($C7="","",IFERROR(INDEX('Ingredient Database'!$J:$J,MATCH($C7,'Ingredient Database'!$B:$B,0)),""))</f>
        <v/>
      </c>
      <c r="F7" s="70" t="str">
        <f aca="false">IF(OR($C7="",$D7=""),"",D7*E7)</f>
        <v/>
      </c>
      <c r="G7" s="32"/>
      <c r="I7" s="28" t="s">
        <v>365</v>
      </c>
      <c r="J7" s="28" t="s">
        <v>367</v>
      </c>
    </row>
    <row r="8" customFormat="false" ht="15" hidden="false" customHeight="false" outlineLevel="0" collapsed="false">
      <c r="A8" s="51"/>
      <c r="B8" s="38"/>
      <c r="C8" s="50"/>
      <c r="D8" s="71"/>
      <c r="E8" s="70" t="str">
        <f aca="false">IF($C8="","",IFERROR(INDEX('Ingredient Database'!$J:$J,MATCH($C8,'Ingredient Database'!$B:$B,0)),""))</f>
        <v/>
      </c>
      <c r="F8" s="70" t="str">
        <f aca="false">IF(OR($C8="",$D8=""),"",D8*E8)</f>
        <v/>
      </c>
      <c r="G8" s="32"/>
      <c r="I8" s="72" t="str">
        <f aca="false">'Ingredient Database'!B4</f>
        <v>Maize Grain (Crushed)</v>
      </c>
      <c r="J8" s="73" t="n">
        <f aca="false">SUMIF($C$4:$C$503,I8,$F$4:$F$503)</f>
        <v>0</v>
      </c>
    </row>
    <row r="9" customFormat="false" ht="15" hidden="false" customHeight="false" outlineLevel="0" collapsed="false">
      <c r="A9" s="51"/>
      <c r="B9" s="38"/>
      <c r="C9" s="50"/>
      <c r="D9" s="71"/>
      <c r="E9" s="70" t="str">
        <f aca="false">IF($C9="","",IFERROR(INDEX('Ingredient Database'!$J:$J,MATCH($C9,'Ingredient Database'!$B:$B,0)),""))</f>
        <v/>
      </c>
      <c r="F9" s="70" t="str">
        <f aca="false">IF(OR($C9="",$D9=""),"",D9*E9)</f>
        <v/>
      </c>
      <c r="G9" s="32"/>
      <c r="I9" s="72" t="str">
        <f aca="false">'Ingredient Database'!B5</f>
        <v>Wheat Grain (Crushed)</v>
      </c>
      <c r="J9" s="73" t="n">
        <f aca="false">SUMIF($C$4:$C$503,I9,$F$4:$F$503)</f>
        <v>0</v>
      </c>
    </row>
    <row r="10" customFormat="false" ht="15" hidden="false" customHeight="false" outlineLevel="0" collapsed="false">
      <c r="A10" s="51"/>
      <c r="B10" s="38"/>
      <c r="C10" s="50"/>
      <c r="D10" s="71"/>
      <c r="E10" s="70" t="str">
        <f aca="false">IF($C10="","",IFERROR(INDEX('Ingredient Database'!$J:$J,MATCH($C10,'Ingredient Database'!$B:$B,0)),""))</f>
        <v/>
      </c>
      <c r="F10" s="70" t="str">
        <f aca="false">IF(OR($C10="",$D10=""),"",D10*E10)</f>
        <v/>
      </c>
      <c r="G10" s="32"/>
      <c r="I10" s="72" t="str">
        <f aca="false">'Ingredient Database'!B6</f>
        <v>Barley Grain (Crushed)</v>
      </c>
      <c r="J10" s="73" t="n">
        <f aca="false">SUMIF($C$4:$C$503,I10,$F$4:$F$503)</f>
        <v>0</v>
      </c>
    </row>
    <row r="11" customFormat="false" ht="15" hidden="false" customHeight="false" outlineLevel="0" collapsed="false">
      <c r="A11" s="51"/>
      <c r="B11" s="38"/>
      <c r="C11" s="50"/>
      <c r="D11" s="71"/>
      <c r="E11" s="70" t="str">
        <f aca="false">IF($C11="","",IFERROR(INDEX('Ingredient Database'!$J:$J,MATCH($C11,'Ingredient Database'!$B:$B,0)),""))</f>
        <v/>
      </c>
      <c r="F11" s="70" t="str">
        <f aca="false">IF(OR($C11="",$D11=""),"",D11*E11)</f>
        <v/>
      </c>
      <c r="G11" s="32"/>
      <c r="I11" s="72" t="str">
        <f aca="false">'Ingredient Database'!B7</f>
        <v>Sorghum Grain (Jowar)</v>
      </c>
      <c r="J11" s="73" t="n">
        <f aca="false">SUMIF($C$4:$C$503,I11,$F$4:$F$503)</f>
        <v>0</v>
      </c>
    </row>
    <row r="12" customFormat="false" ht="15" hidden="false" customHeight="false" outlineLevel="0" collapsed="false">
      <c r="A12" s="51"/>
      <c r="B12" s="38"/>
      <c r="C12" s="50"/>
      <c r="D12" s="71"/>
      <c r="E12" s="70" t="str">
        <f aca="false">IF($C12="","",IFERROR(INDEX('Ingredient Database'!$J:$J,MATCH($C12,'Ingredient Database'!$B:$B,0)),""))</f>
        <v/>
      </c>
      <c r="F12" s="70" t="str">
        <f aca="false">IF(OR($C12="",$D12=""),"",D12*E12)</f>
        <v/>
      </c>
      <c r="G12" s="32"/>
      <c r="I12" s="72" t="str">
        <f aca="false">'Ingredient Database'!B8</f>
        <v>Pearl Millet Grain (Bajra)</v>
      </c>
      <c r="J12" s="73" t="n">
        <f aca="false">SUMIF($C$4:$C$503,I12,$F$4:$F$503)</f>
        <v>0</v>
      </c>
    </row>
    <row r="13" customFormat="false" ht="15" hidden="false" customHeight="false" outlineLevel="0" collapsed="false">
      <c r="A13" s="51"/>
      <c r="B13" s="38"/>
      <c r="C13" s="50"/>
      <c r="D13" s="71"/>
      <c r="E13" s="70" t="str">
        <f aca="false">IF($C13="","",IFERROR(INDEX('Ingredient Database'!$J:$J,MATCH($C13,'Ingredient Database'!$B:$B,0)),""))</f>
        <v/>
      </c>
      <c r="F13" s="70" t="str">
        <f aca="false">IF(OR($C13="",$D13=""),"",D13*E13)</f>
        <v/>
      </c>
      <c r="G13" s="32"/>
      <c r="I13" s="72" t="str">
        <f aca="false">'Ingredient Database'!B9</f>
        <v>Broken Rice (Rice Kani)</v>
      </c>
      <c r="J13" s="73" t="n">
        <f aca="false">SUMIF($C$4:$C$503,I13,$F$4:$F$503)</f>
        <v>0</v>
      </c>
    </row>
    <row r="14" customFormat="false" ht="15" hidden="false" customHeight="false" outlineLevel="0" collapsed="false">
      <c r="A14" s="51"/>
      <c r="B14" s="38"/>
      <c r="C14" s="50"/>
      <c r="D14" s="71"/>
      <c r="E14" s="70" t="str">
        <f aca="false">IF($C14="","",IFERROR(INDEX('Ingredient Database'!$J:$J,MATCH($C14,'Ingredient Database'!$B:$B,0)),""))</f>
        <v/>
      </c>
      <c r="F14" s="70" t="str">
        <f aca="false">IF(OR($C14="",$D14=""),"",D14*E14)</f>
        <v/>
      </c>
      <c r="G14" s="32"/>
      <c r="I14" s="72" t="str">
        <f aca="false">'Ingredient Database'!B10</f>
        <v>Cottonseed Cake (Banaula Khal)</v>
      </c>
      <c r="J14" s="73" t="n">
        <f aca="false">SUMIF($C$4:$C$503,I14,$F$4:$F$503)</f>
        <v>0</v>
      </c>
    </row>
    <row r="15" customFormat="false" ht="15" hidden="false" customHeight="false" outlineLevel="0" collapsed="false">
      <c r="A15" s="51"/>
      <c r="B15" s="38"/>
      <c r="C15" s="50"/>
      <c r="D15" s="71"/>
      <c r="E15" s="70" t="str">
        <f aca="false">IF($C15="","",IFERROR(INDEX('Ingredient Database'!$J:$J,MATCH($C15,'Ingredient Database'!$B:$B,0)),""))</f>
        <v/>
      </c>
      <c r="F15" s="70" t="str">
        <f aca="false">IF(OR($C15="",$D15=""),"",D15*E15)</f>
        <v/>
      </c>
      <c r="G15" s="32"/>
      <c r="I15" s="72" t="str">
        <f aca="false">'Ingredient Database'!B11</f>
        <v>Cottonseed Meal (Solvent Extracted)</v>
      </c>
      <c r="J15" s="73" t="n">
        <f aca="false">SUMIF($C$4:$C$503,I15,$F$4:$F$503)</f>
        <v>0</v>
      </c>
    </row>
    <row r="16" customFormat="false" ht="15" hidden="false" customHeight="false" outlineLevel="0" collapsed="false">
      <c r="A16" s="51"/>
      <c r="B16" s="38"/>
      <c r="C16" s="50"/>
      <c r="D16" s="71"/>
      <c r="E16" s="70" t="str">
        <f aca="false">IF($C16="","",IFERROR(INDEX('Ingredient Database'!$J:$J,MATCH($C16,'Ingredient Database'!$B:$B,0)),""))</f>
        <v/>
      </c>
      <c r="F16" s="70" t="str">
        <f aca="false">IF(OR($C16="",$D16=""),"",D16*E16)</f>
        <v/>
      </c>
      <c r="G16" s="32"/>
      <c r="I16" s="72" t="str">
        <f aca="false">'Ingredient Database'!B12</f>
        <v>Canola / Sarson Cake</v>
      </c>
      <c r="J16" s="73" t="n">
        <f aca="false">SUMIF($C$4:$C$503,I16,$F$4:$F$503)</f>
        <v>0</v>
      </c>
    </row>
    <row r="17" customFormat="false" ht="15" hidden="false" customHeight="false" outlineLevel="0" collapsed="false">
      <c r="A17" s="51"/>
      <c r="B17" s="38"/>
      <c r="C17" s="50"/>
      <c r="D17" s="71"/>
      <c r="E17" s="70" t="str">
        <f aca="false">IF($C17="","",IFERROR(INDEX('Ingredient Database'!$J:$J,MATCH($C17,'Ingredient Database'!$B:$B,0)),""))</f>
        <v/>
      </c>
      <c r="F17" s="70" t="str">
        <f aca="false">IF(OR($C17="",$D17=""),"",D17*E17)</f>
        <v/>
      </c>
      <c r="G17" s="32"/>
      <c r="I17" s="72" t="str">
        <f aca="false">'Ingredient Database'!B13</f>
        <v>Sunflower Cake</v>
      </c>
      <c r="J17" s="73" t="n">
        <f aca="false">SUMIF($C$4:$C$503,I17,$F$4:$F$503)</f>
        <v>0</v>
      </c>
    </row>
    <row r="18" customFormat="false" ht="15" hidden="false" customHeight="false" outlineLevel="0" collapsed="false">
      <c r="A18" s="51"/>
      <c r="B18" s="38"/>
      <c r="C18" s="50"/>
      <c r="D18" s="71"/>
      <c r="E18" s="70" t="str">
        <f aca="false">IF($C18="","",IFERROR(INDEX('Ingredient Database'!$J:$J,MATCH($C18,'Ingredient Database'!$B:$B,0)),""))</f>
        <v/>
      </c>
      <c r="F18" s="70" t="str">
        <f aca="false">IF(OR($C18="",$D18=""),"",D18*E18)</f>
        <v/>
      </c>
      <c r="G18" s="32"/>
      <c r="I18" s="72" t="str">
        <f aca="false">'Ingredient Database'!B14</f>
        <v>Sunflower Meal (Decorticated)</v>
      </c>
      <c r="J18" s="73" t="n">
        <f aca="false">SUMIF($C$4:$C$503,I18,$F$4:$F$503)</f>
        <v>0</v>
      </c>
    </row>
    <row r="19" customFormat="false" ht="15" hidden="false" customHeight="false" outlineLevel="0" collapsed="false">
      <c r="A19" s="51"/>
      <c r="B19" s="38"/>
      <c r="C19" s="50"/>
      <c r="D19" s="71"/>
      <c r="E19" s="70" t="str">
        <f aca="false">IF($C19="","",IFERROR(INDEX('Ingredient Database'!$J:$J,MATCH($C19,'Ingredient Database'!$B:$B,0)),""))</f>
        <v/>
      </c>
      <c r="F19" s="70" t="str">
        <f aca="false">IF(OR($C19="",$D19=""),"",D19*E19)</f>
        <v/>
      </c>
      <c r="G19" s="32"/>
      <c r="I19" s="72" t="str">
        <f aca="false">'Ingredient Database'!B15</f>
        <v>Soybean Meal</v>
      </c>
      <c r="J19" s="73" t="n">
        <f aca="false">SUMIF($C$4:$C$503,I19,$F$4:$F$503)</f>
        <v>0</v>
      </c>
    </row>
    <row r="20" customFormat="false" ht="15" hidden="false" customHeight="false" outlineLevel="0" collapsed="false">
      <c r="A20" s="51"/>
      <c r="B20" s="38"/>
      <c r="C20" s="50"/>
      <c r="D20" s="71"/>
      <c r="E20" s="70" t="str">
        <f aca="false">IF($C20="","",IFERROR(INDEX('Ingredient Database'!$J:$J,MATCH($C20,'Ingredient Database'!$B:$B,0)),""))</f>
        <v/>
      </c>
      <c r="F20" s="70" t="str">
        <f aca="false">IF(OR($C20="",$D20=""),"",D20*E20)</f>
        <v/>
      </c>
      <c r="G20" s="32"/>
      <c r="I20" s="72" t="str">
        <f aca="false">'Ingredient Database'!B16</f>
        <v>Groundnut Cake</v>
      </c>
      <c r="J20" s="73" t="n">
        <f aca="false">SUMIF($C$4:$C$503,I20,$F$4:$F$503)</f>
        <v>0</v>
      </c>
    </row>
    <row r="21" customFormat="false" ht="15" hidden="false" customHeight="false" outlineLevel="0" collapsed="false">
      <c r="A21" s="51"/>
      <c r="B21" s="38"/>
      <c r="C21" s="50"/>
      <c r="D21" s="71"/>
      <c r="E21" s="70" t="str">
        <f aca="false">IF($C21="","",IFERROR(INDEX('Ingredient Database'!$J:$J,MATCH($C21,'Ingredient Database'!$B:$B,0)),""))</f>
        <v/>
      </c>
      <c r="F21" s="70" t="str">
        <f aca="false">IF(OR($C21="",$D21=""),"",D21*E21)</f>
        <v/>
      </c>
      <c r="G21" s="32"/>
      <c r="I21" s="72" t="str">
        <f aca="false">'Ingredient Database'!B17</f>
        <v>Guar Meal / Korma (Refined)</v>
      </c>
      <c r="J21" s="73" t="n">
        <f aca="false">SUMIF($C$4:$C$503,I21,$F$4:$F$503)</f>
        <v>0</v>
      </c>
    </row>
    <row r="22" customFormat="false" ht="15" hidden="false" customHeight="false" outlineLevel="0" collapsed="false">
      <c r="A22" s="51"/>
      <c r="B22" s="38"/>
      <c r="C22" s="50"/>
      <c r="D22" s="71"/>
      <c r="E22" s="70" t="str">
        <f aca="false">IF($C22="","",IFERROR(INDEX('Ingredient Database'!$J:$J,MATCH($C22,'Ingredient Database'!$B:$B,0)),""))</f>
        <v/>
      </c>
      <c r="F22" s="70" t="str">
        <f aca="false">IF(OR($C22="",$D22=""),"",D22*E22)</f>
        <v/>
      </c>
      <c r="G22" s="32"/>
      <c r="I22" s="72" t="str">
        <f aca="false">'Ingredient Database'!B18</f>
        <v>Guar Churi (Coarse Grade)</v>
      </c>
      <c r="J22" s="73" t="n">
        <f aca="false">SUMIF($C$4:$C$503,I22,$F$4:$F$503)</f>
        <v>0</v>
      </c>
    </row>
    <row r="23" customFormat="false" ht="15" hidden="false" customHeight="false" outlineLevel="0" collapsed="false">
      <c r="A23" s="51"/>
      <c r="B23" s="38"/>
      <c r="C23" s="50"/>
      <c r="D23" s="71"/>
      <c r="E23" s="70" t="str">
        <f aca="false">IF($C23="","",IFERROR(INDEX('Ingredient Database'!$J:$J,MATCH($C23,'Ingredient Database'!$B:$B,0)),""))</f>
        <v/>
      </c>
      <c r="F23" s="70" t="str">
        <f aca="false">IF(OR($C23="",$D23=""),"",D23*E23)</f>
        <v/>
      </c>
      <c r="G23" s="32"/>
      <c r="I23" s="72" t="str">
        <f aca="false">'Ingredient Database'!B19</f>
        <v>Maize Gluten Meal</v>
      </c>
      <c r="J23" s="73" t="n">
        <f aca="false">SUMIF($C$4:$C$503,I23,$F$4:$F$503)</f>
        <v>0</v>
      </c>
    </row>
    <row r="24" customFormat="false" ht="15" hidden="false" customHeight="false" outlineLevel="0" collapsed="false">
      <c r="A24" s="51"/>
      <c r="B24" s="38"/>
      <c r="C24" s="50"/>
      <c r="D24" s="71"/>
      <c r="E24" s="70" t="str">
        <f aca="false">IF($C24="","",IFERROR(INDEX('Ingredient Database'!$J:$J,MATCH($C24,'Ingredient Database'!$B:$B,0)),""))</f>
        <v/>
      </c>
      <c r="F24" s="70" t="str">
        <f aca="false">IF(OR($C24="",$D24=""),"",D24*E24)</f>
        <v/>
      </c>
      <c r="G24" s="32"/>
      <c r="I24" s="72" t="str">
        <f aca="false">'Ingredient Database'!B20</f>
        <v>Maize Gluten Feed</v>
      </c>
      <c r="J24" s="73" t="n">
        <f aca="false">SUMIF($C$4:$C$503,I24,$F$4:$F$503)</f>
        <v>0</v>
      </c>
    </row>
    <row r="25" customFormat="false" ht="15" hidden="false" customHeight="false" outlineLevel="0" collapsed="false">
      <c r="A25" s="51"/>
      <c r="B25" s="38"/>
      <c r="C25" s="50"/>
      <c r="D25" s="71"/>
      <c r="E25" s="70" t="str">
        <f aca="false">IF($C25="","",IFERROR(INDEX('Ingredient Database'!$J:$J,MATCH($C25,'Ingredient Database'!$B:$B,0)),""))</f>
        <v/>
      </c>
      <c r="F25" s="70" t="str">
        <f aca="false">IF(OR($C25="",$D25=""),"",D25*E25)</f>
        <v/>
      </c>
      <c r="G25" s="32"/>
      <c r="I25" s="72" t="str">
        <f aca="false">'Ingredient Database'!B21</f>
        <v>Sesame Cake (Til Khal)</v>
      </c>
      <c r="J25" s="73" t="n">
        <f aca="false">SUMIF($C$4:$C$503,I25,$F$4:$F$503)</f>
        <v>0</v>
      </c>
    </row>
    <row r="26" customFormat="false" ht="15" hidden="false" customHeight="false" outlineLevel="0" collapsed="false">
      <c r="A26" s="51"/>
      <c r="B26" s="38"/>
      <c r="C26" s="50"/>
      <c r="D26" s="71"/>
      <c r="E26" s="70" t="str">
        <f aca="false">IF($C26="","",IFERROR(INDEX('Ingredient Database'!$J:$J,MATCH($C26,'Ingredient Database'!$B:$B,0)),""))</f>
        <v/>
      </c>
      <c r="F26" s="70" t="str">
        <f aca="false">IF(OR($C26="",$D26=""),"",D26*E26)</f>
        <v/>
      </c>
      <c r="G26" s="32"/>
      <c r="I26" s="72" t="str">
        <f aca="false">'Ingredient Database'!B22</f>
        <v>Wheat Bran (Chokar)</v>
      </c>
      <c r="J26" s="73" t="n">
        <f aca="false">SUMIF($C$4:$C$503,I26,$F$4:$F$503)</f>
        <v>0</v>
      </c>
    </row>
    <row r="27" customFormat="false" ht="15" hidden="false" customHeight="false" outlineLevel="0" collapsed="false">
      <c r="A27" s="51"/>
      <c r="B27" s="38"/>
      <c r="C27" s="50"/>
      <c r="D27" s="71"/>
      <c r="E27" s="70" t="str">
        <f aca="false">IF($C27="","",IFERROR(INDEX('Ingredient Database'!$J:$J,MATCH($C27,'Ingredient Database'!$B:$B,0)),""))</f>
        <v/>
      </c>
      <c r="F27" s="70" t="str">
        <f aca="false">IF(OR($C27="",$D27=""),"",D27*E27)</f>
        <v/>
      </c>
      <c r="G27" s="32"/>
      <c r="I27" s="72" t="str">
        <f aca="false">'Ingredient Database'!B23</f>
        <v>Rice Polish</v>
      </c>
      <c r="J27" s="73" t="n">
        <f aca="false">SUMIF($C$4:$C$503,I27,$F$4:$F$503)</f>
        <v>0</v>
      </c>
    </row>
    <row r="28" customFormat="false" ht="15" hidden="false" customHeight="false" outlineLevel="0" collapsed="false">
      <c r="A28" s="51"/>
      <c r="B28" s="38"/>
      <c r="C28" s="50"/>
      <c r="D28" s="71"/>
      <c r="E28" s="70" t="str">
        <f aca="false">IF($C28="","",IFERROR(INDEX('Ingredient Database'!$J:$J,MATCH($C28,'Ingredient Database'!$B:$B,0)),""))</f>
        <v/>
      </c>
      <c r="F28" s="70" t="str">
        <f aca="false">IF(OR($C28="",$D28=""),"",D28*E28)</f>
        <v/>
      </c>
      <c r="G28" s="32"/>
      <c r="I28" s="72" t="str">
        <f aca="false">'Ingredient Database'!B24</f>
        <v>Rice Bran (Full-Fat)</v>
      </c>
      <c r="J28" s="73" t="n">
        <f aca="false">SUMIF($C$4:$C$503,I28,$F$4:$F$503)</f>
        <v>0</v>
      </c>
    </row>
    <row r="29" customFormat="false" ht="15" hidden="false" customHeight="false" outlineLevel="0" collapsed="false">
      <c r="A29" s="51"/>
      <c r="B29" s="38"/>
      <c r="C29" s="50"/>
      <c r="D29" s="71"/>
      <c r="E29" s="70" t="str">
        <f aca="false">IF($C29="","",IFERROR(INDEX('Ingredient Database'!$J:$J,MATCH($C29,'Ingredient Database'!$B:$B,0)),""))</f>
        <v/>
      </c>
      <c r="F29" s="70" t="str">
        <f aca="false">IF(OR($C29="",$D29=""),"",D29*E29)</f>
        <v/>
      </c>
      <c r="G29" s="32"/>
      <c r="I29" s="72" t="str">
        <f aca="false">'Ingredient Database'!B25</f>
        <v>Deoiled Rice Bran (DORB)</v>
      </c>
      <c r="J29" s="73" t="n">
        <f aca="false">SUMIF($C$4:$C$503,I29,$F$4:$F$503)</f>
        <v>0</v>
      </c>
    </row>
    <row r="30" customFormat="false" ht="15" hidden="false" customHeight="false" outlineLevel="0" collapsed="false">
      <c r="A30" s="51"/>
      <c r="B30" s="38"/>
      <c r="C30" s="50"/>
      <c r="D30" s="71"/>
      <c r="E30" s="70" t="str">
        <f aca="false">IF($C30="","",IFERROR(INDEX('Ingredient Database'!$J:$J,MATCH($C30,'Ingredient Database'!$B:$B,0)),""))</f>
        <v/>
      </c>
      <c r="F30" s="70" t="str">
        <f aca="false">IF(OR($C30="",$D30=""),"",D30*E30)</f>
        <v/>
      </c>
      <c r="G30" s="32"/>
      <c r="I30" s="72" t="str">
        <f aca="false">'Ingredient Database'!B26</f>
        <v>Molasses (Shakar)</v>
      </c>
      <c r="J30" s="73" t="n">
        <f aca="false">SUMIF($C$4:$C$503,I30,$F$4:$F$503)</f>
        <v>0</v>
      </c>
    </row>
    <row r="31" customFormat="false" ht="15" hidden="false" customHeight="false" outlineLevel="0" collapsed="false">
      <c r="A31" s="51"/>
      <c r="B31" s="38"/>
      <c r="C31" s="50"/>
      <c r="D31" s="71"/>
      <c r="E31" s="70" t="str">
        <f aca="false">IF($C31="","",IFERROR(INDEX('Ingredient Database'!$J:$J,MATCH($C31,'Ingredient Database'!$B:$B,0)),""))</f>
        <v/>
      </c>
      <c r="F31" s="70" t="str">
        <f aca="false">IF(OR($C31="",$D31=""),"",D31*E31)</f>
        <v/>
      </c>
      <c r="G31" s="32"/>
      <c r="I31" s="72" t="str">
        <f aca="false">'Ingredient Database'!B27</f>
        <v>Bakery Waste (Meal)</v>
      </c>
      <c r="J31" s="73" t="n">
        <f aca="false">SUMIF($C$4:$C$503,I31,$F$4:$F$503)</f>
        <v>0</v>
      </c>
    </row>
    <row r="32" customFormat="false" ht="15" hidden="false" customHeight="false" outlineLevel="0" collapsed="false">
      <c r="A32" s="51"/>
      <c r="B32" s="38"/>
      <c r="C32" s="50"/>
      <c r="D32" s="71"/>
      <c r="E32" s="70" t="str">
        <f aca="false">IF($C32="","",IFERROR(INDEX('Ingredient Database'!$J:$J,MATCH($C32,'Ingredient Database'!$B:$B,0)),""))</f>
        <v/>
      </c>
      <c r="F32" s="70" t="str">
        <f aca="false">IF(OR($C32="",$D32=""),"",D32*E32)</f>
        <v/>
      </c>
      <c r="G32" s="32"/>
      <c r="I32" s="72" t="str">
        <f aca="false">'Ingredient Database'!B28</f>
        <v>Mineral Mixture</v>
      </c>
      <c r="J32" s="73" t="n">
        <f aca="false">SUMIF($C$4:$C$503,I32,$F$4:$F$503)</f>
        <v>0</v>
      </c>
    </row>
    <row r="33" customFormat="false" ht="15" hidden="false" customHeight="false" outlineLevel="0" collapsed="false">
      <c r="A33" s="51"/>
      <c r="B33" s="38"/>
      <c r="C33" s="50"/>
      <c r="D33" s="71"/>
      <c r="E33" s="70" t="str">
        <f aca="false">IF($C33="","",IFERROR(INDEX('Ingredient Database'!$J:$J,MATCH($C33,'Ingredient Database'!$B:$B,0)),""))</f>
        <v/>
      </c>
      <c r="F33" s="70" t="str">
        <f aca="false">IF(OR($C33="",$D33=""),"",D33*E33)</f>
        <v/>
      </c>
      <c r="G33" s="32"/>
      <c r="I33" s="72" t="str">
        <f aca="false">'Ingredient Database'!B29</f>
        <v>Salt</v>
      </c>
      <c r="J33" s="73" t="n">
        <f aca="false">SUMIF($C$4:$C$503,I33,$F$4:$F$503)</f>
        <v>0</v>
      </c>
    </row>
    <row r="34" customFormat="false" ht="15" hidden="false" customHeight="false" outlineLevel="0" collapsed="false">
      <c r="A34" s="51"/>
      <c r="B34" s="38"/>
      <c r="C34" s="50"/>
      <c r="D34" s="71"/>
      <c r="E34" s="70" t="str">
        <f aca="false">IF($C34="","",IFERROR(INDEX('Ingredient Database'!$J:$J,MATCH($C34,'Ingredient Database'!$B:$B,0)),""))</f>
        <v/>
      </c>
      <c r="F34" s="70" t="str">
        <f aca="false">IF(OR($C34="",$D34=""),"",D34*E34)</f>
        <v/>
      </c>
      <c r="G34" s="32"/>
      <c r="I34" s="72" t="str">
        <f aca="false">'Ingredient Database'!B30</f>
        <v>Sodium Bicarbonate</v>
      </c>
      <c r="J34" s="73" t="n">
        <f aca="false">SUMIF($C$4:$C$503,I34,$F$4:$F$503)</f>
        <v>0</v>
      </c>
    </row>
    <row r="35" customFormat="false" ht="15" hidden="false" customHeight="false" outlineLevel="0" collapsed="false">
      <c r="A35" s="51"/>
      <c r="B35" s="38"/>
      <c r="C35" s="50"/>
      <c r="D35" s="71"/>
      <c r="E35" s="70" t="str">
        <f aca="false">IF($C35="","",IFERROR(INDEX('Ingredient Database'!$J:$J,MATCH($C35,'Ingredient Database'!$B:$B,0)),""))</f>
        <v/>
      </c>
      <c r="F35" s="70" t="str">
        <f aca="false">IF(OR($C35="",$D35=""),"",D35*E35)</f>
        <v/>
      </c>
      <c r="G35" s="32"/>
      <c r="I35" s="72" t="str">
        <f aca="false">'Ingredient Database'!B31</f>
        <v>DCP (Di-Calcium Phosphate)</v>
      </c>
      <c r="J35" s="73" t="n">
        <f aca="false">SUMIF($C$4:$C$503,I35,$F$4:$F$503)</f>
        <v>0</v>
      </c>
    </row>
    <row r="36" customFormat="false" ht="15" hidden="false" customHeight="false" outlineLevel="0" collapsed="false">
      <c r="A36" s="51"/>
      <c r="B36" s="38"/>
      <c r="C36" s="50"/>
      <c r="D36" s="71"/>
      <c r="E36" s="70" t="str">
        <f aca="false">IF($C36="","",IFERROR(INDEX('Ingredient Database'!$J:$J,MATCH($C36,'Ingredient Database'!$B:$B,0)),""))</f>
        <v/>
      </c>
      <c r="F36" s="70" t="str">
        <f aca="false">IF(OR($C36="",$D36=""),"",D36*E36)</f>
        <v/>
      </c>
      <c r="G36" s="32"/>
      <c r="I36" s="72" t="str">
        <f aca="false">'Ingredient Database'!B32</f>
        <v>Urea (NPN source)</v>
      </c>
      <c r="J36" s="73" t="n">
        <f aca="false">SUMIF($C$4:$C$503,I36,$F$4:$F$503)</f>
        <v>0</v>
      </c>
    </row>
    <row r="37" customFormat="false" ht="15" hidden="false" customHeight="false" outlineLevel="0" collapsed="false">
      <c r="A37" s="51"/>
      <c r="B37" s="38"/>
      <c r="C37" s="50"/>
      <c r="D37" s="71"/>
      <c r="E37" s="70" t="str">
        <f aca="false">IF($C37="","",IFERROR(INDEX('Ingredient Database'!$J:$J,MATCH($C37,'Ingredient Database'!$B:$B,0)),""))</f>
        <v/>
      </c>
      <c r="F37" s="70" t="str">
        <f aca="false">IF(OR($C37="",$D37=""),"",D37*E37)</f>
        <v/>
      </c>
      <c r="G37" s="32"/>
      <c r="I37" s="72" t="str">
        <f aca="false">'Ingredient Database'!B33</f>
        <v>Yeast Culture</v>
      </c>
      <c r="J37" s="73" t="n">
        <f aca="false">SUMIF($C$4:$C$503,I37,$F$4:$F$503)</f>
        <v>0</v>
      </c>
    </row>
    <row r="38" customFormat="false" ht="15" hidden="false" customHeight="false" outlineLevel="0" collapsed="false">
      <c r="A38" s="51"/>
      <c r="B38" s="38"/>
      <c r="C38" s="50"/>
      <c r="D38" s="71"/>
      <c r="E38" s="70" t="str">
        <f aca="false">IF($C38="","",IFERROR(INDEX('Ingredient Database'!$J:$J,MATCH($C38,'Ingredient Database'!$B:$B,0)),""))</f>
        <v/>
      </c>
      <c r="F38" s="70" t="str">
        <f aca="false">IF(OR($C38="",$D38=""),"",D38*E38)</f>
        <v/>
      </c>
      <c r="G38" s="32"/>
      <c r="I38" s="72" t="str">
        <f aca="false">'Ingredient Database'!B34</f>
        <v>Maize Green Fodder</v>
      </c>
      <c r="J38" s="73" t="n">
        <f aca="false">SUMIF($C$4:$C$503,I38,$F$4:$F$503)</f>
        <v>0</v>
      </c>
    </row>
    <row r="39" customFormat="false" ht="15" hidden="false" customHeight="false" outlineLevel="0" collapsed="false">
      <c r="A39" s="51"/>
      <c r="B39" s="38"/>
      <c r="C39" s="50"/>
      <c r="D39" s="71"/>
      <c r="E39" s="70" t="str">
        <f aca="false">IF($C39="","",IFERROR(INDEX('Ingredient Database'!$J:$J,MATCH($C39,'Ingredient Database'!$B:$B,0)),""))</f>
        <v/>
      </c>
      <c r="F39" s="70" t="str">
        <f aca="false">IF(OR($C39="",$D39=""),"",D39*E39)</f>
        <v/>
      </c>
      <c r="G39" s="32"/>
      <c r="I39" s="72" t="str">
        <f aca="false">'Ingredient Database'!B35</f>
        <v>Sorghum / Jowar Green Fodder</v>
      </c>
      <c r="J39" s="73" t="n">
        <f aca="false">SUMIF($C$4:$C$503,I39,$F$4:$F$503)</f>
        <v>0</v>
      </c>
    </row>
    <row r="40" customFormat="false" ht="15" hidden="false" customHeight="false" outlineLevel="0" collapsed="false">
      <c r="A40" s="51"/>
      <c r="B40" s="38"/>
      <c r="C40" s="50"/>
      <c r="D40" s="71"/>
      <c r="E40" s="70" t="str">
        <f aca="false">IF($C40="","",IFERROR(INDEX('Ingredient Database'!$J:$J,MATCH($C40,'Ingredient Database'!$B:$B,0)),""))</f>
        <v/>
      </c>
      <c r="F40" s="70" t="str">
        <f aca="false">IF(OR($C40="",$D40=""),"",D40*E40)</f>
        <v/>
      </c>
      <c r="G40" s="32"/>
      <c r="I40" s="72" t="str">
        <f aca="false">'Ingredient Database'!B36</f>
        <v>Bajra (Pearl Millet) Green Fodder</v>
      </c>
      <c r="J40" s="73" t="n">
        <f aca="false">SUMIF($C$4:$C$503,I40,$F$4:$F$503)</f>
        <v>0</v>
      </c>
    </row>
    <row r="41" customFormat="false" ht="15" hidden="false" customHeight="false" outlineLevel="0" collapsed="false">
      <c r="A41" s="51"/>
      <c r="B41" s="38"/>
      <c r="C41" s="50"/>
      <c r="D41" s="71"/>
      <c r="E41" s="70" t="str">
        <f aca="false">IF($C41="","",IFERROR(INDEX('Ingredient Database'!$J:$J,MATCH($C41,'Ingredient Database'!$B:$B,0)),""))</f>
        <v/>
      </c>
      <c r="F41" s="70" t="str">
        <f aca="false">IF(OR($C41="",$D41=""),"",D41*E41)</f>
        <v/>
      </c>
      <c r="G41" s="32"/>
      <c r="I41" s="72" t="str">
        <f aca="false">'Ingredient Database'!B37</f>
        <v>Berseem (Green, Seasonal Nov-Apr)</v>
      </c>
      <c r="J41" s="73" t="n">
        <f aca="false">SUMIF($C$4:$C$503,I41,$F$4:$F$503)</f>
        <v>0</v>
      </c>
    </row>
    <row r="42" customFormat="false" ht="15" hidden="false" customHeight="false" outlineLevel="0" collapsed="false">
      <c r="A42" s="51"/>
      <c r="B42" s="38"/>
      <c r="C42" s="50"/>
      <c r="D42" s="71"/>
      <c r="E42" s="70" t="str">
        <f aca="false">IF($C42="","",IFERROR(INDEX('Ingredient Database'!$J:$J,MATCH($C42,'Ingredient Database'!$B:$B,0)),""))</f>
        <v/>
      </c>
      <c r="F42" s="70" t="str">
        <f aca="false">IF(OR($C42="",$D42=""),"",D42*E42)</f>
        <v/>
      </c>
      <c r="G42" s="32"/>
      <c r="I42" s="72" t="str">
        <f aca="false">'Ingredient Database'!B38</f>
        <v>Lucerne / Alfalfa (Green)</v>
      </c>
      <c r="J42" s="73" t="n">
        <f aca="false">SUMIF($C$4:$C$503,I42,$F$4:$F$503)</f>
        <v>0</v>
      </c>
    </row>
    <row r="43" customFormat="false" ht="15" hidden="false" customHeight="false" outlineLevel="0" collapsed="false">
      <c r="A43" s="51"/>
      <c r="B43" s="38"/>
      <c r="C43" s="50"/>
      <c r="D43" s="71"/>
      <c r="E43" s="70" t="str">
        <f aca="false">IF($C43="","",IFERROR(INDEX('Ingredient Database'!$J:$J,MATCH($C43,'Ingredient Database'!$B:$B,0)),""))</f>
        <v/>
      </c>
      <c r="F43" s="70" t="str">
        <f aca="false">IF(OR($C43="",$D43=""),"",D43*E43)</f>
        <v/>
      </c>
      <c r="G43" s="32"/>
      <c r="I43" s="72" t="str">
        <f aca="false">'Ingredient Database'!B39</f>
        <v>Oat Green Fodder</v>
      </c>
      <c r="J43" s="73" t="n">
        <f aca="false">SUMIF($C$4:$C$503,I43,$F$4:$F$503)</f>
        <v>0</v>
      </c>
    </row>
    <row r="44" customFormat="false" ht="15" hidden="false" customHeight="false" outlineLevel="0" collapsed="false">
      <c r="A44" s="51"/>
      <c r="B44" s="38"/>
      <c r="C44" s="50"/>
      <c r="D44" s="71"/>
      <c r="E44" s="70" t="str">
        <f aca="false">IF($C44="","",IFERROR(INDEX('Ingredient Database'!$J:$J,MATCH($C44,'Ingredient Database'!$B:$B,0)),""))</f>
        <v/>
      </c>
      <c r="F44" s="70" t="str">
        <f aca="false">IF(OR($C44="",$D44=""),"",D44*E44)</f>
        <v/>
      </c>
      <c r="G44" s="32"/>
      <c r="I44" s="72" t="str">
        <f aca="false">'Ingredient Database'!B40</f>
        <v>Guar (Cluster Bean) Green Fodder</v>
      </c>
      <c r="J44" s="73" t="n">
        <f aca="false">SUMIF($C$4:$C$503,I44,$F$4:$F$503)</f>
        <v>0</v>
      </c>
    </row>
    <row r="45" customFormat="false" ht="15" hidden="false" customHeight="false" outlineLevel="0" collapsed="false">
      <c r="A45" s="51"/>
      <c r="B45" s="38"/>
      <c r="C45" s="50"/>
      <c r="D45" s="71"/>
      <c r="E45" s="70" t="str">
        <f aca="false">IF($C45="","",IFERROR(INDEX('Ingredient Database'!$J:$J,MATCH($C45,'Ingredient Database'!$B:$B,0)),""))</f>
        <v/>
      </c>
      <c r="F45" s="70" t="str">
        <f aca="false">IF(OR($C45="",$D45=""),"",D45*E45)</f>
        <v/>
      </c>
      <c r="G45" s="32"/>
      <c r="I45" s="72" t="str">
        <f aca="false">'Ingredient Database'!B41</f>
        <v>Cowpea Green Fodder</v>
      </c>
      <c r="J45" s="73" t="n">
        <f aca="false">SUMIF($C$4:$C$503,I45,$F$4:$F$503)</f>
        <v>0</v>
      </c>
    </row>
    <row r="46" customFormat="false" ht="15" hidden="false" customHeight="false" outlineLevel="0" collapsed="false">
      <c r="A46" s="51"/>
      <c r="B46" s="38"/>
      <c r="C46" s="50"/>
      <c r="D46" s="71"/>
      <c r="E46" s="70" t="str">
        <f aca="false">IF($C46="","",IFERROR(INDEX('Ingredient Database'!$J:$J,MATCH($C46,'Ingredient Database'!$B:$B,0)),""))</f>
        <v/>
      </c>
      <c r="F46" s="70" t="str">
        <f aca="false">IF(OR($C46="",$D46=""),"",D46*E46)</f>
        <v/>
      </c>
      <c r="G46" s="32"/>
      <c r="I46" s="72" t="str">
        <f aca="false">'Ingredient Database'!B42</f>
        <v>Sadabahar / Mott Grass</v>
      </c>
      <c r="J46" s="73" t="n">
        <f aca="false">SUMIF($C$4:$C$503,I46,$F$4:$F$503)</f>
        <v>0</v>
      </c>
    </row>
    <row r="47" customFormat="false" ht="15" hidden="false" customHeight="false" outlineLevel="0" collapsed="false">
      <c r="A47" s="51"/>
      <c r="B47" s="38"/>
      <c r="C47" s="50"/>
      <c r="D47" s="71"/>
      <c r="E47" s="70" t="str">
        <f aca="false">IF($C47="","",IFERROR(INDEX('Ingredient Database'!$J:$J,MATCH($C47,'Ingredient Database'!$B:$B,0)),""))</f>
        <v/>
      </c>
      <c r="F47" s="70" t="str">
        <f aca="false">IF(OR($C47="",$D47=""),"",D47*E47)</f>
        <v/>
      </c>
      <c r="G47" s="32"/>
      <c r="I47" s="72" t="str">
        <f aca="false">'Ingredient Database'!B43</f>
        <v>Napier / Elephant Grass</v>
      </c>
      <c r="J47" s="73" t="n">
        <f aca="false">SUMIF($C$4:$C$503,I47,$F$4:$F$503)</f>
        <v>0</v>
      </c>
    </row>
    <row r="48" customFormat="false" ht="15" hidden="false" customHeight="false" outlineLevel="0" collapsed="false">
      <c r="A48" s="51"/>
      <c r="B48" s="38"/>
      <c r="C48" s="50"/>
      <c r="D48" s="71"/>
      <c r="E48" s="70" t="str">
        <f aca="false">IF($C48="","",IFERROR(INDEX('Ingredient Database'!$J:$J,MATCH($C48,'Ingredient Database'!$B:$B,0)),""))</f>
        <v/>
      </c>
      <c r="F48" s="70" t="str">
        <f aca="false">IF(OR($C48="",$D48=""),"",D48*E48)</f>
        <v/>
      </c>
      <c r="G48" s="32"/>
      <c r="I48" s="72" t="str">
        <f aca="false">'Ingredient Database'!B44</f>
        <v>Sudan Grass (Green)</v>
      </c>
      <c r="J48" s="73" t="n">
        <f aca="false">SUMIF($C$4:$C$503,I48,$F$4:$F$503)</f>
        <v>0</v>
      </c>
    </row>
    <row r="49" customFormat="false" ht="15" hidden="false" customHeight="false" outlineLevel="0" collapsed="false">
      <c r="A49" s="51"/>
      <c r="B49" s="38"/>
      <c r="C49" s="50"/>
      <c r="D49" s="71"/>
      <c r="E49" s="70" t="str">
        <f aca="false">IF($C49="","",IFERROR(INDEX('Ingredient Database'!$J:$J,MATCH($C49,'Ingredient Database'!$B:$B,0)),""))</f>
        <v/>
      </c>
      <c r="F49" s="70" t="str">
        <f aca="false">IF(OR($C49="",$D49=""),"",D49*E49)</f>
        <v/>
      </c>
      <c r="G49" s="32"/>
      <c r="I49" s="72" t="str">
        <f aca="false">'Ingredient Database'!B45</f>
        <v>Maize Silage</v>
      </c>
      <c r="J49" s="73" t="n">
        <f aca="false">SUMIF($C$4:$C$503,I49,$F$4:$F$503)</f>
        <v>0</v>
      </c>
    </row>
    <row r="50" customFormat="false" ht="15" hidden="false" customHeight="false" outlineLevel="0" collapsed="false">
      <c r="A50" s="51"/>
      <c r="B50" s="38"/>
      <c r="C50" s="50"/>
      <c r="D50" s="71"/>
      <c r="E50" s="70" t="str">
        <f aca="false">IF($C50="","",IFERROR(INDEX('Ingredient Database'!$J:$J,MATCH($C50,'Ingredient Database'!$B:$B,0)),""))</f>
        <v/>
      </c>
      <c r="F50" s="70" t="str">
        <f aca="false">IF(OR($C50="",$D50=""),"",D50*E50)</f>
        <v/>
      </c>
      <c r="G50" s="32"/>
      <c r="I50" s="72" t="str">
        <f aca="false">'Ingredient Database'!B46</f>
        <v>Sorghum Silage</v>
      </c>
      <c r="J50" s="73" t="n">
        <f aca="false">SUMIF($C$4:$C$503,I50,$F$4:$F$503)</f>
        <v>0</v>
      </c>
    </row>
    <row r="51" customFormat="false" ht="15" hidden="false" customHeight="false" outlineLevel="0" collapsed="false">
      <c r="A51" s="51"/>
      <c r="B51" s="38"/>
      <c r="C51" s="50"/>
      <c r="D51" s="71"/>
      <c r="E51" s="70" t="str">
        <f aca="false">IF($C51="","",IFERROR(INDEX('Ingredient Database'!$J:$J,MATCH($C51,'Ingredient Database'!$B:$B,0)),""))</f>
        <v/>
      </c>
      <c r="F51" s="70" t="str">
        <f aca="false">IF(OR($C51="",$D51=""),"",D51*E51)</f>
        <v/>
      </c>
      <c r="G51" s="32"/>
      <c r="I51" s="72" t="str">
        <f aca="false">'Ingredient Database'!B47</f>
        <v>Berseem Hay</v>
      </c>
      <c r="J51" s="73" t="n">
        <f aca="false">SUMIF($C$4:$C$503,I51,$F$4:$F$503)</f>
        <v>0</v>
      </c>
    </row>
    <row r="52" customFormat="false" ht="15" hidden="false" customHeight="false" outlineLevel="0" collapsed="false">
      <c r="A52" s="51"/>
      <c r="B52" s="38"/>
      <c r="C52" s="50"/>
      <c r="D52" s="71"/>
      <c r="E52" s="70" t="str">
        <f aca="false">IF($C52="","",IFERROR(INDEX('Ingredient Database'!$J:$J,MATCH($C52,'Ingredient Database'!$B:$B,0)),""))</f>
        <v/>
      </c>
      <c r="F52" s="70" t="str">
        <f aca="false">IF(OR($C52="",$D52=""),"",D52*E52)</f>
        <v/>
      </c>
      <c r="G52" s="32"/>
      <c r="I52" s="72" t="str">
        <f aca="false">'Ingredient Database'!B48</f>
        <v>Lucerne Hay</v>
      </c>
      <c r="J52" s="73" t="n">
        <f aca="false">SUMIF($C$4:$C$503,I52,$F$4:$F$503)</f>
        <v>0</v>
      </c>
    </row>
    <row r="53" customFormat="false" ht="15" hidden="false" customHeight="false" outlineLevel="0" collapsed="false">
      <c r="A53" s="51"/>
      <c r="B53" s="38"/>
      <c r="C53" s="50"/>
      <c r="D53" s="71"/>
      <c r="E53" s="70" t="str">
        <f aca="false">IF($C53="","",IFERROR(INDEX('Ingredient Database'!$J:$J,MATCH($C53,'Ingredient Database'!$B:$B,0)),""))</f>
        <v/>
      </c>
      <c r="F53" s="70" t="str">
        <f aca="false">IF(OR($C53="",$D53=""),"",D53*E53)</f>
        <v/>
      </c>
      <c r="G53" s="32"/>
      <c r="I53" s="72" t="str">
        <f aca="false">'Ingredient Database'!B49</f>
        <v>Oat Hay</v>
      </c>
      <c r="J53" s="73" t="n">
        <f aca="false">SUMIF($C$4:$C$503,I53,$F$4:$F$503)</f>
        <v>0</v>
      </c>
    </row>
    <row r="54" customFormat="false" ht="15" hidden="false" customHeight="false" outlineLevel="0" collapsed="false">
      <c r="A54" s="51"/>
      <c r="B54" s="38"/>
      <c r="C54" s="50"/>
      <c r="D54" s="71"/>
      <c r="E54" s="70" t="str">
        <f aca="false">IF($C54="","",IFERROR(INDEX('Ingredient Database'!$J:$J,MATCH($C54,'Ingredient Database'!$B:$B,0)),""))</f>
        <v/>
      </c>
      <c r="F54" s="70" t="str">
        <f aca="false">IF(OR($C54="",$D54=""),"",D54*E54)</f>
        <v/>
      </c>
      <c r="G54" s="32"/>
      <c r="I54" s="72" t="str">
        <f aca="false">'Ingredient Database'!B50</f>
        <v>Wheat Straw (Bhoosa)</v>
      </c>
      <c r="J54" s="73" t="n">
        <f aca="false">SUMIF($C$4:$C$503,I54,$F$4:$F$503)</f>
        <v>0</v>
      </c>
    </row>
    <row r="55" customFormat="false" ht="15" hidden="false" customHeight="false" outlineLevel="0" collapsed="false">
      <c r="A55" s="51"/>
      <c r="B55" s="38"/>
      <c r="C55" s="50"/>
      <c r="D55" s="71"/>
      <c r="E55" s="70" t="str">
        <f aca="false">IF($C55="","",IFERROR(INDEX('Ingredient Database'!$J:$J,MATCH($C55,'Ingredient Database'!$B:$B,0)),""))</f>
        <v/>
      </c>
      <c r="F55" s="70" t="str">
        <f aca="false">IF(OR($C55="",$D55=""),"",D55*E55)</f>
        <v/>
      </c>
      <c r="G55" s="32"/>
      <c r="I55" s="72" t="str">
        <f aca="false">'Ingredient Database'!B51</f>
        <v>Rice Straw</v>
      </c>
      <c r="J55" s="73" t="n">
        <f aca="false">SUMIF($C$4:$C$503,I55,$F$4:$F$503)</f>
        <v>0</v>
      </c>
    </row>
    <row r="56" customFormat="false" ht="15" hidden="false" customHeight="false" outlineLevel="0" collapsed="false">
      <c r="A56" s="51"/>
      <c r="B56" s="38"/>
      <c r="C56" s="50"/>
      <c r="D56" s="71"/>
      <c r="E56" s="70" t="str">
        <f aca="false">IF($C56="","",IFERROR(INDEX('Ingredient Database'!$J:$J,MATCH($C56,'Ingredient Database'!$B:$B,0)),""))</f>
        <v/>
      </c>
      <c r="F56" s="70" t="str">
        <f aca="false">IF(OR($C56="",$D56=""),"",D56*E56)</f>
        <v/>
      </c>
      <c r="G56" s="32"/>
      <c r="I56" s="72" t="str">
        <f aca="false">'Ingredient Database'!B52</f>
        <v>Maize Stover (Karbi)</v>
      </c>
      <c r="J56" s="73" t="n">
        <f aca="false">SUMIF($C$4:$C$503,I56,$F$4:$F$503)</f>
        <v>0</v>
      </c>
    </row>
    <row r="57" customFormat="false" ht="15" hidden="false" customHeight="false" outlineLevel="0" collapsed="false">
      <c r="A57" s="51"/>
      <c r="B57" s="38"/>
      <c r="C57" s="50"/>
      <c r="D57" s="71"/>
      <c r="E57" s="70" t="str">
        <f aca="false">IF($C57="","",IFERROR(INDEX('Ingredient Database'!$J:$J,MATCH($C57,'Ingredient Database'!$B:$B,0)),""))</f>
        <v/>
      </c>
      <c r="F57" s="70" t="str">
        <f aca="false">IF(OR($C57="",$D57=""),"",D57*E57)</f>
        <v/>
      </c>
      <c r="G57" s="32"/>
      <c r="I57" s="72" t="str">
        <f aca="false">'Ingredient Database'!B53</f>
        <v>Sorghum Stover</v>
      </c>
      <c r="J57" s="73" t="n">
        <f aca="false">SUMIF($C$4:$C$503,I57,$F$4:$F$503)</f>
        <v>0</v>
      </c>
    </row>
    <row r="58" customFormat="false" ht="15" hidden="false" customHeight="false" outlineLevel="0" collapsed="false">
      <c r="A58" s="51"/>
      <c r="B58" s="38"/>
      <c r="C58" s="50"/>
      <c r="D58" s="71"/>
      <c r="E58" s="70" t="str">
        <f aca="false">IF($C58="","",IFERROR(INDEX('Ingredient Database'!$J:$J,MATCH($C58,'Ingredient Database'!$B:$B,0)),""))</f>
        <v/>
      </c>
      <c r="F58" s="70" t="str">
        <f aca="false">IF(OR($C58="",$D58=""),"",D58*E58)</f>
        <v/>
      </c>
      <c r="G58" s="32"/>
      <c r="I58" s="72" t="str">
        <f aca="false">'Ingredient Database'!B54</f>
        <v>Millet Stover</v>
      </c>
      <c r="J58" s="73" t="n">
        <f aca="false">SUMIF($C$4:$C$503,I58,$F$4:$F$503)</f>
        <v>0</v>
      </c>
    </row>
    <row r="59" customFormat="false" ht="15" hidden="false" customHeight="false" outlineLevel="0" collapsed="false">
      <c r="A59" s="51"/>
      <c r="B59" s="38"/>
      <c r="C59" s="50"/>
      <c r="D59" s="71"/>
      <c r="E59" s="70" t="str">
        <f aca="false">IF($C59="","",IFERROR(INDEX('Ingredient Database'!$J:$J,MATCH($C59,'Ingredient Database'!$B:$B,0)),""))</f>
        <v/>
      </c>
      <c r="F59" s="70" t="str">
        <f aca="false">IF(OR($C59="",$D59=""),"",D59*E59)</f>
        <v/>
      </c>
      <c r="G59" s="32"/>
      <c r="I59" s="72" t="str">
        <f aca="false">'Ingredient Database'!B55</f>
        <v>Corn Cobs (Ground)</v>
      </c>
      <c r="J59" s="73" t="n">
        <f aca="false">SUMIF($C$4:$C$503,I59,$F$4:$F$503)</f>
        <v>0</v>
      </c>
    </row>
    <row r="60" customFormat="false" ht="15" hidden="false" customHeight="false" outlineLevel="0" collapsed="false">
      <c r="A60" s="51"/>
      <c r="B60" s="38"/>
      <c r="C60" s="50"/>
      <c r="D60" s="71"/>
      <c r="E60" s="70" t="str">
        <f aca="false">IF($C60="","",IFERROR(INDEX('Ingredient Database'!$J:$J,MATCH($C60,'Ingredient Database'!$B:$B,0)),""))</f>
        <v/>
      </c>
      <c r="F60" s="70" t="str">
        <f aca="false">IF(OR($C60="",$D60=""),"",D60*E60)</f>
        <v/>
      </c>
      <c r="G60" s="32"/>
      <c r="I60" s="72" t="str">
        <f aca="false">'Ingredient Database'!B56</f>
        <v>Gram / Chickpea Straw (Chana Bhoosa)</v>
      </c>
      <c r="J60" s="73" t="n">
        <f aca="false">SUMIF($C$4:$C$503,I60,$F$4:$F$503)</f>
        <v>0</v>
      </c>
    </row>
    <row r="61" customFormat="false" ht="15" hidden="false" customHeight="false" outlineLevel="0" collapsed="false">
      <c r="A61" s="51"/>
      <c r="B61" s="38"/>
      <c r="C61" s="50"/>
      <c r="D61" s="71"/>
      <c r="E61" s="70" t="str">
        <f aca="false">IF($C61="","",IFERROR(INDEX('Ingredient Database'!$J:$J,MATCH($C61,'Ingredient Database'!$B:$B,0)),""))</f>
        <v/>
      </c>
      <c r="F61" s="70" t="str">
        <f aca="false">IF(OR($C61="",$D61=""),"",D61*E61)</f>
        <v/>
      </c>
      <c r="G61" s="32"/>
      <c r="I61" s="72" t="str">
        <f aca="false">'Ingredient Database'!B57</f>
        <v>Cotton Stalks (Ground)</v>
      </c>
      <c r="J61" s="73" t="n">
        <f aca="false">SUMIF($C$4:$C$503,I61,$F$4:$F$503)</f>
        <v>0</v>
      </c>
    </row>
    <row r="62" customFormat="false" ht="15" hidden="false" customHeight="false" outlineLevel="0" collapsed="false">
      <c r="A62" s="51"/>
      <c r="B62" s="38"/>
      <c r="C62" s="50"/>
      <c r="D62" s="71"/>
      <c r="E62" s="70" t="str">
        <f aca="false">IF($C62="","",IFERROR(INDEX('Ingredient Database'!$J:$J,MATCH($C62,'Ingredient Database'!$B:$B,0)),""))</f>
        <v/>
      </c>
      <c r="F62" s="70" t="str">
        <f aca="false">IF(OR($C62="",$D62=""),"",D62*E62)</f>
        <v/>
      </c>
      <c r="G62" s="32"/>
      <c r="I62" s="72" t="str">
        <f aca="false">'Ingredient Database'!B58</f>
        <v>Sugarcane Tops</v>
      </c>
      <c r="J62" s="73" t="n">
        <f aca="false">SUMIF($C$4:$C$503,I62,$F$4:$F$503)</f>
        <v>0</v>
      </c>
    </row>
    <row r="63" customFormat="false" ht="15" hidden="false" customHeight="false" outlineLevel="0" collapsed="false">
      <c r="A63" s="51"/>
      <c r="B63" s="38"/>
      <c r="C63" s="50"/>
      <c r="D63" s="71"/>
      <c r="E63" s="70" t="str">
        <f aca="false">IF($C63="","",IFERROR(INDEX('Ingredient Database'!$J:$J,MATCH($C63,'Ingredient Database'!$B:$B,0)),""))</f>
        <v/>
      </c>
      <c r="F63" s="70" t="str">
        <f aca="false">IF(OR($C63="",$D63=""),"",D63*E63)</f>
        <v/>
      </c>
      <c r="G63" s="32"/>
      <c r="I63" s="72" t="str">
        <f aca="false">'Ingredient Database'!B59</f>
        <v>Sugarcane Bagasse</v>
      </c>
      <c r="J63" s="73" t="n">
        <f aca="false">SUMIF($C$4:$C$503,I63,$F$4:$F$503)</f>
        <v>0</v>
      </c>
    </row>
    <row r="64" customFormat="false" ht="15" hidden="false" customHeight="false" outlineLevel="0" collapsed="false">
      <c r="A64" s="51"/>
      <c r="B64" s="38"/>
      <c r="C64" s="50"/>
      <c r="D64" s="71"/>
      <c r="E64" s="70" t="str">
        <f aca="false">IF($C64="","",IFERROR(INDEX('Ingredient Database'!$J:$J,MATCH($C64,'Ingredient Database'!$B:$B,0)),""))</f>
        <v/>
      </c>
      <c r="F64" s="70" t="str">
        <f aca="false">IF(OR($C64="",$D64=""),"",D64*E64)</f>
        <v/>
      </c>
      <c r="G64" s="32"/>
    </row>
    <row r="65" customFormat="false" ht="15" hidden="false" customHeight="false" outlineLevel="0" collapsed="false">
      <c r="A65" s="51"/>
      <c r="B65" s="38"/>
      <c r="C65" s="50"/>
      <c r="D65" s="71"/>
      <c r="E65" s="70" t="str">
        <f aca="false">IF($C65="","",IFERROR(INDEX('Ingredient Database'!$J:$J,MATCH($C65,'Ingredient Database'!$B:$B,0)),""))</f>
        <v/>
      </c>
      <c r="F65" s="70" t="str">
        <f aca="false">IF(OR($C65="",$D65=""),"",D65*E65)</f>
        <v/>
      </c>
      <c r="G65" s="32"/>
    </row>
    <row r="66" customFormat="false" ht="15" hidden="false" customHeight="false" outlineLevel="0" collapsed="false">
      <c r="A66" s="51"/>
      <c r="B66" s="38"/>
      <c r="C66" s="50"/>
      <c r="D66" s="71"/>
      <c r="E66" s="70" t="str">
        <f aca="false">IF($C66="","",IFERROR(INDEX('Ingredient Database'!$J:$J,MATCH($C66,'Ingredient Database'!$B:$B,0)),""))</f>
        <v/>
      </c>
      <c r="F66" s="70" t="str">
        <f aca="false">IF(OR($C66="",$D66=""),"",D66*E66)</f>
        <v/>
      </c>
      <c r="G66" s="32"/>
    </row>
    <row r="67" customFormat="false" ht="15" hidden="false" customHeight="false" outlineLevel="0" collapsed="false">
      <c r="A67" s="51"/>
      <c r="B67" s="38"/>
      <c r="C67" s="50"/>
      <c r="D67" s="71"/>
      <c r="E67" s="70" t="str">
        <f aca="false">IF($C67="","",IFERROR(INDEX('Ingredient Database'!$J:$J,MATCH($C67,'Ingredient Database'!$B:$B,0)),""))</f>
        <v/>
      </c>
      <c r="F67" s="70" t="str">
        <f aca="false">IF(OR($C67="",$D67=""),"",D67*E67)</f>
        <v/>
      </c>
      <c r="G67" s="32"/>
    </row>
    <row r="68" customFormat="false" ht="15" hidden="false" customHeight="false" outlineLevel="0" collapsed="false">
      <c r="A68" s="51"/>
      <c r="B68" s="38"/>
      <c r="C68" s="50"/>
      <c r="D68" s="71"/>
      <c r="E68" s="70" t="str">
        <f aca="false">IF($C68="","",IFERROR(INDEX('Ingredient Database'!$J:$J,MATCH($C68,'Ingredient Database'!$B:$B,0)),""))</f>
        <v/>
      </c>
      <c r="F68" s="70" t="str">
        <f aca="false">IF(OR($C68="",$D68=""),"",D68*E68)</f>
        <v/>
      </c>
      <c r="G68" s="32"/>
    </row>
    <row r="69" customFormat="false" ht="15" hidden="false" customHeight="false" outlineLevel="0" collapsed="false">
      <c r="A69" s="51"/>
      <c r="B69" s="38"/>
      <c r="C69" s="50"/>
      <c r="D69" s="71"/>
      <c r="E69" s="70" t="str">
        <f aca="false">IF($C69="","",IFERROR(INDEX('Ingredient Database'!$J:$J,MATCH($C69,'Ingredient Database'!$B:$B,0)),""))</f>
        <v/>
      </c>
      <c r="F69" s="70" t="str">
        <f aca="false">IF(OR($C69="",$D69=""),"",D69*E69)</f>
        <v/>
      </c>
      <c r="G69" s="32"/>
    </row>
    <row r="70" customFormat="false" ht="15" hidden="false" customHeight="false" outlineLevel="0" collapsed="false">
      <c r="A70" s="51"/>
      <c r="B70" s="38"/>
      <c r="C70" s="50"/>
      <c r="D70" s="71"/>
      <c r="E70" s="70" t="str">
        <f aca="false">IF($C70="","",IFERROR(INDEX('Ingredient Database'!$J:$J,MATCH($C70,'Ingredient Database'!$B:$B,0)),""))</f>
        <v/>
      </c>
      <c r="F70" s="70" t="str">
        <f aca="false">IF(OR($C70="",$D70=""),"",D70*E70)</f>
        <v/>
      </c>
      <c r="G70" s="32"/>
    </row>
    <row r="71" customFormat="false" ht="15" hidden="false" customHeight="false" outlineLevel="0" collapsed="false">
      <c r="A71" s="51"/>
      <c r="B71" s="38"/>
      <c r="C71" s="50"/>
      <c r="D71" s="71"/>
      <c r="E71" s="70" t="str">
        <f aca="false">IF($C71="","",IFERROR(INDEX('Ingredient Database'!$J:$J,MATCH($C71,'Ingredient Database'!$B:$B,0)),""))</f>
        <v/>
      </c>
      <c r="F71" s="70" t="str">
        <f aca="false">IF(OR($C71="",$D71=""),"",D71*E71)</f>
        <v/>
      </c>
      <c r="G71" s="32"/>
    </row>
    <row r="72" customFormat="false" ht="15" hidden="false" customHeight="false" outlineLevel="0" collapsed="false">
      <c r="A72" s="51"/>
      <c r="B72" s="38"/>
      <c r="C72" s="50"/>
      <c r="D72" s="71"/>
      <c r="E72" s="70" t="str">
        <f aca="false">IF($C72="","",IFERROR(INDEX('Ingredient Database'!$J:$J,MATCH($C72,'Ingredient Database'!$B:$B,0)),""))</f>
        <v/>
      </c>
      <c r="F72" s="70" t="str">
        <f aca="false">IF(OR($C72="",$D72=""),"",D72*E72)</f>
        <v/>
      </c>
      <c r="G72" s="32"/>
    </row>
    <row r="73" customFormat="false" ht="15" hidden="false" customHeight="false" outlineLevel="0" collapsed="false">
      <c r="A73" s="51"/>
      <c r="B73" s="38"/>
      <c r="C73" s="50"/>
      <c r="D73" s="71"/>
      <c r="E73" s="70" t="str">
        <f aca="false">IF($C73="","",IFERROR(INDEX('Ingredient Database'!$J:$J,MATCH($C73,'Ingredient Database'!$B:$B,0)),""))</f>
        <v/>
      </c>
      <c r="F73" s="70" t="str">
        <f aca="false">IF(OR($C73="",$D73=""),"",D73*E73)</f>
        <v/>
      </c>
      <c r="G73" s="32"/>
    </row>
    <row r="74" customFormat="false" ht="15" hidden="false" customHeight="false" outlineLevel="0" collapsed="false">
      <c r="A74" s="51"/>
      <c r="B74" s="38"/>
      <c r="C74" s="50"/>
      <c r="D74" s="71"/>
      <c r="E74" s="70" t="str">
        <f aca="false">IF($C74="","",IFERROR(INDEX('Ingredient Database'!$J:$J,MATCH($C74,'Ingredient Database'!$B:$B,0)),""))</f>
        <v/>
      </c>
      <c r="F74" s="70" t="str">
        <f aca="false">IF(OR($C74="",$D74=""),"",D74*E74)</f>
        <v/>
      </c>
      <c r="G74" s="32"/>
    </row>
    <row r="75" customFormat="false" ht="15" hidden="false" customHeight="false" outlineLevel="0" collapsed="false">
      <c r="A75" s="51"/>
      <c r="B75" s="38"/>
      <c r="C75" s="50"/>
      <c r="D75" s="71"/>
      <c r="E75" s="70" t="str">
        <f aca="false">IF($C75="","",IFERROR(INDEX('Ingredient Database'!$J:$J,MATCH($C75,'Ingredient Database'!$B:$B,0)),""))</f>
        <v/>
      </c>
      <c r="F75" s="70" t="str">
        <f aca="false">IF(OR($C75="",$D75=""),"",D75*E75)</f>
        <v/>
      </c>
      <c r="G75" s="32"/>
    </row>
    <row r="76" customFormat="false" ht="15" hidden="false" customHeight="false" outlineLevel="0" collapsed="false">
      <c r="A76" s="51"/>
      <c r="B76" s="38"/>
      <c r="C76" s="50"/>
      <c r="D76" s="71"/>
      <c r="E76" s="70" t="str">
        <f aca="false">IF($C76="","",IFERROR(INDEX('Ingredient Database'!$J:$J,MATCH($C76,'Ingredient Database'!$B:$B,0)),""))</f>
        <v/>
      </c>
      <c r="F76" s="70" t="str">
        <f aca="false">IF(OR($C76="",$D76=""),"",D76*E76)</f>
        <v/>
      </c>
      <c r="G76" s="32"/>
    </row>
    <row r="77" customFormat="false" ht="15" hidden="false" customHeight="false" outlineLevel="0" collapsed="false">
      <c r="A77" s="51"/>
      <c r="B77" s="38"/>
      <c r="C77" s="50"/>
      <c r="D77" s="71"/>
      <c r="E77" s="70" t="str">
        <f aca="false">IF($C77="","",IFERROR(INDEX('Ingredient Database'!$J:$J,MATCH($C77,'Ingredient Database'!$B:$B,0)),""))</f>
        <v/>
      </c>
      <c r="F77" s="70" t="str">
        <f aca="false">IF(OR($C77="",$D77=""),"",D77*E77)</f>
        <v/>
      </c>
      <c r="G77" s="32"/>
    </row>
    <row r="78" customFormat="false" ht="15" hidden="false" customHeight="false" outlineLevel="0" collapsed="false">
      <c r="A78" s="51"/>
      <c r="B78" s="38"/>
      <c r="C78" s="50"/>
      <c r="D78" s="71"/>
      <c r="E78" s="70" t="str">
        <f aca="false">IF($C78="","",IFERROR(INDEX('Ingredient Database'!$J:$J,MATCH($C78,'Ingredient Database'!$B:$B,0)),""))</f>
        <v/>
      </c>
      <c r="F78" s="70" t="str">
        <f aca="false">IF(OR($C78="",$D78=""),"",D78*E78)</f>
        <v/>
      </c>
      <c r="G78" s="32"/>
    </row>
    <row r="79" customFormat="false" ht="15" hidden="false" customHeight="false" outlineLevel="0" collapsed="false">
      <c r="A79" s="51"/>
      <c r="B79" s="38"/>
      <c r="C79" s="50"/>
      <c r="D79" s="71"/>
      <c r="E79" s="70" t="str">
        <f aca="false">IF($C79="","",IFERROR(INDEX('Ingredient Database'!$J:$J,MATCH($C79,'Ingredient Database'!$B:$B,0)),""))</f>
        <v/>
      </c>
      <c r="F79" s="70" t="str">
        <f aca="false">IF(OR($C79="",$D79=""),"",D79*E79)</f>
        <v/>
      </c>
      <c r="G79" s="32"/>
    </row>
    <row r="80" customFormat="false" ht="15" hidden="false" customHeight="false" outlineLevel="0" collapsed="false">
      <c r="A80" s="51"/>
      <c r="B80" s="38"/>
      <c r="C80" s="50"/>
      <c r="D80" s="71"/>
      <c r="E80" s="70" t="str">
        <f aca="false">IF($C80="","",IFERROR(INDEX('Ingredient Database'!$J:$J,MATCH($C80,'Ingredient Database'!$B:$B,0)),""))</f>
        <v/>
      </c>
      <c r="F80" s="70" t="str">
        <f aca="false">IF(OR($C80="",$D80=""),"",D80*E80)</f>
        <v/>
      </c>
      <c r="G80" s="32"/>
    </row>
    <row r="81" customFormat="false" ht="15" hidden="false" customHeight="false" outlineLevel="0" collapsed="false">
      <c r="A81" s="51"/>
      <c r="B81" s="38"/>
      <c r="C81" s="50"/>
      <c r="D81" s="71"/>
      <c r="E81" s="70" t="str">
        <f aca="false">IF($C81="","",IFERROR(INDEX('Ingredient Database'!$J:$J,MATCH($C81,'Ingredient Database'!$B:$B,0)),""))</f>
        <v/>
      </c>
      <c r="F81" s="70" t="str">
        <f aca="false">IF(OR($C81="",$D81=""),"",D81*E81)</f>
        <v/>
      </c>
      <c r="G81" s="32"/>
    </row>
    <row r="82" customFormat="false" ht="15" hidden="false" customHeight="false" outlineLevel="0" collapsed="false">
      <c r="A82" s="51"/>
      <c r="B82" s="38"/>
      <c r="C82" s="50"/>
      <c r="D82" s="71"/>
      <c r="E82" s="70" t="str">
        <f aca="false">IF($C82="","",IFERROR(INDEX('Ingredient Database'!$J:$J,MATCH($C82,'Ingredient Database'!$B:$B,0)),""))</f>
        <v/>
      </c>
      <c r="F82" s="70" t="str">
        <f aca="false">IF(OR($C82="",$D82=""),"",D82*E82)</f>
        <v/>
      </c>
      <c r="G82" s="32"/>
    </row>
    <row r="83" customFormat="false" ht="15" hidden="false" customHeight="false" outlineLevel="0" collapsed="false">
      <c r="A83" s="51"/>
      <c r="B83" s="38"/>
      <c r="C83" s="50"/>
      <c r="D83" s="71"/>
      <c r="E83" s="70" t="str">
        <f aca="false">IF($C83="","",IFERROR(INDEX('Ingredient Database'!$J:$J,MATCH($C83,'Ingredient Database'!$B:$B,0)),""))</f>
        <v/>
      </c>
      <c r="F83" s="70" t="str">
        <f aca="false">IF(OR($C83="",$D83=""),"",D83*E83)</f>
        <v/>
      </c>
      <c r="G83" s="32"/>
    </row>
    <row r="84" customFormat="false" ht="15" hidden="false" customHeight="false" outlineLevel="0" collapsed="false">
      <c r="A84" s="51"/>
      <c r="B84" s="38"/>
      <c r="C84" s="50"/>
      <c r="D84" s="71"/>
      <c r="E84" s="70" t="str">
        <f aca="false">IF($C84="","",IFERROR(INDEX('Ingredient Database'!$J:$J,MATCH($C84,'Ingredient Database'!$B:$B,0)),""))</f>
        <v/>
      </c>
      <c r="F84" s="70" t="str">
        <f aca="false">IF(OR($C84="",$D84=""),"",D84*E84)</f>
        <v/>
      </c>
      <c r="G84" s="32"/>
    </row>
    <row r="85" customFormat="false" ht="15" hidden="false" customHeight="false" outlineLevel="0" collapsed="false">
      <c r="A85" s="51"/>
      <c r="B85" s="38"/>
      <c r="C85" s="50"/>
      <c r="D85" s="71"/>
      <c r="E85" s="70" t="str">
        <f aca="false">IF($C85="","",IFERROR(INDEX('Ingredient Database'!$J:$J,MATCH($C85,'Ingredient Database'!$B:$B,0)),""))</f>
        <v/>
      </c>
      <c r="F85" s="70" t="str">
        <f aca="false">IF(OR($C85="",$D85=""),"",D85*E85)</f>
        <v/>
      </c>
      <c r="G85" s="32"/>
    </row>
    <row r="86" customFormat="false" ht="15" hidden="false" customHeight="false" outlineLevel="0" collapsed="false">
      <c r="A86" s="51"/>
      <c r="B86" s="38"/>
      <c r="C86" s="50"/>
      <c r="D86" s="71"/>
      <c r="E86" s="70" t="str">
        <f aca="false">IF($C86="","",IFERROR(INDEX('Ingredient Database'!$J:$J,MATCH($C86,'Ingredient Database'!$B:$B,0)),""))</f>
        <v/>
      </c>
      <c r="F86" s="70" t="str">
        <f aca="false">IF(OR($C86="",$D86=""),"",D86*E86)</f>
        <v/>
      </c>
      <c r="G86" s="32"/>
    </row>
    <row r="87" customFormat="false" ht="15" hidden="false" customHeight="false" outlineLevel="0" collapsed="false">
      <c r="A87" s="51"/>
      <c r="B87" s="38"/>
      <c r="C87" s="50"/>
      <c r="D87" s="71"/>
      <c r="E87" s="70" t="str">
        <f aca="false">IF($C87="","",IFERROR(INDEX('Ingredient Database'!$J:$J,MATCH($C87,'Ingredient Database'!$B:$B,0)),""))</f>
        <v/>
      </c>
      <c r="F87" s="70" t="str">
        <f aca="false">IF(OR($C87="",$D87=""),"",D87*E87)</f>
        <v/>
      </c>
      <c r="G87" s="32"/>
    </row>
    <row r="88" customFormat="false" ht="15" hidden="false" customHeight="false" outlineLevel="0" collapsed="false">
      <c r="A88" s="51"/>
      <c r="B88" s="38"/>
      <c r="C88" s="50"/>
      <c r="D88" s="71"/>
      <c r="E88" s="70" t="str">
        <f aca="false">IF($C88="","",IFERROR(INDEX('Ingredient Database'!$J:$J,MATCH($C88,'Ingredient Database'!$B:$B,0)),""))</f>
        <v/>
      </c>
      <c r="F88" s="70" t="str">
        <f aca="false">IF(OR($C88="",$D88=""),"",D88*E88)</f>
        <v/>
      </c>
      <c r="G88" s="32"/>
    </row>
    <row r="89" customFormat="false" ht="15" hidden="false" customHeight="false" outlineLevel="0" collapsed="false">
      <c r="A89" s="51"/>
      <c r="B89" s="38"/>
      <c r="C89" s="50"/>
      <c r="D89" s="71"/>
      <c r="E89" s="70" t="str">
        <f aca="false">IF($C89="","",IFERROR(INDEX('Ingredient Database'!$J:$J,MATCH($C89,'Ingredient Database'!$B:$B,0)),""))</f>
        <v/>
      </c>
      <c r="F89" s="70" t="str">
        <f aca="false">IF(OR($C89="",$D89=""),"",D89*E89)</f>
        <v/>
      </c>
      <c r="G89" s="32"/>
    </row>
    <row r="90" customFormat="false" ht="15" hidden="false" customHeight="false" outlineLevel="0" collapsed="false">
      <c r="A90" s="51"/>
      <c r="B90" s="38"/>
      <c r="C90" s="50"/>
      <c r="D90" s="71"/>
      <c r="E90" s="70" t="str">
        <f aca="false">IF($C90="","",IFERROR(INDEX('Ingredient Database'!$J:$J,MATCH($C90,'Ingredient Database'!$B:$B,0)),""))</f>
        <v/>
      </c>
      <c r="F90" s="70" t="str">
        <f aca="false">IF(OR($C90="",$D90=""),"",D90*E90)</f>
        <v/>
      </c>
      <c r="G90" s="32"/>
    </row>
    <row r="91" customFormat="false" ht="15" hidden="false" customHeight="false" outlineLevel="0" collapsed="false">
      <c r="A91" s="51"/>
      <c r="B91" s="38"/>
      <c r="C91" s="50"/>
      <c r="D91" s="71"/>
      <c r="E91" s="70" t="str">
        <f aca="false">IF($C91="","",IFERROR(INDEX('Ingredient Database'!$J:$J,MATCH($C91,'Ingredient Database'!$B:$B,0)),""))</f>
        <v/>
      </c>
      <c r="F91" s="70" t="str">
        <f aca="false">IF(OR($C91="",$D91=""),"",D91*E91)</f>
        <v/>
      </c>
      <c r="G91" s="32"/>
    </row>
    <row r="92" customFormat="false" ht="15" hidden="false" customHeight="false" outlineLevel="0" collapsed="false">
      <c r="A92" s="51"/>
      <c r="B92" s="38"/>
      <c r="C92" s="50"/>
      <c r="D92" s="71"/>
      <c r="E92" s="70" t="str">
        <f aca="false">IF($C92="","",IFERROR(INDEX('Ingredient Database'!$J:$J,MATCH($C92,'Ingredient Database'!$B:$B,0)),""))</f>
        <v/>
      </c>
      <c r="F92" s="70" t="str">
        <f aca="false">IF(OR($C92="",$D92=""),"",D92*E92)</f>
        <v/>
      </c>
      <c r="G92" s="32"/>
    </row>
    <row r="93" customFormat="false" ht="15" hidden="false" customHeight="false" outlineLevel="0" collapsed="false">
      <c r="A93" s="51"/>
      <c r="B93" s="38"/>
      <c r="C93" s="50"/>
      <c r="D93" s="71"/>
      <c r="E93" s="70" t="str">
        <f aca="false">IF($C93="","",IFERROR(INDEX('Ingredient Database'!$J:$J,MATCH($C93,'Ingredient Database'!$B:$B,0)),""))</f>
        <v/>
      </c>
      <c r="F93" s="70" t="str">
        <f aca="false">IF(OR($C93="",$D93=""),"",D93*E93)</f>
        <v/>
      </c>
      <c r="G93" s="32"/>
    </row>
    <row r="94" customFormat="false" ht="15" hidden="false" customHeight="false" outlineLevel="0" collapsed="false">
      <c r="A94" s="51"/>
      <c r="B94" s="38"/>
      <c r="C94" s="50"/>
      <c r="D94" s="71"/>
      <c r="E94" s="70" t="str">
        <f aca="false">IF($C94="","",IFERROR(INDEX('Ingredient Database'!$J:$J,MATCH($C94,'Ingredient Database'!$B:$B,0)),""))</f>
        <v/>
      </c>
      <c r="F94" s="70" t="str">
        <f aca="false">IF(OR($C94="",$D94=""),"",D94*E94)</f>
        <v/>
      </c>
      <c r="G94" s="32"/>
    </row>
    <row r="95" customFormat="false" ht="15" hidden="false" customHeight="false" outlineLevel="0" collapsed="false">
      <c r="A95" s="51"/>
      <c r="B95" s="38"/>
      <c r="C95" s="50"/>
      <c r="D95" s="71"/>
      <c r="E95" s="70" t="str">
        <f aca="false">IF($C95="","",IFERROR(INDEX('Ingredient Database'!$J:$J,MATCH($C95,'Ingredient Database'!$B:$B,0)),""))</f>
        <v/>
      </c>
      <c r="F95" s="70" t="str">
        <f aca="false">IF(OR($C95="",$D95=""),"",D95*E95)</f>
        <v/>
      </c>
      <c r="G95" s="32"/>
    </row>
    <row r="96" customFormat="false" ht="15" hidden="false" customHeight="false" outlineLevel="0" collapsed="false">
      <c r="A96" s="51"/>
      <c r="B96" s="38"/>
      <c r="C96" s="50"/>
      <c r="D96" s="71"/>
      <c r="E96" s="70" t="str">
        <f aca="false">IF($C96="","",IFERROR(INDEX('Ingredient Database'!$J:$J,MATCH($C96,'Ingredient Database'!$B:$B,0)),""))</f>
        <v/>
      </c>
      <c r="F96" s="70" t="str">
        <f aca="false">IF(OR($C96="",$D96=""),"",D96*E96)</f>
        <v/>
      </c>
      <c r="G96" s="32"/>
    </row>
    <row r="97" customFormat="false" ht="15" hidden="false" customHeight="false" outlineLevel="0" collapsed="false">
      <c r="A97" s="51"/>
      <c r="B97" s="38"/>
      <c r="C97" s="50"/>
      <c r="D97" s="71"/>
      <c r="E97" s="70" t="str">
        <f aca="false">IF($C97="","",IFERROR(INDEX('Ingredient Database'!$J:$J,MATCH($C97,'Ingredient Database'!$B:$B,0)),""))</f>
        <v/>
      </c>
      <c r="F97" s="70" t="str">
        <f aca="false">IF(OR($C97="",$D97=""),"",D97*E97)</f>
        <v/>
      </c>
      <c r="G97" s="32"/>
    </row>
    <row r="98" customFormat="false" ht="15" hidden="false" customHeight="false" outlineLevel="0" collapsed="false">
      <c r="A98" s="51"/>
      <c r="B98" s="38"/>
      <c r="C98" s="50"/>
      <c r="D98" s="71"/>
      <c r="E98" s="70" t="str">
        <f aca="false">IF($C98="","",IFERROR(INDEX('Ingredient Database'!$J:$J,MATCH($C98,'Ingredient Database'!$B:$B,0)),""))</f>
        <v/>
      </c>
      <c r="F98" s="70" t="str">
        <f aca="false">IF(OR($C98="",$D98=""),"",D98*E98)</f>
        <v/>
      </c>
      <c r="G98" s="32"/>
    </row>
    <row r="99" customFormat="false" ht="15" hidden="false" customHeight="false" outlineLevel="0" collapsed="false">
      <c r="A99" s="51"/>
      <c r="B99" s="38"/>
      <c r="C99" s="50"/>
      <c r="D99" s="71"/>
      <c r="E99" s="70" t="str">
        <f aca="false">IF($C99="","",IFERROR(INDEX('Ingredient Database'!$J:$J,MATCH($C99,'Ingredient Database'!$B:$B,0)),""))</f>
        <v/>
      </c>
      <c r="F99" s="70" t="str">
        <f aca="false">IF(OR($C99="",$D99=""),"",D99*E99)</f>
        <v/>
      </c>
      <c r="G99" s="32"/>
    </row>
    <row r="100" customFormat="false" ht="15" hidden="false" customHeight="false" outlineLevel="0" collapsed="false">
      <c r="A100" s="51"/>
      <c r="B100" s="38"/>
      <c r="C100" s="50"/>
      <c r="D100" s="71"/>
      <c r="E100" s="70" t="str">
        <f aca="false">IF($C100="","",IFERROR(INDEX('Ingredient Database'!$J:$J,MATCH($C100,'Ingredient Database'!$B:$B,0)),""))</f>
        <v/>
      </c>
      <c r="F100" s="70" t="str">
        <f aca="false">IF(OR($C100="",$D100=""),"",D100*E100)</f>
        <v/>
      </c>
      <c r="G100" s="32"/>
    </row>
    <row r="101" customFormat="false" ht="15" hidden="false" customHeight="false" outlineLevel="0" collapsed="false">
      <c r="A101" s="51"/>
      <c r="B101" s="38"/>
      <c r="C101" s="50"/>
      <c r="D101" s="71"/>
      <c r="E101" s="70" t="str">
        <f aca="false">IF($C101="","",IFERROR(INDEX('Ingredient Database'!$J:$J,MATCH($C101,'Ingredient Database'!$B:$B,0)),""))</f>
        <v/>
      </c>
      <c r="F101" s="70" t="str">
        <f aca="false">IF(OR($C101="",$D101=""),"",D101*E101)</f>
        <v/>
      </c>
      <c r="G101" s="32"/>
    </row>
    <row r="102" customFormat="false" ht="15" hidden="false" customHeight="false" outlineLevel="0" collapsed="false">
      <c r="A102" s="51"/>
      <c r="B102" s="38"/>
      <c r="C102" s="50"/>
      <c r="D102" s="71"/>
      <c r="E102" s="70" t="str">
        <f aca="false">IF($C102="","",IFERROR(INDEX('Ingredient Database'!$J:$J,MATCH($C102,'Ingredient Database'!$B:$B,0)),""))</f>
        <v/>
      </c>
      <c r="F102" s="70" t="str">
        <f aca="false">IF(OR($C102="",$D102=""),"",D102*E102)</f>
        <v/>
      </c>
      <c r="G102" s="32"/>
    </row>
    <row r="103" customFormat="false" ht="15" hidden="false" customHeight="false" outlineLevel="0" collapsed="false">
      <c r="A103" s="51"/>
      <c r="B103" s="38"/>
      <c r="C103" s="50"/>
      <c r="D103" s="71"/>
      <c r="E103" s="70" t="str">
        <f aca="false">IF($C103="","",IFERROR(INDEX('Ingredient Database'!$J:$J,MATCH($C103,'Ingredient Database'!$B:$B,0)),""))</f>
        <v/>
      </c>
      <c r="F103" s="70" t="str">
        <f aca="false">IF(OR($C103="",$D103=""),"",D103*E103)</f>
        <v/>
      </c>
      <c r="G103" s="32"/>
    </row>
    <row r="104" customFormat="false" ht="15" hidden="false" customHeight="false" outlineLevel="0" collapsed="false">
      <c r="A104" s="51"/>
      <c r="B104" s="38"/>
      <c r="C104" s="50"/>
      <c r="D104" s="71"/>
      <c r="E104" s="70" t="str">
        <f aca="false">IF($C104="","",IFERROR(INDEX('Ingredient Database'!$J:$J,MATCH($C104,'Ingredient Database'!$B:$B,0)),""))</f>
        <v/>
      </c>
      <c r="F104" s="70" t="str">
        <f aca="false">IF(OR($C104="",$D104=""),"",D104*E104)</f>
        <v/>
      </c>
      <c r="G104" s="32"/>
    </row>
    <row r="105" customFormat="false" ht="15" hidden="false" customHeight="false" outlineLevel="0" collapsed="false">
      <c r="A105" s="51"/>
      <c r="B105" s="38"/>
      <c r="C105" s="50"/>
      <c r="D105" s="71"/>
      <c r="E105" s="70" t="str">
        <f aca="false">IF($C105="","",IFERROR(INDEX('Ingredient Database'!$J:$J,MATCH($C105,'Ingredient Database'!$B:$B,0)),""))</f>
        <v/>
      </c>
      <c r="F105" s="70" t="str">
        <f aca="false">IF(OR($C105="",$D105=""),"",D105*E105)</f>
        <v/>
      </c>
      <c r="G105" s="32"/>
    </row>
    <row r="106" customFormat="false" ht="15" hidden="false" customHeight="false" outlineLevel="0" collapsed="false">
      <c r="A106" s="51"/>
      <c r="B106" s="38"/>
      <c r="C106" s="50"/>
      <c r="D106" s="71"/>
      <c r="E106" s="70" t="str">
        <f aca="false">IF($C106="","",IFERROR(INDEX('Ingredient Database'!$J:$J,MATCH($C106,'Ingredient Database'!$B:$B,0)),""))</f>
        <v/>
      </c>
      <c r="F106" s="70" t="str">
        <f aca="false">IF(OR($C106="",$D106=""),"",D106*E106)</f>
        <v/>
      </c>
      <c r="G106" s="32"/>
    </row>
    <row r="107" customFormat="false" ht="15" hidden="false" customHeight="false" outlineLevel="0" collapsed="false">
      <c r="A107" s="51"/>
      <c r="B107" s="38"/>
      <c r="C107" s="50"/>
      <c r="D107" s="71"/>
      <c r="E107" s="70" t="str">
        <f aca="false">IF($C107="","",IFERROR(INDEX('Ingredient Database'!$J:$J,MATCH($C107,'Ingredient Database'!$B:$B,0)),""))</f>
        <v/>
      </c>
      <c r="F107" s="70" t="str">
        <f aca="false">IF(OR($C107="",$D107=""),"",D107*E107)</f>
        <v/>
      </c>
      <c r="G107" s="32"/>
    </row>
    <row r="108" customFormat="false" ht="15" hidden="false" customHeight="false" outlineLevel="0" collapsed="false">
      <c r="A108" s="51"/>
      <c r="B108" s="38"/>
      <c r="C108" s="50"/>
      <c r="D108" s="71"/>
      <c r="E108" s="70" t="str">
        <f aca="false">IF($C108="","",IFERROR(INDEX('Ingredient Database'!$J:$J,MATCH($C108,'Ingredient Database'!$B:$B,0)),""))</f>
        <v/>
      </c>
      <c r="F108" s="70" t="str">
        <f aca="false">IF(OR($C108="",$D108=""),"",D108*E108)</f>
        <v/>
      </c>
      <c r="G108" s="32"/>
    </row>
    <row r="109" customFormat="false" ht="15" hidden="false" customHeight="false" outlineLevel="0" collapsed="false">
      <c r="A109" s="51"/>
      <c r="B109" s="38"/>
      <c r="C109" s="50"/>
      <c r="D109" s="71"/>
      <c r="E109" s="70" t="str">
        <f aca="false">IF($C109="","",IFERROR(INDEX('Ingredient Database'!$J:$J,MATCH($C109,'Ingredient Database'!$B:$B,0)),""))</f>
        <v/>
      </c>
      <c r="F109" s="70" t="str">
        <f aca="false">IF(OR($C109="",$D109=""),"",D109*E109)</f>
        <v/>
      </c>
      <c r="G109" s="32"/>
    </row>
    <row r="110" customFormat="false" ht="15" hidden="false" customHeight="false" outlineLevel="0" collapsed="false">
      <c r="A110" s="51"/>
      <c r="B110" s="38"/>
      <c r="C110" s="50"/>
      <c r="D110" s="71"/>
      <c r="E110" s="70" t="str">
        <f aca="false">IF($C110="","",IFERROR(INDEX('Ingredient Database'!$J:$J,MATCH($C110,'Ingredient Database'!$B:$B,0)),""))</f>
        <v/>
      </c>
      <c r="F110" s="70" t="str">
        <f aca="false">IF(OR($C110="",$D110=""),"",D110*E110)</f>
        <v/>
      </c>
      <c r="G110" s="32"/>
    </row>
    <row r="111" customFormat="false" ht="15" hidden="false" customHeight="false" outlineLevel="0" collapsed="false">
      <c r="A111" s="51"/>
      <c r="B111" s="38"/>
      <c r="C111" s="50"/>
      <c r="D111" s="71"/>
      <c r="E111" s="70" t="str">
        <f aca="false">IF($C111="","",IFERROR(INDEX('Ingredient Database'!$J:$J,MATCH($C111,'Ingredient Database'!$B:$B,0)),""))</f>
        <v/>
      </c>
      <c r="F111" s="70" t="str">
        <f aca="false">IF(OR($C111="",$D111=""),"",D111*E111)</f>
        <v/>
      </c>
      <c r="G111" s="32"/>
    </row>
    <row r="112" customFormat="false" ht="15" hidden="false" customHeight="false" outlineLevel="0" collapsed="false">
      <c r="A112" s="51"/>
      <c r="B112" s="38"/>
      <c r="C112" s="50"/>
      <c r="D112" s="71"/>
      <c r="E112" s="70" t="str">
        <f aca="false">IF($C112="","",IFERROR(INDEX('Ingredient Database'!$J:$J,MATCH($C112,'Ingredient Database'!$B:$B,0)),""))</f>
        <v/>
      </c>
      <c r="F112" s="70" t="str">
        <f aca="false">IF(OR($C112="",$D112=""),"",D112*E112)</f>
        <v/>
      </c>
      <c r="G112" s="32"/>
    </row>
    <row r="113" customFormat="false" ht="15" hidden="false" customHeight="false" outlineLevel="0" collapsed="false">
      <c r="A113" s="51"/>
      <c r="B113" s="38"/>
      <c r="C113" s="50"/>
      <c r="D113" s="71"/>
      <c r="E113" s="70" t="str">
        <f aca="false">IF($C113="","",IFERROR(INDEX('Ingredient Database'!$J:$J,MATCH($C113,'Ingredient Database'!$B:$B,0)),""))</f>
        <v/>
      </c>
      <c r="F113" s="70" t="str">
        <f aca="false">IF(OR($C113="",$D113=""),"",D113*E113)</f>
        <v/>
      </c>
      <c r="G113" s="32"/>
    </row>
    <row r="114" customFormat="false" ht="15" hidden="false" customHeight="false" outlineLevel="0" collapsed="false">
      <c r="A114" s="51"/>
      <c r="B114" s="38"/>
      <c r="C114" s="50"/>
      <c r="D114" s="71"/>
      <c r="E114" s="70" t="str">
        <f aca="false">IF($C114="","",IFERROR(INDEX('Ingredient Database'!$J:$J,MATCH($C114,'Ingredient Database'!$B:$B,0)),""))</f>
        <v/>
      </c>
      <c r="F114" s="70" t="str">
        <f aca="false">IF(OR($C114="",$D114=""),"",D114*E114)</f>
        <v/>
      </c>
      <c r="G114" s="32"/>
    </row>
    <row r="115" customFormat="false" ht="15" hidden="false" customHeight="false" outlineLevel="0" collapsed="false">
      <c r="A115" s="51"/>
      <c r="B115" s="38"/>
      <c r="C115" s="50"/>
      <c r="D115" s="71"/>
      <c r="E115" s="70" t="str">
        <f aca="false">IF($C115="","",IFERROR(INDEX('Ingredient Database'!$J:$J,MATCH($C115,'Ingredient Database'!$B:$B,0)),""))</f>
        <v/>
      </c>
      <c r="F115" s="70" t="str">
        <f aca="false">IF(OR($C115="",$D115=""),"",D115*E115)</f>
        <v/>
      </c>
      <c r="G115" s="32"/>
    </row>
    <row r="116" customFormat="false" ht="15" hidden="false" customHeight="false" outlineLevel="0" collapsed="false">
      <c r="A116" s="51"/>
      <c r="B116" s="38"/>
      <c r="C116" s="50"/>
      <c r="D116" s="71"/>
      <c r="E116" s="70" t="str">
        <f aca="false">IF($C116="","",IFERROR(INDEX('Ingredient Database'!$J:$J,MATCH($C116,'Ingredient Database'!$B:$B,0)),""))</f>
        <v/>
      </c>
      <c r="F116" s="70" t="str">
        <f aca="false">IF(OR($C116="",$D116=""),"",D116*E116)</f>
        <v/>
      </c>
      <c r="G116" s="32"/>
    </row>
    <row r="117" customFormat="false" ht="15" hidden="false" customHeight="false" outlineLevel="0" collapsed="false">
      <c r="A117" s="51"/>
      <c r="B117" s="38"/>
      <c r="C117" s="50"/>
      <c r="D117" s="71"/>
      <c r="E117" s="70" t="str">
        <f aca="false">IF($C117="","",IFERROR(INDEX('Ingredient Database'!$J:$J,MATCH($C117,'Ingredient Database'!$B:$B,0)),""))</f>
        <v/>
      </c>
      <c r="F117" s="70" t="str">
        <f aca="false">IF(OR($C117="",$D117=""),"",D117*E117)</f>
        <v/>
      </c>
      <c r="G117" s="32"/>
    </row>
    <row r="118" customFormat="false" ht="15" hidden="false" customHeight="false" outlineLevel="0" collapsed="false">
      <c r="A118" s="51"/>
      <c r="B118" s="38"/>
      <c r="C118" s="50"/>
      <c r="D118" s="71"/>
      <c r="E118" s="70" t="str">
        <f aca="false">IF($C118="","",IFERROR(INDEX('Ingredient Database'!$J:$J,MATCH($C118,'Ingredient Database'!$B:$B,0)),""))</f>
        <v/>
      </c>
      <c r="F118" s="70" t="str">
        <f aca="false">IF(OR($C118="",$D118=""),"",D118*E118)</f>
        <v/>
      </c>
      <c r="G118" s="32"/>
    </row>
    <row r="119" customFormat="false" ht="15" hidden="false" customHeight="false" outlineLevel="0" collapsed="false">
      <c r="A119" s="51"/>
      <c r="B119" s="38"/>
      <c r="C119" s="50"/>
      <c r="D119" s="71"/>
      <c r="E119" s="70" t="str">
        <f aca="false">IF($C119="","",IFERROR(INDEX('Ingredient Database'!$J:$J,MATCH($C119,'Ingredient Database'!$B:$B,0)),""))</f>
        <v/>
      </c>
      <c r="F119" s="70" t="str">
        <f aca="false">IF(OR($C119="",$D119=""),"",D119*E119)</f>
        <v/>
      </c>
      <c r="G119" s="32"/>
    </row>
    <row r="120" customFormat="false" ht="15" hidden="false" customHeight="false" outlineLevel="0" collapsed="false">
      <c r="A120" s="51"/>
      <c r="B120" s="38"/>
      <c r="C120" s="50"/>
      <c r="D120" s="71"/>
      <c r="E120" s="70" t="str">
        <f aca="false">IF($C120="","",IFERROR(INDEX('Ingredient Database'!$J:$J,MATCH($C120,'Ingredient Database'!$B:$B,0)),""))</f>
        <v/>
      </c>
      <c r="F120" s="70" t="str">
        <f aca="false">IF(OR($C120="",$D120=""),"",D120*E120)</f>
        <v/>
      </c>
      <c r="G120" s="32"/>
    </row>
    <row r="121" customFormat="false" ht="15" hidden="false" customHeight="false" outlineLevel="0" collapsed="false">
      <c r="A121" s="51"/>
      <c r="B121" s="38"/>
      <c r="C121" s="50"/>
      <c r="D121" s="71"/>
      <c r="E121" s="70" t="str">
        <f aca="false">IF($C121="","",IFERROR(INDEX('Ingredient Database'!$J:$J,MATCH($C121,'Ingredient Database'!$B:$B,0)),""))</f>
        <v/>
      </c>
      <c r="F121" s="70" t="str">
        <f aca="false">IF(OR($C121="",$D121=""),"",D121*E121)</f>
        <v/>
      </c>
      <c r="G121" s="32"/>
    </row>
    <row r="122" customFormat="false" ht="15" hidden="false" customHeight="false" outlineLevel="0" collapsed="false">
      <c r="A122" s="51"/>
      <c r="B122" s="38"/>
      <c r="C122" s="50"/>
      <c r="D122" s="71"/>
      <c r="E122" s="70" t="str">
        <f aca="false">IF($C122="","",IFERROR(INDEX('Ingredient Database'!$J:$J,MATCH($C122,'Ingredient Database'!$B:$B,0)),""))</f>
        <v/>
      </c>
      <c r="F122" s="70" t="str">
        <f aca="false">IF(OR($C122="",$D122=""),"",D122*E122)</f>
        <v/>
      </c>
      <c r="G122" s="32"/>
    </row>
    <row r="123" customFormat="false" ht="15" hidden="false" customHeight="false" outlineLevel="0" collapsed="false">
      <c r="A123" s="51"/>
      <c r="B123" s="38"/>
      <c r="C123" s="50"/>
      <c r="D123" s="71"/>
      <c r="E123" s="70" t="str">
        <f aca="false">IF($C123="","",IFERROR(INDEX('Ingredient Database'!$J:$J,MATCH($C123,'Ingredient Database'!$B:$B,0)),""))</f>
        <v/>
      </c>
      <c r="F123" s="70" t="str">
        <f aca="false">IF(OR($C123="",$D123=""),"",D123*E123)</f>
        <v/>
      </c>
      <c r="G123" s="32"/>
    </row>
    <row r="124" customFormat="false" ht="15" hidden="false" customHeight="false" outlineLevel="0" collapsed="false">
      <c r="A124" s="51"/>
      <c r="B124" s="38"/>
      <c r="C124" s="50"/>
      <c r="D124" s="71"/>
      <c r="E124" s="70" t="str">
        <f aca="false">IF($C124="","",IFERROR(INDEX('Ingredient Database'!$J:$J,MATCH($C124,'Ingredient Database'!$B:$B,0)),""))</f>
        <v/>
      </c>
      <c r="F124" s="70" t="str">
        <f aca="false">IF(OR($C124="",$D124=""),"",D124*E124)</f>
        <v/>
      </c>
      <c r="G124" s="32"/>
    </row>
    <row r="125" customFormat="false" ht="15" hidden="false" customHeight="false" outlineLevel="0" collapsed="false">
      <c r="A125" s="51"/>
      <c r="B125" s="38"/>
      <c r="C125" s="50"/>
      <c r="D125" s="71"/>
      <c r="E125" s="70" t="str">
        <f aca="false">IF($C125="","",IFERROR(INDEX('Ingredient Database'!$J:$J,MATCH($C125,'Ingredient Database'!$B:$B,0)),""))</f>
        <v/>
      </c>
      <c r="F125" s="70" t="str">
        <f aca="false">IF(OR($C125="",$D125=""),"",D125*E125)</f>
        <v/>
      </c>
      <c r="G125" s="32"/>
    </row>
    <row r="126" customFormat="false" ht="15" hidden="false" customHeight="false" outlineLevel="0" collapsed="false">
      <c r="A126" s="51"/>
      <c r="B126" s="38"/>
      <c r="C126" s="50"/>
      <c r="D126" s="71"/>
      <c r="E126" s="70" t="str">
        <f aca="false">IF($C126="","",IFERROR(INDEX('Ingredient Database'!$J:$J,MATCH($C126,'Ingredient Database'!$B:$B,0)),""))</f>
        <v/>
      </c>
      <c r="F126" s="70" t="str">
        <f aca="false">IF(OR($C126="",$D126=""),"",D126*E126)</f>
        <v/>
      </c>
      <c r="G126" s="32"/>
    </row>
    <row r="127" customFormat="false" ht="15" hidden="false" customHeight="false" outlineLevel="0" collapsed="false">
      <c r="A127" s="51"/>
      <c r="B127" s="38"/>
      <c r="C127" s="50"/>
      <c r="D127" s="71"/>
      <c r="E127" s="70" t="str">
        <f aca="false">IF($C127="","",IFERROR(INDEX('Ingredient Database'!$J:$J,MATCH($C127,'Ingredient Database'!$B:$B,0)),""))</f>
        <v/>
      </c>
      <c r="F127" s="70" t="str">
        <f aca="false">IF(OR($C127="",$D127=""),"",D127*E127)</f>
        <v/>
      </c>
      <c r="G127" s="32"/>
    </row>
    <row r="128" customFormat="false" ht="15" hidden="false" customHeight="false" outlineLevel="0" collapsed="false">
      <c r="A128" s="51"/>
      <c r="B128" s="38"/>
      <c r="C128" s="50"/>
      <c r="D128" s="71"/>
      <c r="E128" s="70" t="str">
        <f aca="false">IF($C128="","",IFERROR(INDEX('Ingredient Database'!$J:$J,MATCH($C128,'Ingredient Database'!$B:$B,0)),""))</f>
        <v/>
      </c>
      <c r="F128" s="70" t="str">
        <f aca="false">IF(OR($C128="",$D128=""),"",D128*E128)</f>
        <v/>
      </c>
      <c r="G128" s="32"/>
    </row>
    <row r="129" customFormat="false" ht="15" hidden="false" customHeight="false" outlineLevel="0" collapsed="false">
      <c r="A129" s="51"/>
      <c r="B129" s="38"/>
      <c r="C129" s="50"/>
      <c r="D129" s="71"/>
      <c r="E129" s="70" t="str">
        <f aca="false">IF($C129="","",IFERROR(INDEX('Ingredient Database'!$J:$J,MATCH($C129,'Ingredient Database'!$B:$B,0)),""))</f>
        <v/>
      </c>
      <c r="F129" s="70" t="str">
        <f aca="false">IF(OR($C129="",$D129=""),"",D129*E129)</f>
        <v/>
      </c>
      <c r="G129" s="32"/>
    </row>
    <row r="130" customFormat="false" ht="15" hidden="false" customHeight="false" outlineLevel="0" collapsed="false">
      <c r="A130" s="51"/>
      <c r="B130" s="38"/>
      <c r="C130" s="50"/>
      <c r="D130" s="71"/>
      <c r="E130" s="70" t="str">
        <f aca="false">IF($C130="","",IFERROR(INDEX('Ingredient Database'!$J:$J,MATCH($C130,'Ingredient Database'!$B:$B,0)),""))</f>
        <v/>
      </c>
      <c r="F130" s="70" t="str">
        <f aca="false">IF(OR($C130="",$D130=""),"",D130*E130)</f>
        <v/>
      </c>
      <c r="G130" s="32"/>
    </row>
    <row r="131" customFormat="false" ht="15" hidden="false" customHeight="false" outlineLevel="0" collapsed="false">
      <c r="A131" s="51"/>
      <c r="B131" s="38"/>
      <c r="C131" s="50"/>
      <c r="D131" s="71"/>
      <c r="E131" s="70" t="str">
        <f aca="false">IF($C131="","",IFERROR(INDEX('Ingredient Database'!$J:$J,MATCH($C131,'Ingredient Database'!$B:$B,0)),""))</f>
        <v/>
      </c>
      <c r="F131" s="70" t="str">
        <f aca="false">IF(OR($C131="",$D131=""),"",D131*E131)</f>
        <v/>
      </c>
      <c r="G131" s="32"/>
    </row>
    <row r="132" customFormat="false" ht="15" hidden="false" customHeight="false" outlineLevel="0" collapsed="false">
      <c r="A132" s="51"/>
      <c r="B132" s="38"/>
      <c r="C132" s="50"/>
      <c r="D132" s="71"/>
      <c r="E132" s="70" t="str">
        <f aca="false">IF($C132="","",IFERROR(INDEX('Ingredient Database'!$J:$J,MATCH($C132,'Ingredient Database'!$B:$B,0)),""))</f>
        <v/>
      </c>
      <c r="F132" s="70" t="str">
        <f aca="false">IF(OR($C132="",$D132=""),"",D132*E132)</f>
        <v/>
      </c>
      <c r="G132" s="32"/>
    </row>
    <row r="133" customFormat="false" ht="15" hidden="false" customHeight="false" outlineLevel="0" collapsed="false">
      <c r="A133" s="51"/>
      <c r="B133" s="38"/>
      <c r="C133" s="50"/>
      <c r="D133" s="71"/>
      <c r="E133" s="70" t="str">
        <f aca="false">IF($C133="","",IFERROR(INDEX('Ingredient Database'!$J:$J,MATCH($C133,'Ingredient Database'!$B:$B,0)),""))</f>
        <v/>
      </c>
      <c r="F133" s="70" t="str">
        <f aca="false">IF(OR($C133="",$D133=""),"",D133*E133)</f>
        <v/>
      </c>
      <c r="G133" s="32"/>
    </row>
    <row r="134" customFormat="false" ht="15" hidden="false" customHeight="false" outlineLevel="0" collapsed="false">
      <c r="A134" s="51"/>
      <c r="B134" s="38"/>
      <c r="C134" s="50"/>
      <c r="D134" s="71"/>
      <c r="E134" s="70" t="str">
        <f aca="false">IF($C134="","",IFERROR(INDEX('Ingredient Database'!$J:$J,MATCH($C134,'Ingredient Database'!$B:$B,0)),""))</f>
        <v/>
      </c>
      <c r="F134" s="70" t="str">
        <f aca="false">IF(OR($C134="",$D134=""),"",D134*E134)</f>
        <v/>
      </c>
      <c r="G134" s="32"/>
    </row>
    <row r="135" customFormat="false" ht="15" hidden="false" customHeight="false" outlineLevel="0" collapsed="false">
      <c r="A135" s="51"/>
      <c r="B135" s="38"/>
      <c r="C135" s="50"/>
      <c r="D135" s="71"/>
      <c r="E135" s="70" t="str">
        <f aca="false">IF($C135="","",IFERROR(INDEX('Ingredient Database'!$J:$J,MATCH($C135,'Ingredient Database'!$B:$B,0)),""))</f>
        <v/>
      </c>
      <c r="F135" s="70" t="str">
        <f aca="false">IF(OR($C135="",$D135=""),"",D135*E135)</f>
        <v/>
      </c>
      <c r="G135" s="32"/>
    </row>
    <row r="136" customFormat="false" ht="15" hidden="false" customHeight="false" outlineLevel="0" collapsed="false">
      <c r="A136" s="51"/>
      <c r="B136" s="38"/>
      <c r="C136" s="50"/>
      <c r="D136" s="71"/>
      <c r="E136" s="70" t="str">
        <f aca="false">IF($C136="","",IFERROR(INDEX('Ingredient Database'!$J:$J,MATCH($C136,'Ingredient Database'!$B:$B,0)),""))</f>
        <v/>
      </c>
      <c r="F136" s="70" t="str">
        <f aca="false">IF(OR($C136="",$D136=""),"",D136*E136)</f>
        <v/>
      </c>
      <c r="G136" s="32"/>
    </row>
    <row r="137" customFormat="false" ht="15" hidden="false" customHeight="false" outlineLevel="0" collapsed="false">
      <c r="A137" s="51"/>
      <c r="B137" s="38"/>
      <c r="C137" s="50"/>
      <c r="D137" s="71"/>
      <c r="E137" s="70" t="str">
        <f aca="false">IF($C137="","",IFERROR(INDEX('Ingredient Database'!$J:$J,MATCH($C137,'Ingredient Database'!$B:$B,0)),""))</f>
        <v/>
      </c>
      <c r="F137" s="70" t="str">
        <f aca="false">IF(OR($C137="",$D137=""),"",D137*E137)</f>
        <v/>
      </c>
      <c r="G137" s="32"/>
    </row>
    <row r="138" customFormat="false" ht="15" hidden="false" customHeight="false" outlineLevel="0" collapsed="false">
      <c r="A138" s="51"/>
      <c r="B138" s="38"/>
      <c r="C138" s="50"/>
      <c r="D138" s="71"/>
      <c r="E138" s="70" t="str">
        <f aca="false">IF($C138="","",IFERROR(INDEX('Ingredient Database'!$J:$J,MATCH($C138,'Ingredient Database'!$B:$B,0)),""))</f>
        <v/>
      </c>
      <c r="F138" s="70" t="str">
        <f aca="false">IF(OR($C138="",$D138=""),"",D138*E138)</f>
        <v/>
      </c>
      <c r="G138" s="32"/>
    </row>
    <row r="139" customFormat="false" ht="15" hidden="false" customHeight="false" outlineLevel="0" collapsed="false">
      <c r="A139" s="51"/>
      <c r="B139" s="38"/>
      <c r="C139" s="50"/>
      <c r="D139" s="71"/>
      <c r="E139" s="70" t="str">
        <f aca="false">IF($C139="","",IFERROR(INDEX('Ingredient Database'!$J:$J,MATCH($C139,'Ingredient Database'!$B:$B,0)),""))</f>
        <v/>
      </c>
      <c r="F139" s="70" t="str">
        <f aca="false">IF(OR($C139="",$D139=""),"",D139*E139)</f>
        <v/>
      </c>
      <c r="G139" s="32"/>
    </row>
    <row r="140" customFormat="false" ht="15" hidden="false" customHeight="false" outlineLevel="0" collapsed="false">
      <c r="A140" s="51"/>
      <c r="B140" s="38"/>
      <c r="C140" s="50"/>
      <c r="D140" s="71"/>
      <c r="E140" s="70" t="str">
        <f aca="false">IF($C140="","",IFERROR(INDEX('Ingredient Database'!$J:$J,MATCH($C140,'Ingredient Database'!$B:$B,0)),""))</f>
        <v/>
      </c>
      <c r="F140" s="70" t="str">
        <f aca="false">IF(OR($C140="",$D140=""),"",D140*E140)</f>
        <v/>
      </c>
      <c r="G140" s="32"/>
    </row>
    <row r="141" customFormat="false" ht="15" hidden="false" customHeight="false" outlineLevel="0" collapsed="false">
      <c r="A141" s="51"/>
      <c r="B141" s="38"/>
      <c r="C141" s="50"/>
      <c r="D141" s="71"/>
      <c r="E141" s="70" t="str">
        <f aca="false">IF($C141="","",IFERROR(INDEX('Ingredient Database'!$J:$J,MATCH($C141,'Ingredient Database'!$B:$B,0)),""))</f>
        <v/>
      </c>
      <c r="F141" s="70" t="str">
        <f aca="false">IF(OR($C141="",$D141=""),"",D141*E141)</f>
        <v/>
      </c>
      <c r="G141" s="32"/>
    </row>
    <row r="142" customFormat="false" ht="15" hidden="false" customHeight="false" outlineLevel="0" collapsed="false">
      <c r="A142" s="51"/>
      <c r="B142" s="38"/>
      <c r="C142" s="50"/>
      <c r="D142" s="71"/>
      <c r="E142" s="70" t="str">
        <f aca="false">IF($C142="","",IFERROR(INDEX('Ingredient Database'!$J:$J,MATCH($C142,'Ingredient Database'!$B:$B,0)),""))</f>
        <v/>
      </c>
      <c r="F142" s="70" t="str">
        <f aca="false">IF(OR($C142="",$D142=""),"",D142*E142)</f>
        <v/>
      </c>
      <c r="G142" s="32"/>
    </row>
    <row r="143" customFormat="false" ht="15" hidden="false" customHeight="false" outlineLevel="0" collapsed="false">
      <c r="A143" s="51"/>
      <c r="B143" s="38"/>
      <c r="C143" s="50"/>
      <c r="D143" s="71"/>
      <c r="E143" s="70" t="str">
        <f aca="false">IF($C143="","",IFERROR(INDEX('Ingredient Database'!$J:$J,MATCH($C143,'Ingredient Database'!$B:$B,0)),""))</f>
        <v/>
      </c>
      <c r="F143" s="70" t="str">
        <f aca="false">IF(OR($C143="",$D143=""),"",D143*E143)</f>
        <v/>
      </c>
      <c r="G143" s="32"/>
    </row>
    <row r="144" customFormat="false" ht="15" hidden="false" customHeight="false" outlineLevel="0" collapsed="false">
      <c r="A144" s="51"/>
      <c r="B144" s="38"/>
      <c r="C144" s="50"/>
      <c r="D144" s="71"/>
      <c r="E144" s="70" t="str">
        <f aca="false">IF($C144="","",IFERROR(INDEX('Ingredient Database'!$J:$J,MATCH($C144,'Ingredient Database'!$B:$B,0)),""))</f>
        <v/>
      </c>
      <c r="F144" s="70" t="str">
        <f aca="false">IF(OR($C144="",$D144=""),"",D144*E144)</f>
        <v/>
      </c>
      <c r="G144" s="32"/>
    </row>
    <row r="145" customFormat="false" ht="15" hidden="false" customHeight="false" outlineLevel="0" collapsed="false">
      <c r="A145" s="51"/>
      <c r="B145" s="38"/>
      <c r="C145" s="50"/>
      <c r="D145" s="71"/>
      <c r="E145" s="70" t="str">
        <f aca="false">IF($C145="","",IFERROR(INDEX('Ingredient Database'!$J:$J,MATCH($C145,'Ingredient Database'!$B:$B,0)),""))</f>
        <v/>
      </c>
      <c r="F145" s="70" t="str">
        <f aca="false">IF(OR($C145="",$D145=""),"",D145*E145)</f>
        <v/>
      </c>
      <c r="G145" s="32"/>
    </row>
    <row r="146" customFormat="false" ht="15" hidden="false" customHeight="false" outlineLevel="0" collapsed="false">
      <c r="A146" s="51"/>
      <c r="B146" s="38"/>
      <c r="C146" s="50"/>
      <c r="D146" s="71"/>
      <c r="E146" s="70" t="str">
        <f aca="false">IF($C146="","",IFERROR(INDEX('Ingredient Database'!$J:$J,MATCH($C146,'Ingredient Database'!$B:$B,0)),""))</f>
        <v/>
      </c>
      <c r="F146" s="70" t="str">
        <f aca="false">IF(OR($C146="",$D146=""),"",D146*E146)</f>
        <v/>
      </c>
      <c r="G146" s="32"/>
    </row>
    <row r="147" customFormat="false" ht="15" hidden="false" customHeight="false" outlineLevel="0" collapsed="false">
      <c r="A147" s="51"/>
      <c r="B147" s="38"/>
      <c r="C147" s="50"/>
      <c r="D147" s="71"/>
      <c r="E147" s="70" t="str">
        <f aca="false">IF($C147="","",IFERROR(INDEX('Ingredient Database'!$J:$J,MATCH($C147,'Ingredient Database'!$B:$B,0)),""))</f>
        <v/>
      </c>
      <c r="F147" s="70" t="str">
        <f aca="false">IF(OR($C147="",$D147=""),"",D147*E147)</f>
        <v/>
      </c>
      <c r="G147" s="32"/>
    </row>
    <row r="148" customFormat="false" ht="15" hidden="false" customHeight="false" outlineLevel="0" collapsed="false">
      <c r="A148" s="51"/>
      <c r="B148" s="38"/>
      <c r="C148" s="50"/>
      <c r="D148" s="71"/>
      <c r="E148" s="70" t="str">
        <f aca="false">IF($C148="","",IFERROR(INDEX('Ingredient Database'!$J:$J,MATCH($C148,'Ingredient Database'!$B:$B,0)),""))</f>
        <v/>
      </c>
      <c r="F148" s="70" t="str">
        <f aca="false">IF(OR($C148="",$D148=""),"",D148*E148)</f>
        <v/>
      </c>
      <c r="G148" s="32"/>
    </row>
    <row r="149" customFormat="false" ht="15" hidden="false" customHeight="false" outlineLevel="0" collapsed="false">
      <c r="A149" s="51"/>
      <c r="B149" s="38"/>
      <c r="C149" s="50"/>
      <c r="D149" s="71"/>
      <c r="E149" s="70" t="str">
        <f aca="false">IF($C149="","",IFERROR(INDEX('Ingredient Database'!$J:$J,MATCH($C149,'Ingredient Database'!$B:$B,0)),""))</f>
        <v/>
      </c>
      <c r="F149" s="70" t="str">
        <f aca="false">IF(OR($C149="",$D149=""),"",D149*E149)</f>
        <v/>
      </c>
      <c r="G149" s="32"/>
    </row>
    <row r="150" customFormat="false" ht="15" hidden="false" customHeight="false" outlineLevel="0" collapsed="false">
      <c r="A150" s="51"/>
      <c r="B150" s="38"/>
      <c r="C150" s="50"/>
      <c r="D150" s="71"/>
      <c r="E150" s="70" t="str">
        <f aca="false">IF($C150="","",IFERROR(INDEX('Ingredient Database'!$J:$J,MATCH($C150,'Ingredient Database'!$B:$B,0)),""))</f>
        <v/>
      </c>
      <c r="F150" s="70" t="str">
        <f aca="false">IF(OR($C150="",$D150=""),"",D150*E150)</f>
        <v/>
      </c>
      <c r="G150" s="32"/>
    </row>
    <row r="151" customFormat="false" ht="15" hidden="false" customHeight="false" outlineLevel="0" collapsed="false">
      <c r="A151" s="51"/>
      <c r="B151" s="38"/>
      <c r="C151" s="50"/>
      <c r="D151" s="71"/>
      <c r="E151" s="70" t="str">
        <f aca="false">IF($C151="","",IFERROR(INDEX('Ingredient Database'!$J:$J,MATCH($C151,'Ingredient Database'!$B:$B,0)),""))</f>
        <v/>
      </c>
      <c r="F151" s="70" t="str">
        <f aca="false">IF(OR($C151="",$D151=""),"",D151*E151)</f>
        <v/>
      </c>
      <c r="G151" s="32"/>
    </row>
    <row r="152" customFormat="false" ht="15" hidden="false" customHeight="false" outlineLevel="0" collapsed="false">
      <c r="A152" s="51"/>
      <c r="B152" s="38"/>
      <c r="C152" s="50"/>
      <c r="D152" s="71"/>
      <c r="E152" s="70" t="str">
        <f aca="false">IF($C152="","",IFERROR(INDEX('Ingredient Database'!$J:$J,MATCH($C152,'Ingredient Database'!$B:$B,0)),""))</f>
        <v/>
      </c>
      <c r="F152" s="70" t="str">
        <f aca="false">IF(OR($C152="",$D152=""),"",D152*E152)</f>
        <v/>
      </c>
      <c r="G152" s="32"/>
    </row>
    <row r="153" customFormat="false" ht="15" hidden="false" customHeight="false" outlineLevel="0" collapsed="false">
      <c r="A153" s="51"/>
      <c r="B153" s="38"/>
      <c r="C153" s="50"/>
      <c r="D153" s="71"/>
      <c r="E153" s="70" t="str">
        <f aca="false">IF($C153="","",IFERROR(INDEX('Ingredient Database'!$J:$J,MATCH($C153,'Ingredient Database'!$B:$B,0)),""))</f>
        <v/>
      </c>
      <c r="F153" s="70" t="str">
        <f aca="false">IF(OR($C153="",$D153=""),"",D153*E153)</f>
        <v/>
      </c>
      <c r="G153" s="32"/>
    </row>
    <row r="154" customFormat="false" ht="15" hidden="false" customHeight="false" outlineLevel="0" collapsed="false">
      <c r="A154" s="51"/>
      <c r="B154" s="38"/>
      <c r="C154" s="50"/>
      <c r="D154" s="71"/>
      <c r="E154" s="70" t="str">
        <f aca="false">IF($C154="","",IFERROR(INDEX('Ingredient Database'!$J:$J,MATCH($C154,'Ingredient Database'!$B:$B,0)),""))</f>
        <v/>
      </c>
      <c r="F154" s="70" t="str">
        <f aca="false">IF(OR($C154="",$D154=""),"",D154*E154)</f>
        <v/>
      </c>
      <c r="G154" s="32"/>
    </row>
    <row r="155" customFormat="false" ht="15" hidden="false" customHeight="false" outlineLevel="0" collapsed="false">
      <c r="A155" s="51"/>
      <c r="B155" s="38"/>
      <c r="C155" s="50"/>
      <c r="D155" s="71"/>
      <c r="E155" s="70" t="str">
        <f aca="false">IF($C155="","",IFERROR(INDEX('Ingredient Database'!$J:$J,MATCH($C155,'Ingredient Database'!$B:$B,0)),""))</f>
        <v/>
      </c>
      <c r="F155" s="70" t="str">
        <f aca="false">IF(OR($C155="",$D155=""),"",D155*E155)</f>
        <v/>
      </c>
      <c r="G155" s="32"/>
    </row>
    <row r="156" customFormat="false" ht="15" hidden="false" customHeight="false" outlineLevel="0" collapsed="false">
      <c r="A156" s="51"/>
      <c r="B156" s="38"/>
      <c r="C156" s="50"/>
      <c r="D156" s="71"/>
      <c r="E156" s="70" t="str">
        <f aca="false">IF($C156="","",IFERROR(INDEX('Ingredient Database'!$J:$J,MATCH($C156,'Ingredient Database'!$B:$B,0)),""))</f>
        <v/>
      </c>
      <c r="F156" s="70" t="str">
        <f aca="false">IF(OR($C156="",$D156=""),"",D156*E156)</f>
        <v/>
      </c>
      <c r="G156" s="32"/>
    </row>
    <row r="157" customFormat="false" ht="15" hidden="false" customHeight="false" outlineLevel="0" collapsed="false">
      <c r="A157" s="51"/>
      <c r="B157" s="38"/>
      <c r="C157" s="50"/>
      <c r="D157" s="71"/>
      <c r="E157" s="70" t="str">
        <f aca="false">IF($C157="","",IFERROR(INDEX('Ingredient Database'!$J:$J,MATCH($C157,'Ingredient Database'!$B:$B,0)),""))</f>
        <v/>
      </c>
      <c r="F157" s="70" t="str">
        <f aca="false">IF(OR($C157="",$D157=""),"",D157*E157)</f>
        <v/>
      </c>
      <c r="G157" s="32"/>
    </row>
    <row r="158" customFormat="false" ht="15" hidden="false" customHeight="false" outlineLevel="0" collapsed="false">
      <c r="A158" s="51"/>
      <c r="B158" s="38"/>
      <c r="C158" s="50"/>
      <c r="D158" s="71"/>
      <c r="E158" s="70" t="str">
        <f aca="false">IF($C158="","",IFERROR(INDEX('Ingredient Database'!$J:$J,MATCH($C158,'Ingredient Database'!$B:$B,0)),""))</f>
        <v/>
      </c>
      <c r="F158" s="70" t="str">
        <f aca="false">IF(OR($C158="",$D158=""),"",D158*E158)</f>
        <v/>
      </c>
      <c r="G158" s="32"/>
    </row>
    <row r="159" customFormat="false" ht="15" hidden="false" customHeight="false" outlineLevel="0" collapsed="false">
      <c r="A159" s="51"/>
      <c r="B159" s="38"/>
      <c r="C159" s="50"/>
      <c r="D159" s="71"/>
      <c r="E159" s="70" t="str">
        <f aca="false">IF($C159="","",IFERROR(INDEX('Ingredient Database'!$J:$J,MATCH($C159,'Ingredient Database'!$B:$B,0)),""))</f>
        <v/>
      </c>
      <c r="F159" s="70" t="str">
        <f aca="false">IF(OR($C159="",$D159=""),"",D159*E159)</f>
        <v/>
      </c>
      <c r="G159" s="32"/>
    </row>
    <row r="160" customFormat="false" ht="15" hidden="false" customHeight="false" outlineLevel="0" collapsed="false">
      <c r="A160" s="51"/>
      <c r="B160" s="38"/>
      <c r="C160" s="50"/>
      <c r="D160" s="71"/>
      <c r="E160" s="70" t="str">
        <f aca="false">IF($C160="","",IFERROR(INDEX('Ingredient Database'!$J:$J,MATCH($C160,'Ingredient Database'!$B:$B,0)),""))</f>
        <v/>
      </c>
      <c r="F160" s="70" t="str">
        <f aca="false">IF(OR($C160="",$D160=""),"",D160*E160)</f>
        <v/>
      </c>
      <c r="G160" s="32"/>
    </row>
    <row r="161" customFormat="false" ht="15" hidden="false" customHeight="false" outlineLevel="0" collapsed="false">
      <c r="A161" s="51"/>
      <c r="B161" s="38"/>
      <c r="C161" s="50"/>
      <c r="D161" s="71"/>
      <c r="E161" s="70" t="str">
        <f aca="false">IF($C161="","",IFERROR(INDEX('Ingredient Database'!$J:$J,MATCH($C161,'Ingredient Database'!$B:$B,0)),""))</f>
        <v/>
      </c>
      <c r="F161" s="70" t="str">
        <f aca="false">IF(OR($C161="",$D161=""),"",D161*E161)</f>
        <v/>
      </c>
      <c r="G161" s="32"/>
    </row>
    <row r="162" customFormat="false" ht="15" hidden="false" customHeight="false" outlineLevel="0" collapsed="false">
      <c r="A162" s="51"/>
      <c r="B162" s="38"/>
      <c r="C162" s="50"/>
      <c r="D162" s="71"/>
      <c r="E162" s="70" t="str">
        <f aca="false">IF($C162="","",IFERROR(INDEX('Ingredient Database'!$J:$J,MATCH($C162,'Ingredient Database'!$B:$B,0)),""))</f>
        <v/>
      </c>
      <c r="F162" s="70" t="str">
        <f aca="false">IF(OR($C162="",$D162=""),"",D162*E162)</f>
        <v/>
      </c>
      <c r="G162" s="32"/>
    </row>
    <row r="163" customFormat="false" ht="15" hidden="false" customHeight="false" outlineLevel="0" collapsed="false">
      <c r="A163" s="51"/>
      <c r="B163" s="38"/>
      <c r="C163" s="50"/>
      <c r="D163" s="71"/>
      <c r="E163" s="70" t="str">
        <f aca="false">IF($C163="","",IFERROR(INDEX('Ingredient Database'!$J:$J,MATCH($C163,'Ingredient Database'!$B:$B,0)),""))</f>
        <v/>
      </c>
      <c r="F163" s="70" t="str">
        <f aca="false">IF(OR($C163="",$D163=""),"",D163*E163)</f>
        <v/>
      </c>
      <c r="G163" s="32"/>
    </row>
    <row r="164" customFormat="false" ht="15" hidden="false" customHeight="false" outlineLevel="0" collapsed="false">
      <c r="A164" s="51"/>
      <c r="B164" s="38"/>
      <c r="C164" s="50"/>
      <c r="D164" s="71"/>
      <c r="E164" s="70" t="str">
        <f aca="false">IF($C164="","",IFERROR(INDEX('Ingredient Database'!$J:$J,MATCH($C164,'Ingredient Database'!$B:$B,0)),""))</f>
        <v/>
      </c>
      <c r="F164" s="70" t="str">
        <f aca="false">IF(OR($C164="",$D164=""),"",D164*E164)</f>
        <v/>
      </c>
      <c r="G164" s="32"/>
    </row>
    <row r="165" customFormat="false" ht="15" hidden="false" customHeight="false" outlineLevel="0" collapsed="false">
      <c r="A165" s="51"/>
      <c r="B165" s="38"/>
      <c r="C165" s="50"/>
      <c r="D165" s="71"/>
      <c r="E165" s="70" t="str">
        <f aca="false">IF($C165="","",IFERROR(INDEX('Ingredient Database'!$J:$J,MATCH($C165,'Ingredient Database'!$B:$B,0)),""))</f>
        <v/>
      </c>
      <c r="F165" s="70" t="str">
        <f aca="false">IF(OR($C165="",$D165=""),"",D165*E165)</f>
        <v/>
      </c>
      <c r="G165" s="32"/>
    </row>
    <row r="166" customFormat="false" ht="15" hidden="false" customHeight="false" outlineLevel="0" collapsed="false">
      <c r="A166" s="51"/>
      <c r="B166" s="38"/>
      <c r="C166" s="50"/>
      <c r="D166" s="71"/>
      <c r="E166" s="70" t="str">
        <f aca="false">IF($C166="","",IFERROR(INDEX('Ingredient Database'!$J:$J,MATCH($C166,'Ingredient Database'!$B:$B,0)),""))</f>
        <v/>
      </c>
      <c r="F166" s="70" t="str">
        <f aca="false">IF(OR($C166="",$D166=""),"",D166*E166)</f>
        <v/>
      </c>
      <c r="G166" s="32"/>
    </row>
    <row r="167" customFormat="false" ht="15" hidden="false" customHeight="false" outlineLevel="0" collapsed="false">
      <c r="A167" s="51"/>
      <c r="B167" s="38"/>
      <c r="C167" s="50"/>
      <c r="D167" s="71"/>
      <c r="E167" s="70" t="str">
        <f aca="false">IF($C167="","",IFERROR(INDEX('Ingredient Database'!$J:$J,MATCH($C167,'Ingredient Database'!$B:$B,0)),""))</f>
        <v/>
      </c>
      <c r="F167" s="70" t="str">
        <f aca="false">IF(OR($C167="",$D167=""),"",D167*E167)</f>
        <v/>
      </c>
      <c r="G167" s="32"/>
    </row>
    <row r="168" customFormat="false" ht="15" hidden="false" customHeight="false" outlineLevel="0" collapsed="false">
      <c r="A168" s="51"/>
      <c r="B168" s="38"/>
      <c r="C168" s="50"/>
      <c r="D168" s="71"/>
      <c r="E168" s="70" t="str">
        <f aca="false">IF($C168="","",IFERROR(INDEX('Ingredient Database'!$J:$J,MATCH($C168,'Ingredient Database'!$B:$B,0)),""))</f>
        <v/>
      </c>
      <c r="F168" s="70" t="str">
        <f aca="false">IF(OR($C168="",$D168=""),"",D168*E168)</f>
        <v/>
      </c>
      <c r="G168" s="32"/>
    </row>
    <row r="169" customFormat="false" ht="15" hidden="false" customHeight="false" outlineLevel="0" collapsed="false">
      <c r="A169" s="51"/>
      <c r="B169" s="38"/>
      <c r="C169" s="50"/>
      <c r="D169" s="71"/>
      <c r="E169" s="70" t="str">
        <f aca="false">IF($C169="","",IFERROR(INDEX('Ingredient Database'!$J:$J,MATCH($C169,'Ingredient Database'!$B:$B,0)),""))</f>
        <v/>
      </c>
      <c r="F169" s="70" t="str">
        <f aca="false">IF(OR($C169="",$D169=""),"",D169*E169)</f>
        <v/>
      </c>
      <c r="G169" s="32"/>
    </row>
    <row r="170" customFormat="false" ht="15" hidden="false" customHeight="false" outlineLevel="0" collapsed="false">
      <c r="A170" s="51"/>
      <c r="B170" s="38"/>
      <c r="C170" s="50"/>
      <c r="D170" s="71"/>
      <c r="E170" s="70" t="str">
        <f aca="false">IF($C170="","",IFERROR(INDEX('Ingredient Database'!$J:$J,MATCH($C170,'Ingredient Database'!$B:$B,0)),""))</f>
        <v/>
      </c>
      <c r="F170" s="70" t="str">
        <f aca="false">IF(OR($C170="",$D170=""),"",D170*E170)</f>
        <v/>
      </c>
      <c r="G170" s="32"/>
    </row>
    <row r="171" customFormat="false" ht="15" hidden="false" customHeight="false" outlineLevel="0" collapsed="false">
      <c r="A171" s="51"/>
      <c r="B171" s="38"/>
      <c r="C171" s="50"/>
      <c r="D171" s="71"/>
      <c r="E171" s="70" t="str">
        <f aca="false">IF($C171="","",IFERROR(INDEX('Ingredient Database'!$J:$J,MATCH($C171,'Ingredient Database'!$B:$B,0)),""))</f>
        <v/>
      </c>
      <c r="F171" s="70" t="str">
        <f aca="false">IF(OR($C171="",$D171=""),"",D171*E171)</f>
        <v/>
      </c>
      <c r="G171" s="32"/>
    </row>
    <row r="172" customFormat="false" ht="15" hidden="false" customHeight="false" outlineLevel="0" collapsed="false">
      <c r="A172" s="51"/>
      <c r="B172" s="38"/>
      <c r="C172" s="50"/>
      <c r="D172" s="71"/>
      <c r="E172" s="70" t="str">
        <f aca="false">IF($C172="","",IFERROR(INDEX('Ingredient Database'!$J:$J,MATCH($C172,'Ingredient Database'!$B:$B,0)),""))</f>
        <v/>
      </c>
      <c r="F172" s="70" t="str">
        <f aca="false">IF(OR($C172="",$D172=""),"",D172*E172)</f>
        <v/>
      </c>
      <c r="G172" s="32"/>
    </row>
    <row r="173" customFormat="false" ht="15" hidden="false" customHeight="false" outlineLevel="0" collapsed="false">
      <c r="A173" s="51"/>
      <c r="B173" s="38"/>
      <c r="C173" s="50"/>
      <c r="D173" s="71"/>
      <c r="E173" s="70" t="str">
        <f aca="false">IF($C173="","",IFERROR(INDEX('Ingredient Database'!$J:$J,MATCH($C173,'Ingredient Database'!$B:$B,0)),""))</f>
        <v/>
      </c>
      <c r="F173" s="70" t="str">
        <f aca="false">IF(OR($C173="",$D173=""),"",D173*E173)</f>
        <v/>
      </c>
      <c r="G173" s="32"/>
    </row>
    <row r="174" customFormat="false" ht="15" hidden="false" customHeight="false" outlineLevel="0" collapsed="false">
      <c r="A174" s="51"/>
      <c r="B174" s="38"/>
      <c r="C174" s="50"/>
      <c r="D174" s="71"/>
      <c r="E174" s="70" t="str">
        <f aca="false">IF($C174="","",IFERROR(INDEX('Ingredient Database'!$J:$J,MATCH($C174,'Ingredient Database'!$B:$B,0)),""))</f>
        <v/>
      </c>
      <c r="F174" s="70" t="str">
        <f aca="false">IF(OR($C174="",$D174=""),"",D174*E174)</f>
        <v/>
      </c>
      <c r="G174" s="32"/>
    </row>
    <row r="175" customFormat="false" ht="15" hidden="false" customHeight="false" outlineLevel="0" collapsed="false">
      <c r="A175" s="51"/>
      <c r="B175" s="38"/>
      <c r="C175" s="50"/>
      <c r="D175" s="71"/>
      <c r="E175" s="70" t="str">
        <f aca="false">IF($C175="","",IFERROR(INDEX('Ingredient Database'!$J:$J,MATCH($C175,'Ingredient Database'!$B:$B,0)),""))</f>
        <v/>
      </c>
      <c r="F175" s="70" t="str">
        <f aca="false">IF(OR($C175="",$D175=""),"",D175*E175)</f>
        <v/>
      </c>
      <c r="G175" s="32"/>
    </row>
    <row r="176" customFormat="false" ht="15" hidden="false" customHeight="false" outlineLevel="0" collapsed="false">
      <c r="A176" s="51"/>
      <c r="B176" s="38"/>
      <c r="C176" s="50"/>
      <c r="D176" s="71"/>
      <c r="E176" s="70" t="str">
        <f aca="false">IF($C176="","",IFERROR(INDEX('Ingredient Database'!$J:$J,MATCH($C176,'Ingredient Database'!$B:$B,0)),""))</f>
        <v/>
      </c>
      <c r="F176" s="70" t="str">
        <f aca="false">IF(OR($C176="",$D176=""),"",D176*E176)</f>
        <v/>
      </c>
      <c r="G176" s="32"/>
    </row>
    <row r="177" customFormat="false" ht="15" hidden="false" customHeight="false" outlineLevel="0" collapsed="false">
      <c r="A177" s="51"/>
      <c r="B177" s="38"/>
      <c r="C177" s="50"/>
      <c r="D177" s="71"/>
      <c r="E177" s="70" t="str">
        <f aca="false">IF($C177="","",IFERROR(INDEX('Ingredient Database'!$J:$J,MATCH($C177,'Ingredient Database'!$B:$B,0)),""))</f>
        <v/>
      </c>
      <c r="F177" s="70" t="str">
        <f aca="false">IF(OR($C177="",$D177=""),"",D177*E177)</f>
        <v/>
      </c>
      <c r="G177" s="32"/>
    </row>
    <row r="178" customFormat="false" ht="15" hidden="false" customHeight="false" outlineLevel="0" collapsed="false">
      <c r="A178" s="51"/>
      <c r="B178" s="38"/>
      <c r="C178" s="50"/>
      <c r="D178" s="71"/>
      <c r="E178" s="70" t="str">
        <f aca="false">IF($C178="","",IFERROR(INDEX('Ingredient Database'!$J:$J,MATCH($C178,'Ingredient Database'!$B:$B,0)),""))</f>
        <v/>
      </c>
      <c r="F178" s="70" t="str">
        <f aca="false">IF(OR($C178="",$D178=""),"",D178*E178)</f>
        <v/>
      </c>
      <c r="G178" s="32"/>
    </row>
    <row r="179" customFormat="false" ht="15" hidden="false" customHeight="false" outlineLevel="0" collapsed="false">
      <c r="A179" s="51"/>
      <c r="B179" s="38"/>
      <c r="C179" s="50"/>
      <c r="D179" s="71"/>
      <c r="E179" s="70" t="str">
        <f aca="false">IF($C179="","",IFERROR(INDEX('Ingredient Database'!$J:$J,MATCH($C179,'Ingredient Database'!$B:$B,0)),""))</f>
        <v/>
      </c>
      <c r="F179" s="70" t="str">
        <f aca="false">IF(OR($C179="",$D179=""),"",D179*E179)</f>
        <v/>
      </c>
      <c r="G179" s="32"/>
    </row>
    <row r="180" customFormat="false" ht="15" hidden="false" customHeight="false" outlineLevel="0" collapsed="false">
      <c r="A180" s="51"/>
      <c r="B180" s="38"/>
      <c r="C180" s="50"/>
      <c r="D180" s="71"/>
      <c r="E180" s="70" t="str">
        <f aca="false">IF($C180="","",IFERROR(INDEX('Ingredient Database'!$J:$J,MATCH($C180,'Ingredient Database'!$B:$B,0)),""))</f>
        <v/>
      </c>
      <c r="F180" s="70" t="str">
        <f aca="false">IF(OR($C180="",$D180=""),"",D180*E180)</f>
        <v/>
      </c>
      <c r="G180" s="32"/>
    </row>
    <row r="181" customFormat="false" ht="15" hidden="false" customHeight="false" outlineLevel="0" collapsed="false">
      <c r="A181" s="51"/>
      <c r="B181" s="38"/>
      <c r="C181" s="50"/>
      <c r="D181" s="71"/>
      <c r="E181" s="70" t="str">
        <f aca="false">IF($C181="","",IFERROR(INDEX('Ingredient Database'!$J:$J,MATCH($C181,'Ingredient Database'!$B:$B,0)),""))</f>
        <v/>
      </c>
      <c r="F181" s="70" t="str">
        <f aca="false">IF(OR($C181="",$D181=""),"",D181*E181)</f>
        <v/>
      </c>
      <c r="G181" s="32"/>
    </row>
    <row r="182" customFormat="false" ht="15" hidden="false" customHeight="false" outlineLevel="0" collapsed="false">
      <c r="A182" s="51"/>
      <c r="B182" s="38"/>
      <c r="C182" s="50"/>
      <c r="D182" s="71"/>
      <c r="E182" s="70" t="str">
        <f aca="false">IF($C182="","",IFERROR(INDEX('Ingredient Database'!$J:$J,MATCH($C182,'Ingredient Database'!$B:$B,0)),""))</f>
        <v/>
      </c>
      <c r="F182" s="70" t="str">
        <f aca="false">IF(OR($C182="",$D182=""),"",D182*E182)</f>
        <v/>
      </c>
      <c r="G182" s="32"/>
    </row>
    <row r="183" customFormat="false" ht="15" hidden="false" customHeight="false" outlineLevel="0" collapsed="false">
      <c r="A183" s="51"/>
      <c r="B183" s="38"/>
      <c r="C183" s="50"/>
      <c r="D183" s="71"/>
      <c r="E183" s="70" t="str">
        <f aca="false">IF($C183="","",IFERROR(INDEX('Ingredient Database'!$J:$J,MATCH($C183,'Ingredient Database'!$B:$B,0)),""))</f>
        <v/>
      </c>
      <c r="F183" s="70" t="str">
        <f aca="false">IF(OR($C183="",$D183=""),"",D183*E183)</f>
        <v/>
      </c>
      <c r="G183" s="32"/>
    </row>
    <row r="184" customFormat="false" ht="15" hidden="false" customHeight="false" outlineLevel="0" collapsed="false">
      <c r="A184" s="51"/>
      <c r="B184" s="38"/>
      <c r="C184" s="50"/>
      <c r="D184" s="71"/>
      <c r="E184" s="70" t="str">
        <f aca="false">IF($C184="","",IFERROR(INDEX('Ingredient Database'!$J:$J,MATCH($C184,'Ingredient Database'!$B:$B,0)),""))</f>
        <v/>
      </c>
      <c r="F184" s="70" t="str">
        <f aca="false">IF(OR($C184="",$D184=""),"",D184*E184)</f>
        <v/>
      </c>
      <c r="G184" s="32"/>
    </row>
    <row r="185" customFormat="false" ht="15" hidden="false" customHeight="false" outlineLevel="0" collapsed="false">
      <c r="A185" s="51"/>
      <c r="B185" s="38"/>
      <c r="C185" s="50"/>
      <c r="D185" s="71"/>
      <c r="E185" s="70" t="str">
        <f aca="false">IF($C185="","",IFERROR(INDEX('Ingredient Database'!$J:$J,MATCH($C185,'Ingredient Database'!$B:$B,0)),""))</f>
        <v/>
      </c>
      <c r="F185" s="70" t="str">
        <f aca="false">IF(OR($C185="",$D185=""),"",D185*E185)</f>
        <v/>
      </c>
      <c r="G185" s="32"/>
    </row>
    <row r="186" customFormat="false" ht="15" hidden="false" customHeight="false" outlineLevel="0" collapsed="false">
      <c r="A186" s="51"/>
      <c r="B186" s="38"/>
      <c r="C186" s="50"/>
      <c r="D186" s="71"/>
      <c r="E186" s="70" t="str">
        <f aca="false">IF($C186="","",IFERROR(INDEX('Ingredient Database'!$J:$J,MATCH($C186,'Ingredient Database'!$B:$B,0)),""))</f>
        <v/>
      </c>
      <c r="F186" s="70" t="str">
        <f aca="false">IF(OR($C186="",$D186=""),"",D186*E186)</f>
        <v/>
      </c>
      <c r="G186" s="32"/>
    </row>
    <row r="187" customFormat="false" ht="15" hidden="false" customHeight="false" outlineLevel="0" collapsed="false">
      <c r="A187" s="51"/>
      <c r="B187" s="38"/>
      <c r="C187" s="50"/>
      <c r="D187" s="71"/>
      <c r="E187" s="70" t="str">
        <f aca="false">IF($C187="","",IFERROR(INDEX('Ingredient Database'!$J:$J,MATCH($C187,'Ingredient Database'!$B:$B,0)),""))</f>
        <v/>
      </c>
      <c r="F187" s="70" t="str">
        <f aca="false">IF(OR($C187="",$D187=""),"",D187*E187)</f>
        <v/>
      </c>
      <c r="G187" s="32"/>
    </row>
    <row r="188" customFormat="false" ht="15" hidden="false" customHeight="false" outlineLevel="0" collapsed="false">
      <c r="A188" s="51"/>
      <c r="B188" s="38"/>
      <c r="C188" s="50"/>
      <c r="D188" s="71"/>
      <c r="E188" s="70" t="str">
        <f aca="false">IF($C188="","",IFERROR(INDEX('Ingredient Database'!$J:$J,MATCH($C188,'Ingredient Database'!$B:$B,0)),""))</f>
        <v/>
      </c>
      <c r="F188" s="70" t="str">
        <f aca="false">IF(OR($C188="",$D188=""),"",D188*E188)</f>
        <v/>
      </c>
      <c r="G188" s="32"/>
    </row>
    <row r="189" customFormat="false" ht="15" hidden="false" customHeight="false" outlineLevel="0" collapsed="false">
      <c r="A189" s="51"/>
      <c r="B189" s="38"/>
      <c r="C189" s="50"/>
      <c r="D189" s="71"/>
      <c r="E189" s="70" t="str">
        <f aca="false">IF($C189="","",IFERROR(INDEX('Ingredient Database'!$J:$J,MATCH($C189,'Ingredient Database'!$B:$B,0)),""))</f>
        <v/>
      </c>
      <c r="F189" s="70" t="str">
        <f aca="false">IF(OR($C189="",$D189=""),"",D189*E189)</f>
        <v/>
      </c>
      <c r="G189" s="32"/>
    </row>
    <row r="190" customFormat="false" ht="15" hidden="false" customHeight="false" outlineLevel="0" collapsed="false">
      <c r="A190" s="51"/>
      <c r="B190" s="38"/>
      <c r="C190" s="50"/>
      <c r="D190" s="71"/>
      <c r="E190" s="70" t="str">
        <f aca="false">IF($C190="","",IFERROR(INDEX('Ingredient Database'!$J:$J,MATCH($C190,'Ingredient Database'!$B:$B,0)),""))</f>
        <v/>
      </c>
      <c r="F190" s="70" t="str">
        <f aca="false">IF(OR($C190="",$D190=""),"",D190*E190)</f>
        <v/>
      </c>
      <c r="G190" s="32"/>
    </row>
    <row r="191" customFormat="false" ht="15" hidden="false" customHeight="false" outlineLevel="0" collapsed="false">
      <c r="A191" s="51"/>
      <c r="B191" s="38"/>
      <c r="C191" s="50"/>
      <c r="D191" s="71"/>
      <c r="E191" s="70" t="str">
        <f aca="false">IF($C191="","",IFERROR(INDEX('Ingredient Database'!$J:$J,MATCH($C191,'Ingredient Database'!$B:$B,0)),""))</f>
        <v/>
      </c>
      <c r="F191" s="70" t="str">
        <f aca="false">IF(OR($C191="",$D191=""),"",D191*E191)</f>
        <v/>
      </c>
      <c r="G191" s="32"/>
    </row>
    <row r="192" customFormat="false" ht="15" hidden="false" customHeight="false" outlineLevel="0" collapsed="false">
      <c r="A192" s="51"/>
      <c r="B192" s="38"/>
      <c r="C192" s="50"/>
      <c r="D192" s="71"/>
      <c r="E192" s="70" t="str">
        <f aca="false">IF($C192="","",IFERROR(INDEX('Ingredient Database'!$J:$J,MATCH($C192,'Ingredient Database'!$B:$B,0)),""))</f>
        <v/>
      </c>
      <c r="F192" s="70" t="str">
        <f aca="false">IF(OR($C192="",$D192=""),"",D192*E192)</f>
        <v/>
      </c>
      <c r="G192" s="32"/>
    </row>
    <row r="193" customFormat="false" ht="15" hidden="false" customHeight="false" outlineLevel="0" collapsed="false">
      <c r="A193" s="51"/>
      <c r="B193" s="38"/>
      <c r="C193" s="50"/>
      <c r="D193" s="71"/>
      <c r="E193" s="70" t="str">
        <f aca="false">IF($C193="","",IFERROR(INDEX('Ingredient Database'!$J:$J,MATCH($C193,'Ingredient Database'!$B:$B,0)),""))</f>
        <v/>
      </c>
      <c r="F193" s="70" t="str">
        <f aca="false">IF(OR($C193="",$D193=""),"",D193*E193)</f>
        <v/>
      </c>
      <c r="G193" s="32"/>
    </row>
    <row r="194" customFormat="false" ht="15" hidden="false" customHeight="false" outlineLevel="0" collapsed="false">
      <c r="A194" s="51"/>
      <c r="B194" s="38"/>
      <c r="C194" s="50"/>
      <c r="D194" s="71"/>
      <c r="E194" s="70" t="str">
        <f aca="false">IF($C194="","",IFERROR(INDEX('Ingredient Database'!$J:$J,MATCH($C194,'Ingredient Database'!$B:$B,0)),""))</f>
        <v/>
      </c>
      <c r="F194" s="70" t="str">
        <f aca="false">IF(OR($C194="",$D194=""),"",D194*E194)</f>
        <v/>
      </c>
      <c r="G194" s="32"/>
    </row>
    <row r="195" customFormat="false" ht="15" hidden="false" customHeight="false" outlineLevel="0" collapsed="false">
      <c r="A195" s="51"/>
      <c r="B195" s="38"/>
      <c r="C195" s="50"/>
      <c r="D195" s="71"/>
      <c r="E195" s="70" t="str">
        <f aca="false">IF($C195="","",IFERROR(INDEX('Ingredient Database'!$J:$J,MATCH($C195,'Ingredient Database'!$B:$B,0)),""))</f>
        <v/>
      </c>
      <c r="F195" s="70" t="str">
        <f aca="false">IF(OR($C195="",$D195=""),"",D195*E195)</f>
        <v/>
      </c>
      <c r="G195" s="32"/>
    </row>
    <row r="196" customFormat="false" ht="15" hidden="false" customHeight="false" outlineLevel="0" collapsed="false">
      <c r="A196" s="51"/>
      <c r="B196" s="38"/>
      <c r="C196" s="50"/>
      <c r="D196" s="71"/>
      <c r="E196" s="70" t="str">
        <f aca="false">IF($C196="","",IFERROR(INDEX('Ingredient Database'!$J:$J,MATCH($C196,'Ingredient Database'!$B:$B,0)),""))</f>
        <v/>
      </c>
      <c r="F196" s="70" t="str">
        <f aca="false">IF(OR($C196="",$D196=""),"",D196*E196)</f>
        <v/>
      </c>
      <c r="G196" s="32"/>
    </row>
    <row r="197" customFormat="false" ht="15" hidden="false" customHeight="false" outlineLevel="0" collapsed="false">
      <c r="A197" s="51"/>
      <c r="B197" s="38"/>
      <c r="C197" s="50"/>
      <c r="D197" s="71"/>
      <c r="E197" s="70" t="str">
        <f aca="false">IF($C197="","",IFERROR(INDEX('Ingredient Database'!$J:$J,MATCH($C197,'Ingredient Database'!$B:$B,0)),""))</f>
        <v/>
      </c>
      <c r="F197" s="70" t="str">
        <f aca="false">IF(OR($C197="",$D197=""),"",D197*E197)</f>
        <v/>
      </c>
      <c r="G197" s="32"/>
    </row>
    <row r="198" customFormat="false" ht="15" hidden="false" customHeight="false" outlineLevel="0" collapsed="false">
      <c r="A198" s="51"/>
      <c r="B198" s="38"/>
      <c r="C198" s="50"/>
      <c r="D198" s="71"/>
      <c r="E198" s="70" t="str">
        <f aca="false">IF($C198="","",IFERROR(INDEX('Ingredient Database'!$J:$J,MATCH($C198,'Ingredient Database'!$B:$B,0)),""))</f>
        <v/>
      </c>
      <c r="F198" s="70" t="str">
        <f aca="false">IF(OR($C198="",$D198=""),"",D198*E198)</f>
        <v/>
      </c>
      <c r="G198" s="32"/>
    </row>
    <row r="199" customFormat="false" ht="15" hidden="false" customHeight="false" outlineLevel="0" collapsed="false">
      <c r="A199" s="51"/>
      <c r="B199" s="38"/>
      <c r="C199" s="50"/>
      <c r="D199" s="71"/>
      <c r="E199" s="70" t="str">
        <f aca="false">IF($C199="","",IFERROR(INDEX('Ingredient Database'!$J:$J,MATCH($C199,'Ingredient Database'!$B:$B,0)),""))</f>
        <v/>
      </c>
      <c r="F199" s="70" t="str">
        <f aca="false">IF(OR($C199="",$D199=""),"",D199*E199)</f>
        <v/>
      </c>
      <c r="G199" s="32"/>
    </row>
    <row r="200" customFormat="false" ht="15" hidden="false" customHeight="false" outlineLevel="0" collapsed="false">
      <c r="A200" s="51"/>
      <c r="B200" s="38"/>
      <c r="C200" s="50"/>
      <c r="D200" s="71"/>
      <c r="E200" s="70" t="str">
        <f aca="false">IF($C200="","",IFERROR(INDEX('Ingredient Database'!$J:$J,MATCH($C200,'Ingredient Database'!$B:$B,0)),""))</f>
        <v/>
      </c>
      <c r="F200" s="70" t="str">
        <f aca="false">IF(OR($C200="",$D200=""),"",D200*E200)</f>
        <v/>
      </c>
      <c r="G200" s="32"/>
    </row>
    <row r="201" customFormat="false" ht="15" hidden="false" customHeight="false" outlineLevel="0" collapsed="false">
      <c r="A201" s="51"/>
      <c r="B201" s="38"/>
      <c r="C201" s="50"/>
      <c r="D201" s="71"/>
      <c r="E201" s="70" t="str">
        <f aca="false">IF($C201="","",IFERROR(INDEX('Ingredient Database'!$J:$J,MATCH($C201,'Ingredient Database'!$B:$B,0)),""))</f>
        <v/>
      </c>
      <c r="F201" s="70" t="str">
        <f aca="false">IF(OR($C201="",$D201=""),"",D201*E201)</f>
        <v/>
      </c>
      <c r="G201" s="32"/>
    </row>
    <row r="202" customFormat="false" ht="15" hidden="false" customHeight="false" outlineLevel="0" collapsed="false">
      <c r="A202" s="51"/>
      <c r="B202" s="38"/>
      <c r="C202" s="50"/>
      <c r="D202" s="71"/>
      <c r="E202" s="70" t="str">
        <f aca="false">IF($C202="","",IFERROR(INDEX('Ingredient Database'!$J:$J,MATCH($C202,'Ingredient Database'!$B:$B,0)),""))</f>
        <v/>
      </c>
      <c r="F202" s="70" t="str">
        <f aca="false">IF(OR($C202="",$D202=""),"",D202*E202)</f>
        <v/>
      </c>
      <c r="G202" s="32"/>
    </row>
    <row r="203" customFormat="false" ht="15" hidden="false" customHeight="false" outlineLevel="0" collapsed="false">
      <c r="A203" s="51"/>
      <c r="B203" s="38"/>
      <c r="C203" s="50"/>
      <c r="D203" s="71"/>
      <c r="E203" s="70" t="str">
        <f aca="false">IF($C203="","",IFERROR(INDEX('Ingredient Database'!$J:$J,MATCH($C203,'Ingredient Database'!$B:$B,0)),""))</f>
        <v/>
      </c>
      <c r="F203" s="70" t="str">
        <f aca="false">IF(OR($C203="",$D203=""),"",D203*E203)</f>
        <v/>
      </c>
      <c r="G203" s="32"/>
    </row>
    <row r="204" customFormat="false" ht="15" hidden="false" customHeight="false" outlineLevel="0" collapsed="false">
      <c r="A204" s="51"/>
      <c r="B204" s="38"/>
      <c r="C204" s="50"/>
      <c r="D204" s="71"/>
      <c r="E204" s="70" t="str">
        <f aca="false">IF($C204="","",IFERROR(INDEX('Ingredient Database'!$J:$J,MATCH($C204,'Ingredient Database'!$B:$B,0)),""))</f>
        <v/>
      </c>
      <c r="F204" s="70" t="str">
        <f aca="false">IF(OR($C204="",$D204=""),"",D204*E204)</f>
        <v/>
      </c>
      <c r="G204" s="32"/>
    </row>
    <row r="205" customFormat="false" ht="15" hidden="false" customHeight="false" outlineLevel="0" collapsed="false">
      <c r="A205" s="51"/>
      <c r="B205" s="38"/>
      <c r="C205" s="50"/>
      <c r="D205" s="71"/>
      <c r="E205" s="70" t="str">
        <f aca="false">IF($C205="","",IFERROR(INDEX('Ingredient Database'!$J:$J,MATCH($C205,'Ingredient Database'!$B:$B,0)),""))</f>
        <v/>
      </c>
      <c r="F205" s="70" t="str">
        <f aca="false">IF(OR($C205="",$D205=""),"",D205*E205)</f>
        <v/>
      </c>
      <c r="G205" s="32"/>
    </row>
    <row r="206" customFormat="false" ht="15" hidden="false" customHeight="false" outlineLevel="0" collapsed="false">
      <c r="A206" s="51"/>
      <c r="B206" s="38"/>
      <c r="C206" s="50"/>
      <c r="D206" s="71"/>
      <c r="E206" s="70" t="str">
        <f aca="false">IF($C206="","",IFERROR(INDEX('Ingredient Database'!$J:$J,MATCH($C206,'Ingredient Database'!$B:$B,0)),""))</f>
        <v/>
      </c>
      <c r="F206" s="70" t="str">
        <f aca="false">IF(OR($C206="",$D206=""),"",D206*E206)</f>
        <v/>
      </c>
      <c r="G206" s="32"/>
    </row>
    <row r="207" customFormat="false" ht="15" hidden="false" customHeight="false" outlineLevel="0" collapsed="false">
      <c r="A207" s="51"/>
      <c r="B207" s="38"/>
      <c r="C207" s="50"/>
      <c r="D207" s="71"/>
      <c r="E207" s="70" t="str">
        <f aca="false">IF($C207="","",IFERROR(INDEX('Ingredient Database'!$J:$J,MATCH($C207,'Ingredient Database'!$B:$B,0)),""))</f>
        <v/>
      </c>
      <c r="F207" s="70" t="str">
        <f aca="false">IF(OR($C207="",$D207=""),"",D207*E207)</f>
        <v/>
      </c>
      <c r="G207" s="32"/>
    </row>
    <row r="208" customFormat="false" ht="15" hidden="false" customHeight="false" outlineLevel="0" collapsed="false">
      <c r="A208" s="51"/>
      <c r="B208" s="38"/>
      <c r="C208" s="50"/>
      <c r="D208" s="71"/>
      <c r="E208" s="70" t="str">
        <f aca="false">IF($C208="","",IFERROR(INDEX('Ingredient Database'!$J:$J,MATCH($C208,'Ingredient Database'!$B:$B,0)),""))</f>
        <v/>
      </c>
      <c r="F208" s="70" t="str">
        <f aca="false">IF(OR($C208="",$D208=""),"",D208*E208)</f>
        <v/>
      </c>
      <c r="G208" s="32"/>
    </row>
    <row r="209" customFormat="false" ht="15" hidden="false" customHeight="false" outlineLevel="0" collapsed="false">
      <c r="A209" s="51"/>
      <c r="B209" s="38"/>
      <c r="C209" s="50"/>
      <c r="D209" s="71"/>
      <c r="E209" s="70" t="str">
        <f aca="false">IF($C209="","",IFERROR(INDEX('Ingredient Database'!$J:$J,MATCH($C209,'Ingredient Database'!$B:$B,0)),""))</f>
        <v/>
      </c>
      <c r="F209" s="70" t="str">
        <f aca="false">IF(OR($C209="",$D209=""),"",D209*E209)</f>
        <v/>
      </c>
      <c r="G209" s="32"/>
    </row>
    <row r="210" customFormat="false" ht="15" hidden="false" customHeight="false" outlineLevel="0" collapsed="false">
      <c r="A210" s="51"/>
      <c r="B210" s="38"/>
      <c r="C210" s="50"/>
      <c r="D210" s="71"/>
      <c r="E210" s="70" t="str">
        <f aca="false">IF($C210="","",IFERROR(INDEX('Ingredient Database'!$J:$J,MATCH($C210,'Ingredient Database'!$B:$B,0)),""))</f>
        <v/>
      </c>
      <c r="F210" s="70" t="str">
        <f aca="false">IF(OR($C210="",$D210=""),"",D210*E210)</f>
        <v/>
      </c>
      <c r="G210" s="32"/>
    </row>
    <row r="211" customFormat="false" ht="15" hidden="false" customHeight="false" outlineLevel="0" collapsed="false">
      <c r="A211" s="51"/>
      <c r="B211" s="38"/>
      <c r="C211" s="50"/>
      <c r="D211" s="71"/>
      <c r="E211" s="70" t="str">
        <f aca="false">IF($C211="","",IFERROR(INDEX('Ingredient Database'!$J:$J,MATCH($C211,'Ingredient Database'!$B:$B,0)),""))</f>
        <v/>
      </c>
      <c r="F211" s="70" t="str">
        <f aca="false">IF(OR($C211="",$D211=""),"",D211*E211)</f>
        <v/>
      </c>
      <c r="G211" s="32"/>
    </row>
    <row r="212" customFormat="false" ht="15" hidden="false" customHeight="false" outlineLevel="0" collapsed="false">
      <c r="A212" s="51"/>
      <c r="B212" s="38"/>
      <c r="C212" s="50"/>
      <c r="D212" s="71"/>
      <c r="E212" s="70" t="str">
        <f aca="false">IF($C212="","",IFERROR(INDEX('Ingredient Database'!$J:$J,MATCH($C212,'Ingredient Database'!$B:$B,0)),""))</f>
        <v/>
      </c>
      <c r="F212" s="70" t="str">
        <f aca="false">IF(OR($C212="",$D212=""),"",D212*E212)</f>
        <v/>
      </c>
      <c r="G212" s="32"/>
    </row>
    <row r="213" customFormat="false" ht="15" hidden="false" customHeight="false" outlineLevel="0" collapsed="false">
      <c r="A213" s="51"/>
      <c r="B213" s="38"/>
      <c r="C213" s="50"/>
      <c r="D213" s="71"/>
      <c r="E213" s="70" t="str">
        <f aca="false">IF($C213="","",IFERROR(INDEX('Ingredient Database'!$J:$J,MATCH($C213,'Ingredient Database'!$B:$B,0)),""))</f>
        <v/>
      </c>
      <c r="F213" s="70" t="str">
        <f aca="false">IF(OR($C213="",$D213=""),"",D213*E213)</f>
        <v/>
      </c>
      <c r="G213" s="32"/>
    </row>
    <row r="214" customFormat="false" ht="15" hidden="false" customHeight="false" outlineLevel="0" collapsed="false">
      <c r="A214" s="51"/>
      <c r="B214" s="38"/>
      <c r="C214" s="50"/>
      <c r="D214" s="71"/>
      <c r="E214" s="70" t="str">
        <f aca="false">IF($C214="","",IFERROR(INDEX('Ingredient Database'!$J:$J,MATCH($C214,'Ingredient Database'!$B:$B,0)),""))</f>
        <v/>
      </c>
      <c r="F214" s="70" t="str">
        <f aca="false">IF(OR($C214="",$D214=""),"",D214*E214)</f>
        <v/>
      </c>
      <c r="G214" s="32"/>
    </row>
    <row r="215" customFormat="false" ht="15" hidden="false" customHeight="false" outlineLevel="0" collapsed="false">
      <c r="A215" s="51"/>
      <c r="B215" s="38"/>
      <c r="C215" s="50"/>
      <c r="D215" s="71"/>
      <c r="E215" s="70" t="str">
        <f aca="false">IF($C215="","",IFERROR(INDEX('Ingredient Database'!$J:$J,MATCH($C215,'Ingredient Database'!$B:$B,0)),""))</f>
        <v/>
      </c>
      <c r="F215" s="70" t="str">
        <f aca="false">IF(OR($C215="",$D215=""),"",D215*E215)</f>
        <v/>
      </c>
      <c r="G215" s="32"/>
    </row>
    <row r="216" customFormat="false" ht="15" hidden="false" customHeight="false" outlineLevel="0" collapsed="false">
      <c r="A216" s="51"/>
      <c r="B216" s="38"/>
      <c r="C216" s="50"/>
      <c r="D216" s="71"/>
      <c r="E216" s="70" t="str">
        <f aca="false">IF($C216="","",IFERROR(INDEX('Ingredient Database'!$J:$J,MATCH($C216,'Ingredient Database'!$B:$B,0)),""))</f>
        <v/>
      </c>
      <c r="F216" s="70" t="str">
        <f aca="false">IF(OR($C216="",$D216=""),"",D216*E216)</f>
        <v/>
      </c>
      <c r="G216" s="32"/>
    </row>
    <row r="217" customFormat="false" ht="15" hidden="false" customHeight="false" outlineLevel="0" collapsed="false">
      <c r="A217" s="51"/>
      <c r="B217" s="38"/>
      <c r="C217" s="50"/>
      <c r="D217" s="71"/>
      <c r="E217" s="70" t="str">
        <f aca="false">IF($C217="","",IFERROR(INDEX('Ingredient Database'!$J:$J,MATCH($C217,'Ingredient Database'!$B:$B,0)),""))</f>
        <v/>
      </c>
      <c r="F217" s="70" t="str">
        <f aca="false">IF(OR($C217="",$D217=""),"",D217*E217)</f>
        <v/>
      </c>
      <c r="G217" s="32"/>
    </row>
    <row r="218" customFormat="false" ht="15" hidden="false" customHeight="false" outlineLevel="0" collapsed="false">
      <c r="A218" s="51"/>
      <c r="B218" s="38"/>
      <c r="C218" s="50"/>
      <c r="D218" s="71"/>
      <c r="E218" s="70" t="str">
        <f aca="false">IF($C218="","",IFERROR(INDEX('Ingredient Database'!$J:$J,MATCH($C218,'Ingredient Database'!$B:$B,0)),""))</f>
        <v/>
      </c>
      <c r="F218" s="70" t="str">
        <f aca="false">IF(OR($C218="",$D218=""),"",D218*E218)</f>
        <v/>
      </c>
      <c r="G218" s="32"/>
    </row>
    <row r="219" customFormat="false" ht="15" hidden="false" customHeight="false" outlineLevel="0" collapsed="false">
      <c r="A219" s="51"/>
      <c r="B219" s="38"/>
      <c r="C219" s="50"/>
      <c r="D219" s="71"/>
      <c r="E219" s="70" t="str">
        <f aca="false">IF($C219="","",IFERROR(INDEX('Ingredient Database'!$J:$J,MATCH($C219,'Ingredient Database'!$B:$B,0)),""))</f>
        <v/>
      </c>
      <c r="F219" s="70" t="str">
        <f aca="false">IF(OR($C219="",$D219=""),"",D219*E219)</f>
        <v/>
      </c>
      <c r="G219" s="32"/>
    </row>
    <row r="220" customFormat="false" ht="15" hidden="false" customHeight="false" outlineLevel="0" collapsed="false">
      <c r="A220" s="51"/>
      <c r="B220" s="38"/>
      <c r="C220" s="50"/>
      <c r="D220" s="71"/>
      <c r="E220" s="70" t="str">
        <f aca="false">IF($C220="","",IFERROR(INDEX('Ingredient Database'!$J:$J,MATCH($C220,'Ingredient Database'!$B:$B,0)),""))</f>
        <v/>
      </c>
      <c r="F220" s="70" t="str">
        <f aca="false">IF(OR($C220="",$D220=""),"",D220*E220)</f>
        <v/>
      </c>
      <c r="G220" s="32"/>
    </row>
    <row r="221" customFormat="false" ht="15" hidden="false" customHeight="false" outlineLevel="0" collapsed="false">
      <c r="A221" s="51"/>
      <c r="B221" s="38"/>
      <c r="C221" s="50"/>
      <c r="D221" s="71"/>
      <c r="E221" s="70" t="str">
        <f aca="false">IF($C221="","",IFERROR(INDEX('Ingredient Database'!$J:$J,MATCH($C221,'Ingredient Database'!$B:$B,0)),""))</f>
        <v/>
      </c>
      <c r="F221" s="70" t="str">
        <f aca="false">IF(OR($C221="",$D221=""),"",D221*E221)</f>
        <v/>
      </c>
      <c r="G221" s="32"/>
    </row>
    <row r="222" customFormat="false" ht="15" hidden="false" customHeight="false" outlineLevel="0" collapsed="false">
      <c r="A222" s="51"/>
      <c r="B222" s="38"/>
      <c r="C222" s="50"/>
      <c r="D222" s="71"/>
      <c r="E222" s="70" t="str">
        <f aca="false">IF($C222="","",IFERROR(INDEX('Ingredient Database'!$J:$J,MATCH($C222,'Ingredient Database'!$B:$B,0)),""))</f>
        <v/>
      </c>
      <c r="F222" s="70" t="str">
        <f aca="false">IF(OR($C222="",$D222=""),"",D222*E222)</f>
        <v/>
      </c>
      <c r="G222" s="32"/>
    </row>
    <row r="223" customFormat="false" ht="15" hidden="false" customHeight="false" outlineLevel="0" collapsed="false">
      <c r="A223" s="51"/>
      <c r="B223" s="38"/>
      <c r="C223" s="50"/>
      <c r="D223" s="71"/>
      <c r="E223" s="70" t="str">
        <f aca="false">IF($C223="","",IFERROR(INDEX('Ingredient Database'!$J:$J,MATCH($C223,'Ingredient Database'!$B:$B,0)),""))</f>
        <v/>
      </c>
      <c r="F223" s="70" t="str">
        <f aca="false">IF(OR($C223="",$D223=""),"",D223*E223)</f>
        <v/>
      </c>
      <c r="G223" s="32"/>
    </row>
    <row r="224" customFormat="false" ht="15" hidden="false" customHeight="false" outlineLevel="0" collapsed="false">
      <c r="A224" s="51"/>
      <c r="B224" s="38"/>
      <c r="C224" s="50"/>
      <c r="D224" s="71"/>
      <c r="E224" s="70" t="str">
        <f aca="false">IF($C224="","",IFERROR(INDEX('Ingredient Database'!$J:$J,MATCH($C224,'Ingredient Database'!$B:$B,0)),""))</f>
        <v/>
      </c>
      <c r="F224" s="70" t="str">
        <f aca="false">IF(OR($C224="",$D224=""),"",D224*E224)</f>
        <v/>
      </c>
      <c r="G224" s="32"/>
    </row>
    <row r="225" customFormat="false" ht="15" hidden="false" customHeight="false" outlineLevel="0" collapsed="false">
      <c r="A225" s="51"/>
      <c r="B225" s="38"/>
      <c r="C225" s="50"/>
      <c r="D225" s="71"/>
      <c r="E225" s="70" t="str">
        <f aca="false">IF($C225="","",IFERROR(INDEX('Ingredient Database'!$J:$J,MATCH($C225,'Ingredient Database'!$B:$B,0)),""))</f>
        <v/>
      </c>
      <c r="F225" s="70" t="str">
        <f aca="false">IF(OR($C225="",$D225=""),"",D225*E225)</f>
        <v/>
      </c>
      <c r="G225" s="32"/>
    </row>
    <row r="226" customFormat="false" ht="15" hidden="false" customHeight="false" outlineLevel="0" collapsed="false">
      <c r="A226" s="51"/>
      <c r="B226" s="38"/>
      <c r="C226" s="50"/>
      <c r="D226" s="71"/>
      <c r="E226" s="70" t="str">
        <f aca="false">IF($C226="","",IFERROR(INDEX('Ingredient Database'!$J:$J,MATCH($C226,'Ingredient Database'!$B:$B,0)),""))</f>
        <v/>
      </c>
      <c r="F226" s="70" t="str">
        <f aca="false">IF(OR($C226="",$D226=""),"",D226*E226)</f>
        <v/>
      </c>
      <c r="G226" s="32"/>
    </row>
    <row r="227" customFormat="false" ht="15" hidden="false" customHeight="false" outlineLevel="0" collapsed="false">
      <c r="A227" s="51"/>
      <c r="B227" s="38"/>
      <c r="C227" s="50"/>
      <c r="D227" s="71"/>
      <c r="E227" s="70" t="str">
        <f aca="false">IF($C227="","",IFERROR(INDEX('Ingredient Database'!$J:$J,MATCH($C227,'Ingredient Database'!$B:$B,0)),""))</f>
        <v/>
      </c>
      <c r="F227" s="70" t="str">
        <f aca="false">IF(OR($C227="",$D227=""),"",D227*E227)</f>
        <v/>
      </c>
      <c r="G227" s="32"/>
    </row>
    <row r="228" customFormat="false" ht="15" hidden="false" customHeight="false" outlineLevel="0" collapsed="false">
      <c r="A228" s="51"/>
      <c r="B228" s="38"/>
      <c r="C228" s="50"/>
      <c r="D228" s="71"/>
      <c r="E228" s="70" t="str">
        <f aca="false">IF($C228="","",IFERROR(INDEX('Ingredient Database'!$J:$J,MATCH($C228,'Ingredient Database'!$B:$B,0)),""))</f>
        <v/>
      </c>
      <c r="F228" s="70" t="str">
        <f aca="false">IF(OR($C228="",$D228=""),"",D228*E228)</f>
        <v/>
      </c>
      <c r="G228" s="32"/>
    </row>
    <row r="229" customFormat="false" ht="15" hidden="false" customHeight="false" outlineLevel="0" collapsed="false">
      <c r="A229" s="51"/>
      <c r="B229" s="38"/>
      <c r="C229" s="50"/>
      <c r="D229" s="71"/>
      <c r="E229" s="70" t="str">
        <f aca="false">IF($C229="","",IFERROR(INDEX('Ingredient Database'!$J:$J,MATCH($C229,'Ingredient Database'!$B:$B,0)),""))</f>
        <v/>
      </c>
      <c r="F229" s="70" t="str">
        <f aca="false">IF(OR($C229="",$D229=""),"",D229*E229)</f>
        <v/>
      </c>
      <c r="G229" s="32"/>
    </row>
    <row r="230" customFormat="false" ht="15" hidden="false" customHeight="false" outlineLevel="0" collapsed="false">
      <c r="A230" s="51"/>
      <c r="B230" s="38"/>
      <c r="C230" s="50"/>
      <c r="D230" s="71"/>
      <c r="E230" s="70" t="str">
        <f aca="false">IF($C230="","",IFERROR(INDEX('Ingredient Database'!$J:$J,MATCH($C230,'Ingredient Database'!$B:$B,0)),""))</f>
        <v/>
      </c>
      <c r="F230" s="70" t="str">
        <f aca="false">IF(OR($C230="",$D230=""),"",D230*E230)</f>
        <v/>
      </c>
      <c r="G230" s="32"/>
    </row>
    <row r="231" customFormat="false" ht="15" hidden="false" customHeight="false" outlineLevel="0" collapsed="false">
      <c r="A231" s="51"/>
      <c r="B231" s="38"/>
      <c r="C231" s="50"/>
      <c r="D231" s="71"/>
      <c r="E231" s="70" t="str">
        <f aca="false">IF($C231="","",IFERROR(INDEX('Ingredient Database'!$J:$J,MATCH($C231,'Ingredient Database'!$B:$B,0)),""))</f>
        <v/>
      </c>
      <c r="F231" s="70" t="str">
        <f aca="false">IF(OR($C231="",$D231=""),"",D231*E231)</f>
        <v/>
      </c>
      <c r="G231" s="32"/>
    </row>
    <row r="232" customFormat="false" ht="15" hidden="false" customHeight="false" outlineLevel="0" collapsed="false">
      <c r="A232" s="51"/>
      <c r="B232" s="38"/>
      <c r="C232" s="50"/>
      <c r="D232" s="71"/>
      <c r="E232" s="70" t="str">
        <f aca="false">IF($C232="","",IFERROR(INDEX('Ingredient Database'!$J:$J,MATCH($C232,'Ingredient Database'!$B:$B,0)),""))</f>
        <v/>
      </c>
      <c r="F232" s="70" t="str">
        <f aca="false">IF(OR($C232="",$D232=""),"",D232*E232)</f>
        <v/>
      </c>
      <c r="G232" s="32"/>
    </row>
    <row r="233" customFormat="false" ht="15" hidden="false" customHeight="false" outlineLevel="0" collapsed="false">
      <c r="A233" s="51"/>
      <c r="B233" s="38"/>
      <c r="C233" s="50"/>
      <c r="D233" s="71"/>
      <c r="E233" s="70" t="str">
        <f aca="false">IF($C233="","",IFERROR(INDEX('Ingredient Database'!$J:$J,MATCH($C233,'Ingredient Database'!$B:$B,0)),""))</f>
        <v/>
      </c>
      <c r="F233" s="70" t="str">
        <f aca="false">IF(OR($C233="",$D233=""),"",D233*E233)</f>
        <v/>
      </c>
      <c r="G233" s="32"/>
    </row>
    <row r="234" customFormat="false" ht="15" hidden="false" customHeight="false" outlineLevel="0" collapsed="false">
      <c r="A234" s="51"/>
      <c r="B234" s="38"/>
      <c r="C234" s="50"/>
      <c r="D234" s="71"/>
      <c r="E234" s="70" t="str">
        <f aca="false">IF($C234="","",IFERROR(INDEX('Ingredient Database'!$J:$J,MATCH($C234,'Ingredient Database'!$B:$B,0)),""))</f>
        <v/>
      </c>
      <c r="F234" s="70" t="str">
        <f aca="false">IF(OR($C234="",$D234=""),"",D234*E234)</f>
        <v/>
      </c>
      <c r="G234" s="32"/>
    </row>
    <row r="235" customFormat="false" ht="15" hidden="false" customHeight="false" outlineLevel="0" collapsed="false">
      <c r="A235" s="51"/>
      <c r="B235" s="38"/>
      <c r="C235" s="50"/>
      <c r="D235" s="71"/>
      <c r="E235" s="70" t="str">
        <f aca="false">IF($C235="","",IFERROR(INDEX('Ingredient Database'!$J:$J,MATCH($C235,'Ingredient Database'!$B:$B,0)),""))</f>
        <v/>
      </c>
      <c r="F235" s="70" t="str">
        <f aca="false">IF(OR($C235="",$D235=""),"",D235*E235)</f>
        <v/>
      </c>
      <c r="G235" s="32"/>
    </row>
    <row r="236" customFormat="false" ht="15" hidden="false" customHeight="false" outlineLevel="0" collapsed="false">
      <c r="A236" s="51"/>
      <c r="B236" s="38"/>
      <c r="C236" s="50"/>
      <c r="D236" s="71"/>
      <c r="E236" s="70" t="str">
        <f aca="false">IF($C236="","",IFERROR(INDEX('Ingredient Database'!$J:$J,MATCH($C236,'Ingredient Database'!$B:$B,0)),""))</f>
        <v/>
      </c>
      <c r="F236" s="70" t="str">
        <f aca="false">IF(OR($C236="",$D236=""),"",D236*E236)</f>
        <v/>
      </c>
      <c r="G236" s="32"/>
    </row>
    <row r="237" customFormat="false" ht="15" hidden="false" customHeight="false" outlineLevel="0" collapsed="false">
      <c r="A237" s="51"/>
      <c r="B237" s="38"/>
      <c r="C237" s="50"/>
      <c r="D237" s="71"/>
      <c r="E237" s="70" t="str">
        <f aca="false">IF($C237="","",IFERROR(INDEX('Ingredient Database'!$J:$J,MATCH($C237,'Ingredient Database'!$B:$B,0)),""))</f>
        <v/>
      </c>
      <c r="F237" s="70" t="str">
        <f aca="false">IF(OR($C237="",$D237=""),"",D237*E237)</f>
        <v/>
      </c>
      <c r="G237" s="32"/>
    </row>
    <row r="238" customFormat="false" ht="15" hidden="false" customHeight="false" outlineLevel="0" collapsed="false">
      <c r="A238" s="51"/>
      <c r="B238" s="38"/>
      <c r="C238" s="50"/>
      <c r="D238" s="71"/>
      <c r="E238" s="70" t="str">
        <f aca="false">IF($C238="","",IFERROR(INDEX('Ingredient Database'!$J:$J,MATCH($C238,'Ingredient Database'!$B:$B,0)),""))</f>
        <v/>
      </c>
      <c r="F238" s="70" t="str">
        <f aca="false">IF(OR($C238="",$D238=""),"",D238*E238)</f>
        <v/>
      </c>
      <c r="G238" s="32"/>
    </row>
    <row r="239" customFormat="false" ht="15" hidden="false" customHeight="false" outlineLevel="0" collapsed="false">
      <c r="A239" s="51"/>
      <c r="B239" s="38"/>
      <c r="C239" s="50"/>
      <c r="D239" s="71"/>
      <c r="E239" s="70" t="str">
        <f aca="false">IF($C239="","",IFERROR(INDEX('Ingredient Database'!$J:$J,MATCH($C239,'Ingredient Database'!$B:$B,0)),""))</f>
        <v/>
      </c>
      <c r="F239" s="70" t="str">
        <f aca="false">IF(OR($C239="",$D239=""),"",D239*E239)</f>
        <v/>
      </c>
      <c r="G239" s="32"/>
    </row>
    <row r="240" customFormat="false" ht="15" hidden="false" customHeight="false" outlineLevel="0" collapsed="false">
      <c r="A240" s="51"/>
      <c r="B240" s="38"/>
      <c r="C240" s="50"/>
      <c r="D240" s="71"/>
      <c r="E240" s="70" t="str">
        <f aca="false">IF($C240="","",IFERROR(INDEX('Ingredient Database'!$J:$J,MATCH($C240,'Ingredient Database'!$B:$B,0)),""))</f>
        <v/>
      </c>
      <c r="F240" s="70" t="str">
        <f aca="false">IF(OR($C240="",$D240=""),"",D240*E240)</f>
        <v/>
      </c>
      <c r="G240" s="32"/>
    </row>
    <row r="241" customFormat="false" ht="15" hidden="false" customHeight="false" outlineLevel="0" collapsed="false">
      <c r="A241" s="51"/>
      <c r="B241" s="38"/>
      <c r="C241" s="50"/>
      <c r="D241" s="71"/>
      <c r="E241" s="70" t="str">
        <f aca="false">IF($C241="","",IFERROR(INDEX('Ingredient Database'!$J:$J,MATCH($C241,'Ingredient Database'!$B:$B,0)),""))</f>
        <v/>
      </c>
      <c r="F241" s="70" t="str">
        <f aca="false">IF(OR($C241="",$D241=""),"",D241*E241)</f>
        <v/>
      </c>
      <c r="G241" s="32"/>
    </row>
    <row r="242" customFormat="false" ht="15" hidden="false" customHeight="false" outlineLevel="0" collapsed="false">
      <c r="A242" s="51"/>
      <c r="B242" s="38"/>
      <c r="C242" s="50"/>
      <c r="D242" s="71"/>
      <c r="E242" s="70" t="str">
        <f aca="false">IF($C242="","",IFERROR(INDEX('Ingredient Database'!$J:$J,MATCH($C242,'Ingredient Database'!$B:$B,0)),""))</f>
        <v/>
      </c>
      <c r="F242" s="70" t="str">
        <f aca="false">IF(OR($C242="",$D242=""),"",D242*E242)</f>
        <v/>
      </c>
      <c r="G242" s="32"/>
    </row>
    <row r="243" customFormat="false" ht="15" hidden="false" customHeight="false" outlineLevel="0" collapsed="false">
      <c r="A243" s="51"/>
      <c r="B243" s="38"/>
      <c r="C243" s="50"/>
      <c r="D243" s="71"/>
      <c r="E243" s="70" t="str">
        <f aca="false">IF($C243="","",IFERROR(INDEX('Ingredient Database'!$J:$J,MATCH($C243,'Ingredient Database'!$B:$B,0)),""))</f>
        <v/>
      </c>
      <c r="F243" s="70" t="str">
        <f aca="false">IF(OR($C243="",$D243=""),"",D243*E243)</f>
        <v/>
      </c>
      <c r="G243" s="32"/>
    </row>
    <row r="244" customFormat="false" ht="15" hidden="false" customHeight="false" outlineLevel="0" collapsed="false">
      <c r="A244" s="51"/>
      <c r="B244" s="38"/>
      <c r="C244" s="50"/>
      <c r="D244" s="71"/>
      <c r="E244" s="70" t="str">
        <f aca="false">IF($C244="","",IFERROR(INDEX('Ingredient Database'!$J:$J,MATCH($C244,'Ingredient Database'!$B:$B,0)),""))</f>
        <v/>
      </c>
      <c r="F244" s="70" t="str">
        <f aca="false">IF(OR($C244="",$D244=""),"",D244*E244)</f>
        <v/>
      </c>
      <c r="G244" s="32"/>
    </row>
    <row r="245" customFormat="false" ht="15" hidden="false" customHeight="false" outlineLevel="0" collapsed="false">
      <c r="A245" s="51"/>
      <c r="B245" s="38"/>
      <c r="C245" s="50"/>
      <c r="D245" s="71"/>
      <c r="E245" s="70" t="str">
        <f aca="false">IF($C245="","",IFERROR(INDEX('Ingredient Database'!$J:$J,MATCH($C245,'Ingredient Database'!$B:$B,0)),""))</f>
        <v/>
      </c>
      <c r="F245" s="70" t="str">
        <f aca="false">IF(OR($C245="",$D245=""),"",D245*E245)</f>
        <v/>
      </c>
      <c r="G245" s="32"/>
    </row>
    <row r="246" customFormat="false" ht="15" hidden="false" customHeight="false" outlineLevel="0" collapsed="false">
      <c r="A246" s="51"/>
      <c r="B246" s="38"/>
      <c r="C246" s="50"/>
      <c r="D246" s="71"/>
      <c r="E246" s="70" t="str">
        <f aca="false">IF($C246="","",IFERROR(INDEX('Ingredient Database'!$J:$J,MATCH($C246,'Ingredient Database'!$B:$B,0)),""))</f>
        <v/>
      </c>
      <c r="F246" s="70" t="str">
        <f aca="false">IF(OR($C246="",$D246=""),"",D246*E246)</f>
        <v/>
      </c>
      <c r="G246" s="32"/>
    </row>
    <row r="247" customFormat="false" ht="15" hidden="false" customHeight="false" outlineLevel="0" collapsed="false">
      <c r="A247" s="51"/>
      <c r="B247" s="38"/>
      <c r="C247" s="50"/>
      <c r="D247" s="71"/>
      <c r="E247" s="70" t="str">
        <f aca="false">IF($C247="","",IFERROR(INDEX('Ingredient Database'!$J:$J,MATCH($C247,'Ingredient Database'!$B:$B,0)),""))</f>
        <v/>
      </c>
      <c r="F247" s="70" t="str">
        <f aca="false">IF(OR($C247="",$D247=""),"",D247*E247)</f>
        <v/>
      </c>
      <c r="G247" s="32"/>
    </row>
    <row r="248" customFormat="false" ht="15" hidden="false" customHeight="false" outlineLevel="0" collapsed="false">
      <c r="A248" s="51"/>
      <c r="B248" s="38"/>
      <c r="C248" s="50"/>
      <c r="D248" s="71"/>
      <c r="E248" s="70" t="str">
        <f aca="false">IF($C248="","",IFERROR(INDEX('Ingredient Database'!$J:$J,MATCH($C248,'Ingredient Database'!$B:$B,0)),""))</f>
        <v/>
      </c>
      <c r="F248" s="70" t="str">
        <f aca="false">IF(OR($C248="",$D248=""),"",D248*E248)</f>
        <v/>
      </c>
      <c r="G248" s="32"/>
    </row>
    <row r="249" customFormat="false" ht="15" hidden="false" customHeight="false" outlineLevel="0" collapsed="false">
      <c r="A249" s="51"/>
      <c r="B249" s="38"/>
      <c r="C249" s="50"/>
      <c r="D249" s="71"/>
      <c r="E249" s="70" t="str">
        <f aca="false">IF($C249="","",IFERROR(INDEX('Ingredient Database'!$J:$J,MATCH($C249,'Ingredient Database'!$B:$B,0)),""))</f>
        <v/>
      </c>
      <c r="F249" s="70" t="str">
        <f aca="false">IF(OR($C249="",$D249=""),"",D249*E249)</f>
        <v/>
      </c>
      <c r="G249" s="32"/>
    </row>
    <row r="250" customFormat="false" ht="15" hidden="false" customHeight="false" outlineLevel="0" collapsed="false">
      <c r="A250" s="51"/>
      <c r="B250" s="38"/>
      <c r="C250" s="50"/>
      <c r="D250" s="71"/>
      <c r="E250" s="70" t="str">
        <f aca="false">IF($C250="","",IFERROR(INDEX('Ingredient Database'!$J:$J,MATCH($C250,'Ingredient Database'!$B:$B,0)),""))</f>
        <v/>
      </c>
      <c r="F250" s="70" t="str">
        <f aca="false">IF(OR($C250="",$D250=""),"",D250*E250)</f>
        <v/>
      </c>
      <c r="G250" s="32"/>
    </row>
    <row r="251" customFormat="false" ht="15" hidden="false" customHeight="false" outlineLevel="0" collapsed="false">
      <c r="A251" s="51"/>
      <c r="B251" s="38"/>
      <c r="C251" s="50"/>
      <c r="D251" s="71"/>
      <c r="E251" s="70" t="str">
        <f aca="false">IF($C251="","",IFERROR(INDEX('Ingredient Database'!$J:$J,MATCH($C251,'Ingredient Database'!$B:$B,0)),""))</f>
        <v/>
      </c>
      <c r="F251" s="70" t="str">
        <f aca="false">IF(OR($C251="",$D251=""),"",D251*E251)</f>
        <v/>
      </c>
      <c r="G251" s="32"/>
    </row>
    <row r="252" customFormat="false" ht="15" hidden="false" customHeight="false" outlineLevel="0" collapsed="false">
      <c r="A252" s="51"/>
      <c r="B252" s="38"/>
      <c r="C252" s="50"/>
      <c r="D252" s="71"/>
      <c r="E252" s="70" t="str">
        <f aca="false">IF($C252="","",IFERROR(INDEX('Ingredient Database'!$J:$J,MATCH($C252,'Ingredient Database'!$B:$B,0)),""))</f>
        <v/>
      </c>
      <c r="F252" s="70" t="str">
        <f aca="false">IF(OR($C252="",$D252=""),"",D252*E252)</f>
        <v/>
      </c>
      <c r="G252" s="32"/>
    </row>
    <row r="253" customFormat="false" ht="15" hidden="false" customHeight="false" outlineLevel="0" collapsed="false">
      <c r="A253" s="51"/>
      <c r="B253" s="38"/>
      <c r="C253" s="50"/>
      <c r="D253" s="71"/>
      <c r="E253" s="70" t="str">
        <f aca="false">IF($C253="","",IFERROR(INDEX('Ingredient Database'!$J:$J,MATCH($C253,'Ingredient Database'!$B:$B,0)),""))</f>
        <v/>
      </c>
      <c r="F253" s="70" t="str">
        <f aca="false">IF(OR($C253="",$D253=""),"",D253*E253)</f>
        <v/>
      </c>
      <c r="G253" s="32"/>
    </row>
    <row r="254" customFormat="false" ht="15" hidden="false" customHeight="false" outlineLevel="0" collapsed="false">
      <c r="A254" s="51"/>
      <c r="B254" s="38"/>
      <c r="C254" s="50"/>
      <c r="D254" s="71"/>
      <c r="E254" s="70" t="str">
        <f aca="false">IF($C254="","",IFERROR(INDEX('Ingredient Database'!$J:$J,MATCH($C254,'Ingredient Database'!$B:$B,0)),""))</f>
        <v/>
      </c>
      <c r="F254" s="70" t="str">
        <f aca="false">IF(OR($C254="",$D254=""),"",D254*E254)</f>
        <v/>
      </c>
      <c r="G254" s="32"/>
    </row>
    <row r="255" customFormat="false" ht="15" hidden="false" customHeight="false" outlineLevel="0" collapsed="false">
      <c r="A255" s="51"/>
      <c r="B255" s="38"/>
      <c r="C255" s="50"/>
      <c r="D255" s="71"/>
      <c r="E255" s="70" t="str">
        <f aca="false">IF($C255="","",IFERROR(INDEX('Ingredient Database'!$J:$J,MATCH($C255,'Ingredient Database'!$B:$B,0)),""))</f>
        <v/>
      </c>
      <c r="F255" s="70" t="str">
        <f aca="false">IF(OR($C255="",$D255=""),"",D255*E255)</f>
        <v/>
      </c>
      <c r="G255" s="32"/>
    </row>
    <row r="256" customFormat="false" ht="15" hidden="false" customHeight="false" outlineLevel="0" collapsed="false">
      <c r="A256" s="51"/>
      <c r="B256" s="38"/>
      <c r="C256" s="50"/>
      <c r="D256" s="71"/>
      <c r="E256" s="70" t="str">
        <f aca="false">IF($C256="","",IFERROR(INDEX('Ingredient Database'!$J:$J,MATCH($C256,'Ingredient Database'!$B:$B,0)),""))</f>
        <v/>
      </c>
      <c r="F256" s="70" t="str">
        <f aca="false">IF(OR($C256="",$D256=""),"",D256*E256)</f>
        <v/>
      </c>
      <c r="G256" s="32"/>
    </row>
    <row r="257" customFormat="false" ht="15" hidden="false" customHeight="false" outlineLevel="0" collapsed="false">
      <c r="A257" s="51"/>
      <c r="B257" s="38"/>
      <c r="C257" s="50"/>
      <c r="D257" s="71"/>
      <c r="E257" s="70" t="str">
        <f aca="false">IF($C257="","",IFERROR(INDEX('Ingredient Database'!$J:$J,MATCH($C257,'Ingredient Database'!$B:$B,0)),""))</f>
        <v/>
      </c>
      <c r="F257" s="70" t="str">
        <f aca="false">IF(OR($C257="",$D257=""),"",D257*E257)</f>
        <v/>
      </c>
      <c r="G257" s="32"/>
    </row>
    <row r="258" customFormat="false" ht="15" hidden="false" customHeight="false" outlineLevel="0" collapsed="false">
      <c r="A258" s="51"/>
      <c r="B258" s="38"/>
      <c r="C258" s="50"/>
      <c r="D258" s="71"/>
      <c r="E258" s="70" t="str">
        <f aca="false">IF($C258="","",IFERROR(INDEX('Ingredient Database'!$J:$J,MATCH($C258,'Ingredient Database'!$B:$B,0)),""))</f>
        <v/>
      </c>
      <c r="F258" s="70" t="str">
        <f aca="false">IF(OR($C258="",$D258=""),"",D258*E258)</f>
        <v/>
      </c>
      <c r="G258" s="32"/>
    </row>
    <row r="259" customFormat="false" ht="15" hidden="false" customHeight="false" outlineLevel="0" collapsed="false">
      <c r="A259" s="51"/>
      <c r="B259" s="38"/>
      <c r="C259" s="50"/>
      <c r="D259" s="71"/>
      <c r="E259" s="70" t="str">
        <f aca="false">IF($C259="","",IFERROR(INDEX('Ingredient Database'!$J:$J,MATCH($C259,'Ingredient Database'!$B:$B,0)),""))</f>
        <v/>
      </c>
      <c r="F259" s="70" t="str">
        <f aca="false">IF(OR($C259="",$D259=""),"",D259*E259)</f>
        <v/>
      </c>
      <c r="G259" s="32"/>
    </row>
    <row r="260" customFormat="false" ht="15" hidden="false" customHeight="false" outlineLevel="0" collapsed="false">
      <c r="A260" s="51"/>
      <c r="B260" s="38"/>
      <c r="C260" s="50"/>
      <c r="D260" s="71"/>
      <c r="E260" s="70" t="str">
        <f aca="false">IF($C260="","",IFERROR(INDEX('Ingredient Database'!$J:$J,MATCH($C260,'Ingredient Database'!$B:$B,0)),""))</f>
        <v/>
      </c>
      <c r="F260" s="70" t="str">
        <f aca="false">IF(OR($C260="",$D260=""),"",D260*E260)</f>
        <v/>
      </c>
      <c r="G260" s="32"/>
    </row>
    <row r="261" customFormat="false" ht="15" hidden="false" customHeight="false" outlineLevel="0" collapsed="false">
      <c r="A261" s="51"/>
      <c r="B261" s="38"/>
      <c r="C261" s="50"/>
      <c r="D261" s="71"/>
      <c r="E261" s="70" t="str">
        <f aca="false">IF($C261="","",IFERROR(INDEX('Ingredient Database'!$J:$J,MATCH($C261,'Ingredient Database'!$B:$B,0)),""))</f>
        <v/>
      </c>
      <c r="F261" s="70" t="str">
        <f aca="false">IF(OR($C261="",$D261=""),"",D261*E261)</f>
        <v/>
      </c>
      <c r="G261" s="32"/>
    </row>
    <row r="262" customFormat="false" ht="15" hidden="false" customHeight="false" outlineLevel="0" collapsed="false">
      <c r="A262" s="51"/>
      <c r="B262" s="38"/>
      <c r="C262" s="50"/>
      <c r="D262" s="71"/>
      <c r="E262" s="70" t="str">
        <f aca="false">IF($C262="","",IFERROR(INDEX('Ingredient Database'!$J:$J,MATCH($C262,'Ingredient Database'!$B:$B,0)),""))</f>
        <v/>
      </c>
      <c r="F262" s="70" t="str">
        <f aca="false">IF(OR($C262="",$D262=""),"",D262*E262)</f>
        <v/>
      </c>
      <c r="G262" s="32"/>
    </row>
    <row r="263" customFormat="false" ht="15" hidden="false" customHeight="false" outlineLevel="0" collapsed="false">
      <c r="A263" s="51"/>
      <c r="B263" s="38"/>
      <c r="C263" s="50"/>
      <c r="D263" s="71"/>
      <c r="E263" s="70" t="str">
        <f aca="false">IF($C263="","",IFERROR(INDEX('Ingredient Database'!$J:$J,MATCH($C263,'Ingredient Database'!$B:$B,0)),""))</f>
        <v/>
      </c>
      <c r="F263" s="70" t="str">
        <f aca="false">IF(OR($C263="",$D263=""),"",D263*E263)</f>
        <v/>
      </c>
      <c r="G263" s="32"/>
    </row>
    <row r="264" customFormat="false" ht="15" hidden="false" customHeight="false" outlineLevel="0" collapsed="false">
      <c r="A264" s="51"/>
      <c r="B264" s="38"/>
      <c r="C264" s="50"/>
      <c r="D264" s="71"/>
      <c r="E264" s="70" t="str">
        <f aca="false">IF($C264="","",IFERROR(INDEX('Ingredient Database'!$J:$J,MATCH($C264,'Ingredient Database'!$B:$B,0)),""))</f>
        <v/>
      </c>
      <c r="F264" s="70" t="str">
        <f aca="false">IF(OR($C264="",$D264=""),"",D264*E264)</f>
        <v/>
      </c>
      <c r="G264" s="32"/>
    </row>
    <row r="265" customFormat="false" ht="15" hidden="false" customHeight="false" outlineLevel="0" collapsed="false">
      <c r="A265" s="51"/>
      <c r="B265" s="38"/>
      <c r="C265" s="50"/>
      <c r="D265" s="71"/>
      <c r="E265" s="70" t="str">
        <f aca="false">IF($C265="","",IFERROR(INDEX('Ingredient Database'!$J:$J,MATCH($C265,'Ingredient Database'!$B:$B,0)),""))</f>
        <v/>
      </c>
      <c r="F265" s="70" t="str">
        <f aca="false">IF(OR($C265="",$D265=""),"",D265*E265)</f>
        <v/>
      </c>
      <c r="G265" s="32"/>
    </row>
    <row r="266" customFormat="false" ht="15" hidden="false" customHeight="false" outlineLevel="0" collapsed="false">
      <c r="A266" s="51"/>
      <c r="B266" s="38"/>
      <c r="C266" s="50"/>
      <c r="D266" s="71"/>
      <c r="E266" s="70" t="str">
        <f aca="false">IF($C266="","",IFERROR(INDEX('Ingredient Database'!$J:$J,MATCH($C266,'Ingredient Database'!$B:$B,0)),""))</f>
        <v/>
      </c>
      <c r="F266" s="70" t="str">
        <f aca="false">IF(OR($C266="",$D266=""),"",D266*E266)</f>
        <v/>
      </c>
      <c r="G266" s="32"/>
    </row>
    <row r="267" customFormat="false" ht="15" hidden="false" customHeight="false" outlineLevel="0" collapsed="false">
      <c r="A267" s="51"/>
      <c r="B267" s="38"/>
      <c r="C267" s="50"/>
      <c r="D267" s="71"/>
      <c r="E267" s="70" t="str">
        <f aca="false">IF($C267="","",IFERROR(INDEX('Ingredient Database'!$J:$J,MATCH($C267,'Ingredient Database'!$B:$B,0)),""))</f>
        <v/>
      </c>
      <c r="F267" s="70" t="str">
        <f aca="false">IF(OR($C267="",$D267=""),"",D267*E267)</f>
        <v/>
      </c>
      <c r="G267" s="32"/>
    </row>
    <row r="268" customFormat="false" ht="15" hidden="false" customHeight="false" outlineLevel="0" collapsed="false">
      <c r="A268" s="51"/>
      <c r="B268" s="38"/>
      <c r="C268" s="50"/>
      <c r="D268" s="71"/>
      <c r="E268" s="70" t="str">
        <f aca="false">IF($C268="","",IFERROR(INDEX('Ingredient Database'!$J:$J,MATCH($C268,'Ingredient Database'!$B:$B,0)),""))</f>
        <v/>
      </c>
      <c r="F268" s="70" t="str">
        <f aca="false">IF(OR($C268="",$D268=""),"",D268*E268)</f>
        <v/>
      </c>
      <c r="G268" s="32"/>
    </row>
    <row r="269" customFormat="false" ht="15" hidden="false" customHeight="false" outlineLevel="0" collapsed="false">
      <c r="A269" s="51"/>
      <c r="B269" s="38"/>
      <c r="C269" s="50"/>
      <c r="D269" s="71"/>
      <c r="E269" s="70" t="str">
        <f aca="false">IF($C269="","",IFERROR(INDEX('Ingredient Database'!$J:$J,MATCH($C269,'Ingredient Database'!$B:$B,0)),""))</f>
        <v/>
      </c>
      <c r="F269" s="70" t="str">
        <f aca="false">IF(OR($C269="",$D269=""),"",D269*E269)</f>
        <v/>
      </c>
      <c r="G269" s="32"/>
    </row>
    <row r="270" customFormat="false" ht="15" hidden="false" customHeight="false" outlineLevel="0" collapsed="false">
      <c r="A270" s="51"/>
      <c r="B270" s="38"/>
      <c r="C270" s="50"/>
      <c r="D270" s="71"/>
      <c r="E270" s="70" t="str">
        <f aca="false">IF($C270="","",IFERROR(INDEX('Ingredient Database'!$J:$J,MATCH($C270,'Ingredient Database'!$B:$B,0)),""))</f>
        <v/>
      </c>
      <c r="F270" s="70" t="str">
        <f aca="false">IF(OR($C270="",$D270=""),"",D270*E270)</f>
        <v/>
      </c>
      <c r="G270" s="32"/>
    </row>
    <row r="271" customFormat="false" ht="15" hidden="false" customHeight="false" outlineLevel="0" collapsed="false">
      <c r="A271" s="51"/>
      <c r="B271" s="38"/>
      <c r="C271" s="50"/>
      <c r="D271" s="71"/>
      <c r="E271" s="70" t="str">
        <f aca="false">IF($C271="","",IFERROR(INDEX('Ingredient Database'!$J:$J,MATCH($C271,'Ingredient Database'!$B:$B,0)),""))</f>
        <v/>
      </c>
      <c r="F271" s="70" t="str">
        <f aca="false">IF(OR($C271="",$D271=""),"",D271*E271)</f>
        <v/>
      </c>
      <c r="G271" s="32"/>
    </row>
    <row r="272" customFormat="false" ht="15" hidden="false" customHeight="false" outlineLevel="0" collapsed="false">
      <c r="A272" s="51"/>
      <c r="B272" s="38"/>
      <c r="C272" s="50"/>
      <c r="D272" s="71"/>
      <c r="E272" s="70" t="str">
        <f aca="false">IF($C272="","",IFERROR(INDEX('Ingredient Database'!$J:$J,MATCH($C272,'Ingredient Database'!$B:$B,0)),""))</f>
        <v/>
      </c>
      <c r="F272" s="70" t="str">
        <f aca="false">IF(OR($C272="",$D272=""),"",D272*E272)</f>
        <v/>
      </c>
      <c r="G272" s="32"/>
    </row>
    <row r="273" customFormat="false" ht="15" hidden="false" customHeight="false" outlineLevel="0" collapsed="false">
      <c r="A273" s="51"/>
      <c r="B273" s="38"/>
      <c r="C273" s="50"/>
      <c r="D273" s="71"/>
      <c r="E273" s="70" t="str">
        <f aca="false">IF($C273="","",IFERROR(INDEX('Ingredient Database'!$J:$J,MATCH($C273,'Ingredient Database'!$B:$B,0)),""))</f>
        <v/>
      </c>
      <c r="F273" s="70" t="str">
        <f aca="false">IF(OR($C273="",$D273=""),"",D273*E273)</f>
        <v/>
      </c>
      <c r="G273" s="32"/>
    </row>
    <row r="274" customFormat="false" ht="15" hidden="false" customHeight="false" outlineLevel="0" collapsed="false">
      <c r="A274" s="51"/>
      <c r="B274" s="38"/>
      <c r="C274" s="50"/>
      <c r="D274" s="71"/>
      <c r="E274" s="70" t="str">
        <f aca="false">IF($C274="","",IFERROR(INDEX('Ingredient Database'!$J:$J,MATCH($C274,'Ingredient Database'!$B:$B,0)),""))</f>
        <v/>
      </c>
      <c r="F274" s="70" t="str">
        <f aca="false">IF(OR($C274="",$D274=""),"",D274*E274)</f>
        <v/>
      </c>
      <c r="G274" s="32"/>
    </row>
    <row r="275" customFormat="false" ht="15" hidden="false" customHeight="false" outlineLevel="0" collapsed="false">
      <c r="A275" s="51"/>
      <c r="B275" s="38"/>
      <c r="C275" s="50"/>
      <c r="D275" s="71"/>
      <c r="E275" s="70" t="str">
        <f aca="false">IF($C275="","",IFERROR(INDEX('Ingredient Database'!$J:$J,MATCH($C275,'Ingredient Database'!$B:$B,0)),""))</f>
        <v/>
      </c>
      <c r="F275" s="70" t="str">
        <f aca="false">IF(OR($C275="",$D275=""),"",D275*E275)</f>
        <v/>
      </c>
      <c r="G275" s="32"/>
    </row>
    <row r="276" customFormat="false" ht="15" hidden="false" customHeight="false" outlineLevel="0" collapsed="false">
      <c r="A276" s="51"/>
      <c r="B276" s="38"/>
      <c r="C276" s="50"/>
      <c r="D276" s="71"/>
      <c r="E276" s="70" t="str">
        <f aca="false">IF($C276="","",IFERROR(INDEX('Ingredient Database'!$J:$J,MATCH($C276,'Ingredient Database'!$B:$B,0)),""))</f>
        <v/>
      </c>
      <c r="F276" s="70" t="str">
        <f aca="false">IF(OR($C276="",$D276=""),"",D276*E276)</f>
        <v/>
      </c>
      <c r="G276" s="32"/>
    </row>
    <row r="277" customFormat="false" ht="15" hidden="false" customHeight="false" outlineLevel="0" collapsed="false">
      <c r="A277" s="51"/>
      <c r="B277" s="38"/>
      <c r="C277" s="50"/>
      <c r="D277" s="71"/>
      <c r="E277" s="70" t="str">
        <f aca="false">IF($C277="","",IFERROR(INDEX('Ingredient Database'!$J:$J,MATCH($C277,'Ingredient Database'!$B:$B,0)),""))</f>
        <v/>
      </c>
      <c r="F277" s="70" t="str">
        <f aca="false">IF(OR($C277="",$D277=""),"",D277*E277)</f>
        <v/>
      </c>
      <c r="G277" s="32"/>
    </row>
    <row r="278" customFormat="false" ht="15" hidden="false" customHeight="false" outlineLevel="0" collapsed="false">
      <c r="A278" s="51"/>
      <c r="B278" s="38"/>
      <c r="C278" s="50"/>
      <c r="D278" s="71"/>
      <c r="E278" s="70" t="str">
        <f aca="false">IF($C278="","",IFERROR(INDEX('Ingredient Database'!$J:$J,MATCH($C278,'Ingredient Database'!$B:$B,0)),""))</f>
        <v/>
      </c>
      <c r="F278" s="70" t="str">
        <f aca="false">IF(OR($C278="",$D278=""),"",D278*E278)</f>
        <v/>
      </c>
      <c r="G278" s="32"/>
    </row>
    <row r="279" customFormat="false" ht="15" hidden="false" customHeight="false" outlineLevel="0" collapsed="false">
      <c r="A279" s="51"/>
      <c r="B279" s="38"/>
      <c r="C279" s="50"/>
      <c r="D279" s="71"/>
      <c r="E279" s="70" t="str">
        <f aca="false">IF($C279="","",IFERROR(INDEX('Ingredient Database'!$J:$J,MATCH($C279,'Ingredient Database'!$B:$B,0)),""))</f>
        <v/>
      </c>
      <c r="F279" s="70" t="str">
        <f aca="false">IF(OR($C279="",$D279=""),"",D279*E279)</f>
        <v/>
      </c>
      <c r="G279" s="32"/>
    </row>
    <row r="280" customFormat="false" ht="15" hidden="false" customHeight="false" outlineLevel="0" collapsed="false">
      <c r="A280" s="51"/>
      <c r="B280" s="38"/>
      <c r="C280" s="50"/>
      <c r="D280" s="71"/>
      <c r="E280" s="70" t="str">
        <f aca="false">IF($C280="","",IFERROR(INDEX('Ingredient Database'!$J:$J,MATCH($C280,'Ingredient Database'!$B:$B,0)),""))</f>
        <v/>
      </c>
      <c r="F280" s="70" t="str">
        <f aca="false">IF(OR($C280="",$D280=""),"",D280*E280)</f>
        <v/>
      </c>
      <c r="G280" s="32"/>
    </row>
    <row r="281" customFormat="false" ht="15" hidden="false" customHeight="false" outlineLevel="0" collapsed="false">
      <c r="A281" s="51"/>
      <c r="B281" s="38"/>
      <c r="C281" s="50"/>
      <c r="D281" s="71"/>
      <c r="E281" s="70" t="str">
        <f aca="false">IF($C281="","",IFERROR(INDEX('Ingredient Database'!$J:$J,MATCH($C281,'Ingredient Database'!$B:$B,0)),""))</f>
        <v/>
      </c>
      <c r="F281" s="70" t="str">
        <f aca="false">IF(OR($C281="",$D281=""),"",D281*E281)</f>
        <v/>
      </c>
      <c r="G281" s="32"/>
    </row>
    <row r="282" customFormat="false" ht="15" hidden="false" customHeight="false" outlineLevel="0" collapsed="false">
      <c r="A282" s="51"/>
      <c r="B282" s="38"/>
      <c r="C282" s="50"/>
      <c r="D282" s="71"/>
      <c r="E282" s="70" t="str">
        <f aca="false">IF($C282="","",IFERROR(INDEX('Ingredient Database'!$J:$J,MATCH($C282,'Ingredient Database'!$B:$B,0)),""))</f>
        <v/>
      </c>
      <c r="F282" s="70" t="str">
        <f aca="false">IF(OR($C282="",$D282=""),"",D282*E282)</f>
        <v/>
      </c>
      <c r="G282" s="32"/>
    </row>
    <row r="283" customFormat="false" ht="15" hidden="false" customHeight="false" outlineLevel="0" collapsed="false">
      <c r="A283" s="51"/>
      <c r="B283" s="38"/>
      <c r="C283" s="50"/>
      <c r="D283" s="71"/>
      <c r="E283" s="70" t="str">
        <f aca="false">IF($C283="","",IFERROR(INDEX('Ingredient Database'!$J:$J,MATCH($C283,'Ingredient Database'!$B:$B,0)),""))</f>
        <v/>
      </c>
      <c r="F283" s="70" t="str">
        <f aca="false">IF(OR($C283="",$D283=""),"",D283*E283)</f>
        <v/>
      </c>
      <c r="G283" s="32"/>
    </row>
    <row r="284" customFormat="false" ht="15" hidden="false" customHeight="false" outlineLevel="0" collapsed="false">
      <c r="A284" s="51"/>
      <c r="B284" s="38"/>
      <c r="C284" s="50"/>
      <c r="D284" s="71"/>
      <c r="E284" s="70" t="str">
        <f aca="false">IF($C284="","",IFERROR(INDEX('Ingredient Database'!$J:$J,MATCH($C284,'Ingredient Database'!$B:$B,0)),""))</f>
        <v/>
      </c>
      <c r="F284" s="70" t="str">
        <f aca="false">IF(OR($C284="",$D284=""),"",D284*E284)</f>
        <v/>
      </c>
      <c r="G284" s="32"/>
    </row>
    <row r="285" customFormat="false" ht="15" hidden="false" customHeight="false" outlineLevel="0" collapsed="false">
      <c r="A285" s="51"/>
      <c r="B285" s="38"/>
      <c r="C285" s="50"/>
      <c r="D285" s="71"/>
      <c r="E285" s="70" t="str">
        <f aca="false">IF($C285="","",IFERROR(INDEX('Ingredient Database'!$J:$J,MATCH($C285,'Ingredient Database'!$B:$B,0)),""))</f>
        <v/>
      </c>
      <c r="F285" s="70" t="str">
        <f aca="false">IF(OR($C285="",$D285=""),"",D285*E285)</f>
        <v/>
      </c>
      <c r="G285" s="32"/>
    </row>
    <row r="286" customFormat="false" ht="15" hidden="false" customHeight="false" outlineLevel="0" collapsed="false">
      <c r="A286" s="51"/>
      <c r="B286" s="38"/>
      <c r="C286" s="50"/>
      <c r="D286" s="71"/>
      <c r="E286" s="70" t="str">
        <f aca="false">IF($C286="","",IFERROR(INDEX('Ingredient Database'!$J:$J,MATCH($C286,'Ingredient Database'!$B:$B,0)),""))</f>
        <v/>
      </c>
      <c r="F286" s="70" t="str">
        <f aca="false">IF(OR($C286="",$D286=""),"",D286*E286)</f>
        <v/>
      </c>
      <c r="G286" s="32"/>
    </row>
    <row r="287" customFormat="false" ht="15" hidden="false" customHeight="false" outlineLevel="0" collapsed="false">
      <c r="A287" s="51"/>
      <c r="B287" s="38"/>
      <c r="C287" s="50"/>
      <c r="D287" s="71"/>
      <c r="E287" s="70" t="str">
        <f aca="false">IF($C287="","",IFERROR(INDEX('Ingredient Database'!$J:$J,MATCH($C287,'Ingredient Database'!$B:$B,0)),""))</f>
        <v/>
      </c>
      <c r="F287" s="70" t="str">
        <f aca="false">IF(OR($C287="",$D287=""),"",D287*E287)</f>
        <v/>
      </c>
      <c r="G287" s="32"/>
    </row>
    <row r="288" customFormat="false" ht="15" hidden="false" customHeight="false" outlineLevel="0" collapsed="false">
      <c r="A288" s="51"/>
      <c r="B288" s="38"/>
      <c r="C288" s="50"/>
      <c r="D288" s="71"/>
      <c r="E288" s="70" t="str">
        <f aca="false">IF($C288="","",IFERROR(INDEX('Ingredient Database'!$J:$J,MATCH($C288,'Ingredient Database'!$B:$B,0)),""))</f>
        <v/>
      </c>
      <c r="F288" s="70" t="str">
        <f aca="false">IF(OR($C288="",$D288=""),"",D288*E288)</f>
        <v/>
      </c>
      <c r="G288" s="32"/>
    </row>
    <row r="289" customFormat="false" ht="15" hidden="false" customHeight="false" outlineLevel="0" collapsed="false">
      <c r="A289" s="51"/>
      <c r="B289" s="38"/>
      <c r="C289" s="50"/>
      <c r="D289" s="71"/>
      <c r="E289" s="70" t="str">
        <f aca="false">IF($C289="","",IFERROR(INDEX('Ingredient Database'!$J:$J,MATCH($C289,'Ingredient Database'!$B:$B,0)),""))</f>
        <v/>
      </c>
      <c r="F289" s="70" t="str">
        <f aca="false">IF(OR($C289="",$D289=""),"",D289*E289)</f>
        <v/>
      </c>
      <c r="G289" s="32"/>
    </row>
    <row r="290" customFormat="false" ht="15" hidden="false" customHeight="false" outlineLevel="0" collapsed="false">
      <c r="A290" s="51"/>
      <c r="B290" s="38"/>
      <c r="C290" s="50"/>
      <c r="D290" s="71"/>
      <c r="E290" s="70" t="str">
        <f aca="false">IF($C290="","",IFERROR(INDEX('Ingredient Database'!$J:$J,MATCH($C290,'Ingredient Database'!$B:$B,0)),""))</f>
        <v/>
      </c>
      <c r="F290" s="70" t="str">
        <f aca="false">IF(OR($C290="",$D290=""),"",D290*E290)</f>
        <v/>
      </c>
      <c r="G290" s="32"/>
    </row>
    <row r="291" customFormat="false" ht="15" hidden="false" customHeight="false" outlineLevel="0" collapsed="false">
      <c r="A291" s="51"/>
      <c r="B291" s="38"/>
      <c r="C291" s="50"/>
      <c r="D291" s="71"/>
      <c r="E291" s="70" t="str">
        <f aca="false">IF($C291="","",IFERROR(INDEX('Ingredient Database'!$J:$J,MATCH($C291,'Ingredient Database'!$B:$B,0)),""))</f>
        <v/>
      </c>
      <c r="F291" s="70" t="str">
        <f aca="false">IF(OR($C291="",$D291=""),"",D291*E291)</f>
        <v/>
      </c>
      <c r="G291" s="32"/>
    </row>
    <row r="292" customFormat="false" ht="15" hidden="false" customHeight="false" outlineLevel="0" collapsed="false">
      <c r="A292" s="51"/>
      <c r="B292" s="38"/>
      <c r="C292" s="50"/>
      <c r="D292" s="71"/>
      <c r="E292" s="70" t="str">
        <f aca="false">IF($C292="","",IFERROR(INDEX('Ingredient Database'!$J:$J,MATCH($C292,'Ingredient Database'!$B:$B,0)),""))</f>
        <v/>
      </c>
      <c r="F292" s="70" t="str">
        <f aca="false">IF(OR($C292="",$D292=""),"",D292*E292)</f>
        <v/>
      </c>
      <c r="G292" s="32"/>
    </row>
    <row r="293" customFormat="false" ht="15" hidden="false" customHeight="false" outlineLevel="0" collapsed="false">
      <c r="A293" s="51"/>
      <c r="B293" s="38"/>
      <c r="C293" s="50"/>
      <c r="D293" s="71"/>
      <c r="E293" s="70" t="str">
        <f aca="false">IF($C293="","",IFERROR(INDEX('Ingredient Database'!$J:$J,MATCH($C293,'Ingredient Database'!$B:$B,0)),""))</f>
        <v/>
      </c>
      <c r="F293" s="70" t="str">
        <f aca="false">IF(OR($C293="",$D293=""),"",D293*E293)</f>
        <v/>
      </c>
      <c r="G293" s="32"/>
    </row>
    <row r="294" customFormat="false" ht="15" hidden="false" customHeight="false" outlineLevel="0" collapsed="false">
      <c r="A294" s="51"/>
      <c r="B294" s="38"/>
      <c r="C294" s="50"/>
      <c r="D294" s="71"/>
      <c r="E294" s="70" t="str">
        <f aca="false">IF($C294="","",IFERROR(INDEX('Ingredient Database'!$J:$J,MATCH($C294,'Ingredient Database'!$B:$B,0)),""))</f>
        <v/>
      </c>
      <c r="F294" s="70" t="str">
        <f aca="false">IF(OR($C294="",$D294=""),"",D294*E294)</f>
        <v/>
      </c>
      <c r="G294" s="32"/>
    </row>
    <row r="295" customFormat="false" ht="15" hidden="false" customHeight="false" outlineLevel="0" collapsed="false">
      <c r="A295" s="51"/>
      <c r="B295" s="38"/>
      <c r="C295" s="50"/>
      <c r="D295" s="71"/>
      <c r="E295" s="70" t="str">
        <f aca="false">IF($C295="","",IFERROR(INDEX('Ingredient Database'!$J:$J,MATCH($C295,'Ingredient Database'!$B:$B,0)),""))</f>
        <v/>
      </c>
      <c r="F295" s="70" t="str">
        <f aca="false">IF(OR($C295="",$D295=""),"",D295*E295)</f>
        <v/>
      </c>
      <c r="G295" s="32"/>
    </row>
    <row r="296" customFormat="false" ht="15" hidden="false" customHeight="false" outlineLevel="0" collapsed="false">
      <c r="A296" s="51"/>
      <c r="B296" s="38"/>
      <c r="C296" s="50"/>
      <c r="D296" s="71"/>
      <c r="E296" s="70" t="str">
        <f aca="false">IF($C296="","",IFERROR(INDEX('Ingredient Database'!$J:$J,MATCH($C296,'Ingredient Database'!$B:$B,0)),""))</f>
        <v/>
      </c>
      <c r="F296" s="70" t="str">
        <f aca="false">IF(OR($C296="",$D296=""),"",D296*E296)</f>
        <v/>
      </c>
      <c r="G296" s="32"/>
    </row>
    <row r="297" customFormat="false" ht="15" hidden="false" customHeight="false" outlineLevel="0" collapsed="false">
      <c r="A297" s="51"/>
      <c r="B297" s="38"/>
      <c r="C297" s="50"/>
      <c r="D297" s="71"/>
      <c r="E297" s="70" t="str">
        <f aca="false">IF($C297="","",IFERROR(INDEX('Ingredient Database'!$J:$J,MATCH($C297,'Ingredient Database'!$B:$B,0)),""))</f>
        <v/>
      </c>
      <c r="F297" s="70" t="str">
        <f aca="false">IF(OR($C297="",$D297=""),"",D297*E297)</f>
        <v/>
      </c>
      <c r="G297" s="32"/>
    </row>
    <row r="298" customFormat="false" ht="15" hidden="false" customHeight="false" outlineLevel="0" collapsed="false">
      <c r="A298" s="51"/>
      <c r="B298" s="38"/>
      <c r="C298" s="50"/>
      <c r="D298" s="71"/>
      <c r="E298" s="70" t="str">
        <f aca="false">IF($C298="","",IFERROR(INDEX('Ingredient Database'!$J:$J,MATCH($C298,'Ingredient Database'!$B:$B,0)),""))</f>
        <v/>
      </c>
      <c r="F298" s="70" t="str">
        <f aca="false">IF(OR($C298="",$D298=""),"",D298*E298)</f>
        <v/>
      </c>
      <c r="G298" s="32"/>
    </row>
    <row r="299" customFormat="false" ht="15" hidden="false" customHeight="false" outlineLevel="0" collapsed="false">
      <c r="A299" s="51"/>
      <c r="B299" s="38"/>
      <c r="C299" s="50"/>
      <c r="D299" s="71"/>
      <c r="E299" s="70" t="str">
        <f aca="false">IF($C299="","",IFERROR(INDEX('Ingredient Database'!$J:$J,MATCH($C299,'Ingredient Database'!$B:$B,0)),""))</f>
        <v/>
      </c>
      <c r="F299" s="70" t="str">
        <f aca="false">IF(OR($C299="",$D299=""),"",D299*E299)</f>
        <v/>
      </c>
      <c r="G299" s="32"/>
    </row>
    <row r="300" customFormat="false" ht="15" hidden="false" customHeight="false" outlineLevel="0" collapsed="false">
      <c r="A300" s="51"/>
      <c r="B300" s="38"/>
      <c r="C300" s="50"/>
      <c r="D300" s="71"/>
      <c r="E300" s="70" t="str">
        <f aca="false">IF($C300="","",IFERROR(INDEX('Ingredient Database'!$J:$J,MATCH($C300,'Ingredient Database'!$B:$B,0)),""))</f>
        <v/>
      </c>
      <c r="F300" s="70" t="str">
        <f aca="false">IF(OR($C300="",$D300=""),"",D300*E300)</f>
        <v/>
      </c>
      <c r="G300" s="32"/>
    </row>
    <row r="301" customFormat="false" ht="15" hidden="false" customHeight="false" outlineLevel="0" collapsed="false">
      <c r="A301" s="51"/>
      <c r="B301" s="38"/>
      <c r="C301" s="50"/>
      <c r="D301" s="71"/>
      <c r="E301" s="70" t="str">
        <f aca="false">IF($C301="","",IFERROR(INDEX('Ingredient Database'!$J:$J,MATCH($C301,'Ingredient Database'!$B:$B,0)),""))</f>
        <v/>
      </c>
      <c r="F301" s="70" t="str">
        <f aca="false">IF(OR($C301="",$D301=""),"",D301*E301)</f>
        <v/>
      </c>
      <c r="G301" s="32"/>
    </row>
    <row r="302" customFormat="false" ht="15" hidden="false" customHeight="false" outlineLevel="0" collapsed="false">
      <c r="A302" s="51"/>
      <c r="B302" s="38"/>
      <c r="C302" s="50"/>
      <c r="D302" s="71"/>
      <c r="E302" s="70" t="str">
        <f aca="false">IF($C302="","",IFERROR(INDEX('Ingredient Database'!$J:$J,MATCH($C302,'Ingredient Database'!$B:$B,0)),""))</f>
        <v/>
      </c>
      <c r="F302" s="70" t="str">
        <f aca="false">IF(OR($C302="",$D302=""),"",D302*E302)</f>
        <v/>
      </c>
      <c r="G302" s="32"/>
    </row>
    <row r="303" customFormat="false" ht="15" hidden="false" customHeight="false" outlineLevel="0" collapsed="false">
      <c r="A303" s="51"/>
      <c r="B303" s="38"/>
      <c r="C303" s="50"/>
      <c r="D303" s="71"/>
      <c r="E303" s="70" t="str">
        <f aca="false">IF($C303="","",IFERROR(INDEX('Ingredient Database'!$J:$J,MATCH($C303,'Ingredient Database'!$B:$B,0)),""))</f>
        <v/>
      </c>
      <c r="F303" s="70" t="str">
        <f aca="false">IF(OR($C303="",$D303=""),"",D303*E303)</f>
        <v/>
      </c>
      <c r="G303" s="32"/>
    </row>
    <row r="304" customFormat="false" ht="15" hidden="false" customHeight="false" outlineLevel="0" collapsed="false">
      <c r="A304" s="51"/>
      <c r="B304" s="38"/>
      <c r="C304" s="50"/>
      <c r="D304" s="71"/>
      <c r="E304" s="70" t="str">
        <f aca="false">IF($C304="","",IFERROR(INDEX('Ingredient Database'!$J:$J,MATCH($C304,'Ingredient Database'!$B:$B,0)),""))</f>
        <v/>
      </c>
      <c r="F304" s="70" t="str">
        <f aca="false">IF(OR($C304="",$D304=""),"",D304*E304)</f>
        <v/>
      </c>
      <c r="G304" s="32"/>
    </row>
    <row r="305" customFormat="false" ht="15" hidden="false" customHeight="false" outlineLevel="0" collapsed="false">
      <c r="A305" s="51"/>
      <c r="B305" s="38"/>
      <c r="C305" s="50"/>
      <c r="D305" s="71"/>
      <c r="E305" s="70" t="str">
        <f aca="false">IF($C305="","",IFERROR(INDEX('Ingredient Database'!$J:$J,MATCH($C305,'Ingredient Database'!$B:$B,0)),""))</f>
        <v/>
      </c>
      <c r="F305" s="70" t="str">
        <f aca="false">IF(OR($C305="",$D305=""),"",D305*E305)</f>
        <v/>
      </c>
      <c r="G305" s="32"/>
    </row>
    <row r="306" customFormat="false" ht="15" hidden="false" customHeight="false" outlineLevel="0" collapsed="false">
      <c r="A306" s="51"/>
      <c r="B306" s="38"/>
      <c r="C306" s="50"/>
      <c r="D306" s="71"/>
      <c r="E306" s="70" t="str">
        <f aca="false">IF($C306="","",IFERROR(INDEX('Ingredient Database'!$J:$J,MATCH($C306,'Ingredient Database'!$B:$B,0)),""))</f>
        <v/>
      </c>
      <c r="F306" s="70" t="str">
        <f aca="false">IF(OR($C306="",$D306=""),"",D306*E306)</f>
        <v/>
      </c>
      <c r="G306" s="32"/>
    </row>
    <row r="307" customFormat="false" ht="15" hidden="false" customHeight="false" outlineLevel="0" collapsed="false">
      <c r="A307" s="51"/>
      <c r="B307" s="38"/>
      <c r="C307" s="50"/>
      <c r="D307" s="71"/>
      <c r="E307" s="70" t="str">
        <f aca="false">IF($C307="","",IFERROR(INDEX('Ingredient Database'!$J:$J,MATCH($C307,'Ingredient Database'!$B:$B,0)),""))</f>
        <v/>
      </c>
      <c r="F307" s="70" t="str">
        <f aca="false">IF(OR($C307="",$D307=""),"",D307*E307)</f>
        <v/>
      </c>
      <c r="G307" s="32"/>
    </row>
    <row r="308" customFormat="false" ht="15" hidden="false" customHeight="false" outlineLevel="0" collapsed="false">
      <c r="A308" s="51"/>
      <c r="B308" s="38"/>
      <c r="C308" s="50"/>
      <c r="D308" s="71"/>
      <c r="E308" s="70" t="str">
        <f aca="false">IF($C308="","",IFERROR(INDEX('Ingredient Database'!$J:$J,MATCH($C308,'Ingredient Database'!$B:$B,0)),""))</f>
        <v/>
      </c>
      <c r="F308" s="70" t="str">
        <f aca="false">IF(OR($C308="",$D308=""),"",D308*E308)</f>
        <v/>
      </c>
      <c r="G308" s="32"/>
    </row>
    <row r="309" customFormat="false" ht="15" hidden="false" customHeight="false" outlineLevel="0" collapsed="false">
      <c r="A309" s="51"/>
      <c r="B309" s="38"/>
      <c r="C309" s="50"/>
      <c r="D309" s="71"/>
      <c r="E309" s="70" t="str">
        <f aca="false">IF($C309="","",IFERROR(INDEX('Ingredient Database'!$J:$J,MATCH($C309,'Ingredient Database'!$B:$B,0)),""))</f>
        <v/>
      </c>
      <c r="F309" s="70" t="str">
        <f aca="false">IF(OR($C309="",$D309=""),"",D309*E309)</f>
        <v/>
      </c>
      <c r="G309" s="32"/>
    </row>
    <row r="310" customFormat="false" ht="15" hidden="false" customHeight="false" outlineLevel="0" collapsed="false">
      <c r="A310" s="51"/>
      <c r="B310" s="38"/>
      <c r="C310" s="50"/>
      <c r="D310" s="71"/>
      <c r="E310" s="70" t="str">
        <f aca="false">IF($C310="","",IFERROR(INDEX('Ingredient Database'!$J:$J,MATCH($C310,'Ingredient Database'!$B:$B,0)),""))</f>
        <v/>
      </c>
      <c r="F310" s="70" t="str">
        <f aca="false">IF(OR($C310="",$D310=""),"",D310*E310)</f>
        <v/>
      </c>
      <c r="G310" s="32"/>
    </row>
    <row r="311" customFormat="false" ht="15" hidden="false" customHeight="false" outlineLevel="0" collapsed="false">
      <c r="A311" s="51"/>
      <c r="B311" s="38"/>
      <c r="C311" s="50"/>
      <c r="D311" s="71"/>
      <c r="E311" s="70" t="str">
        <f aca="false">IF($C311="","",IFERROR(INDEX('Ingredient Database'!$J:$J,MATCH($C311,'Ingredient Database'!$B:$B,0)),""))</f>
        <v/>
      </c>
      <c r="F311" s="70" t="str">
        <f aca="false">IF(OR($C311="",$D311=""),"",D311*E311)</f>
        <v/>
      </c>
      <c r="G311" s="32"/>
    </row>
    <row r="312" customFormat="false" ht="15" hidden="false" customHeight="false" outlineLevel="0" collapsed="false">
      <c r="A312" s="51"/>
      <c r="B312" s="38"/>
      <c r="C312" s="50"/>
      <c r="D312" s="71"/>
      <c r="E312" s="70" t="str">
        <f aca="false">IF($C312="","",IFERROR(INDEX('Ingredient Database'!$J:$J,MATCH($C312,'Ingredient Database'!$B:$B,0)),""))</f>
        <v/>
      </c>
      <c r="F312" s="70" t="str">
        <f aca="false">IF(OR($C312="",$D312=""),"",D312*E312)</f>
        <v/>
      </c>
      <c r="G312" s="32"/>
    </row>
    <row r="313" customFormat="false" ht="15" hidden="false" customHeight="false" outlineLevel="0" collapsed="false">
      <c r="A313" s="51"/>
      <c r="B313" s="38"/>
      <c r="C313" s="50"/>
      <c r="D313" s="71"/>
      <c r="E313" s="70" t="str">
        <f aca="false">IF($C313="","",IFERROR(INDEX('Ingredient Database'!$J:$J,MATCH($C313,'Ingredient Database'!$B:$B,0)),""))</f>
        <v/>
      </c>
      <c r="F313" s="70" t="str">
        <f aca="false">IF(OR($C313="",$D313=""),"",D313*E313)</f>
        <v/>
      </c>
      <c r="G313" s="32"/>
    </row>
    <row r="314" customFormat="false" ht="15" hidden="false" customHeight="false" outlineLevel="0" collapsed="false">
      <c r="A314" s="51"/>
      <c r="B314" s="38"/>
      <c r="C314" s="50"/>
      <c r="D314" s="71"/>
      <c r="E314" s="70" t="str">
        <f aca="false">IF($C314="","",IFERROR(INDEX('Ingredient Database'!$J:$J,MATCH($C314,'Ingredient Database'!$B:$B,0)),""))</f>
        <v/>
      </c>
      <c r="F314" s="70" t="str">
        <f aca="false">IF(OR($C314="",$D314=""),"",D314*E314)</f>
        <v/>
      </c>
      <c r="G314" s="32"/>
    </row>
    <row r="315" customFormat="false" ht="15" hidden="false" customHeight="false" outlineLevel="0" collapsed="false">
      <c r="A315" s="51"/>
      <c r="B315" s="38"/>
      <c r="C315" s="50"/>
      <c r="D315" s="71"/>
      <c r="E315" s="70" t="str">
        <f aca="false">IF($C315="","",IFERROR(INDEX('Ingredient Database'!$J:$J,MATCH($C315,'Ingredient Database'!$B:$B,0)),""))</f>
        <v/>
      </c>
      <c r="F315" s="70" t="str">
        <f aca="false">IF(OR($C315="",$D315=""),"",D315*E315)</f>
        <v/>
      </c>
      <c r="G315" s="32"/>
    </row>
    <row r="316" customFormat="false" ht="15" hidden="false" customHeight="false" outlineLevel="0" collapsed="false">
      <c r="A316" s="51"/>
      <c r="B316" s="38"/>
      <c r="C316" s="50"/>
      <c r="D316" s="71"/>
      <c r="E316" s="70" t="str">
        <f aca="false">IF($C316="","",IFERROR(INDEX('Ingredient Database'!$J:$J,MATCH($C316,'Ingredient Database'!$B:$B,0)),""))</f>
        <v/>
      </c>
      <c r="F316" s="70" t="str">
        <f aca="false">IF(OR($C316="",$D316=""),"",D316*E316)</f>
        <v/>
      </c>
      <c r="G316" s="32"/>
    </row>
    <row r="317" customFormat="false" ht="15" hidden="false" customHeight="false" outlineLevel="0" collapsed="false">
      <c r="A317" s="51"/>
      <c r="B317" s="38"/>
      <c r="C317" s="50"/>
      <c r="D317" s="71"/>
      <c r="E317" s="70" t="str">
        <f aca="false">IF($C317="","",IFERROR(INDEX('Ingredient Database'!$J:$J,MATCH($C317,'Ingredient Database'!$B:$B,0)),""))</f>
        <v/>
      </c>
      <c r="F317" s="70" t="str">
        <f aca="false">IF(OR($C317="",$D317=""),"",D317*E317)</f>
        <v/>
      </c>
      <c r="G317" s="32"/>
    </row>
    <row r="318" customFormat="false" ht="15" hidden="false" customHeight="false" outlineLevel="0" collapsed="false">
      <c r="A318" s="51"/>
      <c r="B318" s="38"/>
      <c r="C318" s="50"/>
      <c r="D318" s="71"/>
      <c r="E318" s="70" t="str">
        <f aca="false">IF($C318="","",IFERROR(INDEX('Ingredient Database'!$J:$J,MATCH($C318,'Ingredient Database'!$B:$B,0)),""))</f>
        <v/>
      </c>
      <c r="F318" s="70" t="str">
        <f aca="false">IF(OR($C318="",$D318=""),"",D318*E318)</f>
        <v/>
      </c>
      <c r="G318" s="32"/>
    </row>
    <row r="319" customFormat="false" ht="15" hidden="false" customHeight="false" outlineLevel="0" collapsed="false">
      <c r="A319" s="51"/>
      <c r="B319" s="38"/>
      <c r="C319" s="50"/>
      <c r="D319" s="71"/>
      <c r="E319" s="70" t="str">
        <f aca="false">IF($C319="","",IFERROR(INDEX('Ingredient Database'!$J:$J,MATCH($C319,'Ingredient Database'!$B:$B,0)),""))</f>
        <v/>
      </c>
      <c r="F319" s="70" t="str">
        <f aca="false">IF(OR($C319="",$D319=""),"",D319*E319)</f>
        <v/>
      </c>
      <c r="G319" s="32"/>
    </row>
    <row r="320" customFormat="false" ht="15" hidden="false" customHeight="false" outlineLevel="0" collapsed="false">
      <c r="A320" s="51"/>
      <c r="B320" s="38"/>
      <c r="C320" s="50"/>
      <c r="D320" s="71"/>
      <c r="E320" s="70" t="str">
        <f aca="false">IF($C320="","",IFERROR(INDEX('Ingredient Database'!$J:$J,MATCH($C320,'Ingredient Database'!$B:$B,0)),""))</f>
        <v/>
      </c>
      <c r="F320" s="70" t="str">
        <f aca="false">IF(OR($C320="",$D320=""),"",D320*E320)</f>
        <v/>
      </c>
      <c r="G320" s="32"/>
    </row>
    <row r="321" customFormat="false" ht="15" hidden="false" customHeight="false" outlineLevel="0" collapsed="false">
      <c r="A321" s="51"/>
      <c r="B321" s="38"/>
      <c r="C321" s="50"/>
      <c r="D321" s="71"/>
      <c r="E321" s="70" t="str">
        <f aca="false">IF($C321="","",IFERROR(INDEX('Ingredient Database'!$J:$J,MATCH($C321,'Ingredient Database'!$B:$B,0)),""))</f>
        <v/>
      </c>
      <c r="F321" s="70" t="str">
        <f aca="false">IF(OR($C321="",$D321=""),"",D321*E321)</f>
        <v/>
      </c>
      <c r="G321" s="32"/>
    </row>
    <row r="322" customFormat="false" ht="15" hidden="false" customHeight="false" outlineLevel="0" collapsed="false">
      <c r="A322" s="51"/>
      <c r="B322" s="38"/>
      <c r="C322" s="50"/>
      <c r="D322" s="71"/>
      <c r="E322" s="70" t="str">
        <f aca="false">IF($C322="","",IFERROR(INDEX('Ingredient Database'!$J:$J,MATCH($C322,'Ingredient Database'!$B:$B,0)),""))</f>
        <v/>
      </c>
      <c r="F322" s="70" t="str">
        <f aca="false">IF(OR($C322="",$D322=""),"",D322*E322)</f>
        <v/>
      </c>
      <c r="G322" s="32"/>
    </row>
    <row r="323" customFormat="false" ht="15" hidden="false" customHeight="false" outlineLevel="0" collapsed="false">
      <c r="A323" s="51"/>
      <c r="B323" s="38"/>
      <c r="C323" s="50"/>
      <c r="D323" s="71"/>
      <c r="E323" s="70" t="str">
        <f aca="false">IF($C323="","",IFERROR(INDEX('Ingredient Database'!$J:$J,MATCH($C323,'Ingredient Database'!$B:$B,0)),""))</f>
        <v/>
      </c>
      <c r="F323" s="70" t="str">
        <f aca="false">IF(OR($C323="",$D323=""),"",D323*E323)</f>
        <v/>
      </c>
      <c r="G323" s="32"/>
    </row>
    <row r="324" customFormat="false" ht="15" hidden="false" customHeight="false" outlineLevel="0" collapsed="false">
      <c r="A324" s="51"/>
      <c r="B324" s="38"/>
      <c r="C324" s="50"/>
      <c r="D324" s="71"/>
      <c r="E324" s="70" t="str">
        <f aca="false">IF($C324="","",IFERROR(INDEX('Ingredient Database'!$J:$J,MATCH($C324,'Ingredient Database'!$B:$B,0)),""))</f>
        <v/>
      </c>
      <c r="F324" s="70" t="str">
        <f aca="false">IF(OR($C324="",$D324=""),"",D324*E324)</f>
        <v/>
      </c>
      <c r="G324" s="32"/>
    </row>
    <row r="325" customFormat="false" ht="15" hidden="false" customHeight="false" outlineLevel="0" collapsed="false">
      <c r="A325" s="51"/>
      <c r="B325" s="38"/>
      <c r="C325" s="50"/>
      <c r="D325" s="71"/>
      <c r="E325" s="70" t="str">
        <f aca="false">IF($C325="","",IFERROR(INDEX('Ingredient Database'!$J:$J,MATCH($C325,'Ingredient Database'!$B:$B,0)),""))</f>
        <v/>
      </c>
      <c r="F325" s="70" t="str">
        <f aca="false">IF(OR($C325="",$D325=""),"",D325*E325)</f>
        <v/>
      </c>
      <c r="G325" s="32"/>
    </row>
    <row r="326" customFormat="false" ht="15" hidden="false" customHeight="false" outlineLevel="0" collapsed="false">
      <c r="A326" s="51"/>
      <c r="B326" s="38"/>
      <c r="C326" s="50"/>
      <c r="D326" s="71"/>
      <c r="E326" s="70" t="str">
        <f aca="false">IF($C326="","",IFERROR(INDEX('Ingredient Database'!$J:$J,MATCH($C326,'Ingredient Database'!$B:$B,0)),""))</f>
        <v/>
      </c>
      <c r="F326" s="70" t="str">
        <f aca="false">IF(OR($C326="",$D326=""),"",D326*E326)</f>
        <v/>
      </c>
      <c r="G326" s="32"/>
    </row>
    <row r="327" customFormat="false" ht="15" hidden="false" customHeight="false" outlineLevel="0" collapsed="false">
      <c r="A327" s="51"/>
      <c r="B327" s="38"/>
      <c r="C327" s="50"/>
      <c r="D327" s="71"/>
      <c r="E327" s="70" t="str">
        <f aca="false">IF($C327="","",IFERROR(INDEX('Ingredient Database'!$J:$J,MATCH($C327,'Ingredient Database'!$B:$B,0)),""))</f>
        <v/>
      </c>
      <c r="F327" s="70" t="str">
        <f aca="false">IF(OR($C327="",$D327=""),"",D327*E327)</f>
        <v/>
      </c>
      <c r="G327" s="32"/>
    </row>
    <row r="328" customFormat="false" ht="15" hidden="false" customHeight="false" outlineLevel="0" collapsed="false">
      <c r="A328" s="51"/>
      <c r="B328" s="38"/>
      <c r="C328" s="50"/>
      <c r="D328" s="71"/>
      <c r="E328" s="70" t="str">
        <f aca="false">IF($C328="","",IFERROR(INDEX('Ingredient Database'!$J:$J,MATCH($C328,'Ingredient Database'!$B:$B,0)),""))</f>
        <v/>
      </c>
      <c r="F328" s="70" t="str">
        <f aca="false">IF(OR($C328="",$D328=""),"",D328*E328)</f>
        <v/>
      </c>
      <c r="G328" s="32"/>
    </row>
    <row r="329" customFormat="false" ht="15" hidden="false" customHeight="false" outlineLevel="0" collapsed="false">
      <c r="A329" s="51"/>
      <c r="B329" s="38"/>
      <c r="C329" s="50"/>
      <c r="D329" s="71"/>
      <c r="E329" s="70" t="str">
        <f aca="false">IF($C329="","",IFERROR(INDEX('Ingredient Database'!$J:$J,MATCH($C329,'Ingredient Database'!$B:$B,0)),""))</f>
        <v/>
      </c>
      <c r="F329" s="70" t="str">
        <f aca="false">IF(OR($C329="",$D329=""),"",D329*E329)</f>
        <v/>
      </c>
      <c r="G329" s="32"/>
    </row>
    <row r="330" customFormat="false" ht="15" hidden="false" customHeight="false" outlineLevel="0" collapsed="false">
      <c r="A330" s="51"/>
      <c r="B330" s="38"/>
      <c r="C330" s="50"/>
      <c r="D330" s="71"/>
      <c r="E330" s="70" t="str">
        <f aca="false">IF($C330="","",IFERROR(INDEX('Ingredient Database'!$J:$J,MATCH($C330,'Ingredient Database'!$B:$B,0)),""))</f>
        <v/>
      </c>
      <c r="F330" s="70" t="str">
        <f aca="false">IF(OR($C330="",$D330=""),"",D330*E330)</f>
        <v/>
      </c>
      <c r="G330" s="32"/>
    </row>
    <row r="331" customFormat="false" ht="15" hidden="false" customHeight="false" outlineLevel="0" collapsed="false">
      <c r="A331" s="51"/>
      <c r="B331" s="38"/>
      <c r="C331" s="50"/>
      <c r="D331" s="71"/>
      <c r="E331" s="70" t="str">
        <f aca="false">IF($C331="","",IFERROR(INDEX('Ingredient Database'!$J:$J,MATCH($C331,'Ingredient Database'!$B:$B,0)),""))</f>
        <v/>
      </c>
      <c r="F331" s="70" t="str">
        <f aca="false">IF(OR($C331="",$D331=""),"",D331*E331)</f>
        <v/>
      </c>
      <c r="G331" s="32"/>
    </row>
    <row r="332" customFormat="false" ht="15" hidden="false" customHeight="false" outlineLevel="0" collapsed="false">
      <c r="A332" s="51"/>
      <c r="B332" s="38"/>
      <c r="C332" s="50"/>
      <c r="D332" s="71"/>
      <c r="E332" s="70" t="str">
        <f aca="false">IF($C332="","",IFERROR(INDEX('Ingredient Database'!$J:$J,MATCH($C332,'Ingredient Database'!$B:$B,0)),""))</f>
        <v/>
      </c>
      <c r="F332" s="70" t="str">
        <f aca="false">IF(OR($C332="",$D332=""),"",D332*E332)</f>
        <v/>
      </c>
      <c r="G332" s="32"/>
    </row>
    <row r="333" customFormat="false" ht="15" hidden="false" customHeight="false" outlineLevel="0" collapsed="false">
      <c r="A333" s="51"/>
      <c r="B333" s="38"/>
      <c r="C333" s="50"/>
      <c r="D333" s="71"/>
      <c r="E333" s="70" t="str">
        <f aca="false">IF($C333="","",IFERROR(INDEX('Ingredient Database'!$J:$J,MATCH($C333,'Ingredient Database'!$B:$B,0)),""))</f>
        <v/>
      </c>
      <c r="F333" s="70" t="str">
        <f aca="false">IF(OR($C333="",$D333=""),"",D333*E333)</f>
        <v/>
      </c>
      <c r="G333" s="32"/>
    </row>
    <row r="334" customFormat="false" ht="15" hidden="false" customHeight="false" outlineLevel="0" collapsed="false">
      <c r="A334" s="51"/>
      <c r="B334" s="38"/>
      <c r="C334" s="50"/>
      <c r="D334" s="71"/>
      <c r="E334" s="70" t="str">
        <f aca="false">IF($C334="","",IFERROR(INDEX('Ingredient Database'!$J:$J,MATCH($C334,'Ingredient Database'!$B:$B,0)),""))</f>
        <v/>
      </c>
      <c r="F334" s="70" t="str">
        <f aca="false">IF(OR($C334="",$D334=""),"",D334*E334)</f>
        <v/>
      </c>
      <c r="G334" s="32"/>
    </row>
    <row r="335" customFormat="false" ht="15" hidden="false" customHeight="false" outlineLevel="0" collapsed="false">
      <c r="A335" s="51"/>
      <c r="B335" s="38"/>
      <c r="C335" s="50"/>
      <c r="D335" s="71"/>
      <c r="E335" s="70" t="str">
        <f aca="false">IF($C335="","",IFERROR(INDEX('Ingredient Database'!$J:$J,MATCH($C335,'Ingredient Database'!$B:$B,0)),""))</f>
        <v/>
      </c>
      <c r="F335" s="70" t="str">
        <f aca="false">IF(OR($C335="",$D335=""),"",D335*E335)</f>
        <v/>
      </c>
      <c r="G335" s="32"/>
    </row>
    <row r="336" customFormat="false" ht="15" hidden="false" customHeight="false" outlineLevel="0" collapsed="false">
      <c r="A336" s="51"/>
      <c r="B336" s="38"/>
      <c r="C336" s="50"/>
      <c r="D336" s="71"/>
      <c r="E336" s="70" t="str">
        <f aca="false">IF($C336="","",IFERROR(INDEX('Ingredient Database'!$J:$J,MATCH($C336,'Ingredient Database'!$B:$B,0)),""))</f>
        <v/>
      </c>
      <c r="F336" s="70" t="str">
        <f aca="false">IF(OR($C336="",$D336=""),"",D336*E336)</f>
        <v/>
      </c>
      <c r="G336" s="32"/>
    </row>
    <row r="337" customFormat="false" ht="15" hidden="false" customHeight="false" outlineLevel="0" collapsed="false">
      <c r="A337" s="51"/>
      <c r="B337" s="38"/>
      <c r="C337" s="50"/>
      <c r="D337" s="71"/>
      <c r="E337" s="70" t="str">
        <f aca="false">IF($C337="","",IFERROR(INDEX('Ingredient Database'!$J:$J,MATCH($C337,'Ingredient Database'!$B:$B,0)),""))</f>
        <v/>
      </c>
      <c r="F337" s="70" t="str">
        <f aca="false">IF(OR($C337="",$D337=""),"",D337*E337)</f>
        <v/>
      </c>
      <c r="G337" s="32"/>
    </row>
    <row r="338" customFormat="false" ht="15" hidden="false" customHeight="false" outlineLevel="0" collapsed="false">
      <c r="A338" s="51"/>
      <c r="B338" s="38"/>
      <c r="C338" s="50"/>
      <c r="D338" s="71"/>
      <c r="E338" s="70" t="str">
        <f aca="false">IF($C338="","",IFERROR(INDEX('Ingredient Database'!$J:$J,MATCH($C338,'Ingredient Database'!$B:$B,0)),""))</f>
        <v/>
      </c>
      <c r="F338" s="70" t="str">
        <f aca="false">IF(OR($C338="",$D338=""),"",D338*E338)</f>
        <v/>
      </c>
      <c r="G338" s="32"/>
    </row>
    <row r="339" customFormat="false" ht="15" hidden="false" customHeight="false" outlineLevel="0" collapsed="false">
      <c r="A339" s="51"/>
      <c r="B339" s="38"/>
      <c r="C339" s="50"/>
      <c r="D339" s="71"/>
      <c r="E339" s="70" t="str">
        <f aca="false">IF($C339="","",IFERROR(INDEX('Ingredient Database'!$J:$J,MATCH($C339,'Ingredient Database'!$B:$B,0)),""))</f>
        <v/>
      </c>
      <c r="F339" s="70" t="str">
        <f aca="false">IF(OR($C339="",$D339=""),"",D339*E339)</f>
        <v/>
      </c>
      <c r="G339" s="32"/>
    </row>
    <row r="340" customFormat="false" ht="15" hidden="false" customHeight="false" outlineLevel="0" collapsed="false">
      <c r="A340" s="51"/>
      <c r="B340" s="38"/>
      <c r="C340" s="50"/>
      <c r="D340" s="71"/>
      <c r="E340" s="70" t="str">
        <f aca="false">IF($C340="","",IFERROR(INDEX('Ingredient Database'!$J:$J,MATCH($C340,'Ingredient Database'!$B:$B,0)),""))</f>
        <v/>
      </c>
      <c r="F340" s="70" t="str">
        <f aca="false">IF(OR($C340="",$D340=""),"",D340*E340)</f>
        <v/>
      </c>
      <c r="G340" s="32"/>
    </row>
    <row r="341" customFormat="false" ht="15" hidden="false" customHeight="false" outlineLevel="0" collapsed="false">
      <c r="A341" s="51"/>
      <c r="B341" s="38"/>
      <c r="C341" s="50"/>
      <c r="D341" s="71"/>
      <c r="E341" s="70" t="str">
        <f aca="false">IF($C341="","",IFERROR(INDEX('Ingredient Database'!$J:$J,MATCH($C341,'Ingredient Database'!$B:$B,0)),""))</f>
        <v/>
      </c>
      <c r="F341" s="70" t="str">
        <f aca="false">IF(OR($C341="",$D341=""),"",D341*E341)</f>
        <v/>
      </c>
      <c r="G341" s="32"/>
    </row>
    <row r="342" customFormat="false" ht="15" hidden="false" customHeight="false" outlineLevel="0" collapsed="false">
      <c r="A342" s="51"/>
      <c r="B342" s="38"/>
      <c r="C342" s="50"/>
      <c r="D342" s="71"/>
      <c r="E342" s="70" t="str">
        <f aca="false">IF($C342="","",IFERROR(INDEX('Ingredient Database'!$J:$J,MATCH($C342,'Ingredient Database'!$B:$B,0)),""))</f>
        <v/>
      </c>
      <c r="F342" s="70" t="str">
        <f aca="false">IF(OR($C342="",$D342=""),"",D342*E342)</f>
        <v/>
      </c>
      <c r="G342" s="32"/>
    </row>
    <row r="343" customFormat="false" ht="15" hidden="false" customHeight="false" outlineLevel="0" collapsed="false">
      <c r="A343" s="51"/>
      <c r="B343" s="38"/>
      <c r="C343" s="50"/>
      <c r="D343" s="71"/>
      <c r="E343" s="70" t="str">
        <f aca="false">IF($C343="","",IFERROR(INDEX('Ingredient Database'!$J:$J,MATCH($C343,'Ingredient Database'!$B:$B,0)),""))</f>
        <v/>
      </c>
      <c r="F343" s="70" t="str">
        <f aca="false">IF(OR($C343="",$D343=""),"",D343*E343)</f>
        <v/>
      </c>
      <c r="G343" s="32"/>
    </row>
    <row r="344" customFormat="false" ht="15" hidden="false" customHeight="false" outlineLevel="0" collapsed="false">
      <c r="A344" s="51"/>
      <c r="B344" s="38"/>
      <c r="C344" s="50"/>
      <c r="D344" s="71"/>
      <c r="E344" s="70" t="str">
        <f aca="false">IF($C344="","",IFERROR(INDEX('Ingredient Database'!$J:$J,MATCH($C344,'Ingredient Database'!$B:$B,0)),""))</f>
        <v/>
      </c>
      <c r="F344" s="70" t="str">
        <f aca="false">IF(OR($C344="",$D344=""),"",D344*E344)</f>
        <v/>
      </c>
      <c r="G344" s="32"/>
    </row>
    <row r="345" customFormat="false" ht="15" hidden="false" customHeight="false" outlineLevel="0" collapsed="false">
      <c r="A345" s="51"/>
      <c r="B345" s="38"/>
      <c r="C345" s="50"/>
      <c r="D345" s="71"/>
      <c r="E345" s="70" t="str">
        <f aca="false">IF($C345="","",IFERROR(INDEX('Ingredient Database'!$J:$J,MATCH($C345,'Ingredient Database'!$B:$B,0)),""))</f>
        <v/>
      </c>
      <c r="F345" s="70" t="str">
        <f aca="false">IF(OR($C345="",$D345=""),"",D345*E345)</f>
        <v/>
      </c>
      <c r="G345" s="32"/>
    </row>
    <row r="346" customFormat="false" ht="15" hidden="false" customHeight="false" outlineLevel="0" collapsed="false">
      <c r="A346" s="51"/>
      <c r="B346" s="38"/>
      <c r="C346" s="50"/>
      <c r="D346" s="71"/>
      <c r="E346" s="70" t="str">
        <f aca="false">IF($C346="","",IFERROR(INDEX('Ingredient Database'!$J:$J,MATCH($C346,'Ingredient Database'!$B:$B,0)),""))</f>
        <v/>
      </c>
      <c r="F346" s="70" t="str">
        <f aca="false">IF(OR($C346="",$D346=""),"",D346*E346)</f>
        <v/>
      </c>
      <c r="G346" s="32"/>
    </row>
    <row r="347" customFormat="false" ht="15" hidden="false" customHeight="false" outlineLevel="0" collapsed="false">
      <c r="A347" s="51"/>
      <c r="B347" s="38"/>
      <c r="C347" s="50"/>
      <c r="D347" s="71"/>
      <c r="E347" s="70" t="str">
        <f aca="false">IF($C347="","",IFERROR(INDEX('Ingredient Database'!$J:$J,MATCH($C347,'Ingredient Database'!$B:$B,0)),""))</f>
        <v/>
      </c>
      <c r="F347" s="70" t="str">
        <f aca="false">IF(OR($C347="",$D347=""),"",D347*E347)</f>
        <v/>
      </c>
      <c r="G347" s="32"/>
    </row>
    <row r="348" customFormat="false" ht="15" hidden="false" customHeight="false" outlineLevel="0" collapsed="false">
      <c r="A348" s="51"/>
      <c r="B348" s="38"/>
      <c r="C348" s="50"/>
      <c r="D348" s="71"/>
      <c r="E348" s="70" t="str">
        <f aca="false">IF($C348="","",IFERROR(INDEX('Ingredient Database'!$J:$J,MATCH($C348,'Ingredient Database'!$B:$B,0)),""))</f>
        <v/>
      </c>
      <c r="F348" s="70" t="str">
        <f aca="false">IF(OR($C348="",$D348=""),"",D348*E348)</f>
        <v/>
      </c>
      <c r="G348" s="32"/>
    </row>
    <row r="349" customFormat="false" ht="15" hidden="false" customHeight="false" outlineLevel="0" collapsed="false">
      <c r="A349" s="51"/>
      <c r="B349" s="38"/>
      <c r="C349" s="50"/>
      <c r="D349" s="71"/>
      <c r="E349" s="70" t="str">
        <f aca="false">IF($C349="","",IFERROR(INDEX('Ingredient Database'!$J:$J,MATCH($C349,'Ingredient Database'!$B:$B,0)),""))</f>
        <v/>
      </c>
      <c r="F349" s="70" t="str">
        <f aca="false">IF(OR($C349="",$D349=""),"",D349*E349)</f>
        <v/>
      </c>
      <c r="G349" s="32"/>
    </row>
    <row r="350" customFormat="false" ht="15" hidden="false" customHeight="false" outlineLevel="0" collapsed="false">
      <c r="A350" s="51"/>
      <c r="B350" s="38"/>
      <c r="C350" s="50"/>
      <c r="D350" s="71"/>
      <c r="E350" s="70" t="str">
        <f aca="false">IF($C350="","",IFERROR(INDEX('Ingredient Database'!$J:$J,MATCH($C350,'Ingredient Database'!$B:$B,0)),""))</f>
        <v/>
      </c>
      <c r="F350" s="70" t="str">
        <f aca="false">IF(OR($C350="",$D350=""),"",D350*E350)</f>
        <v/>
      </c>
      <c r="G350" s="32"/>
    </row>
    <row r="351" customFormat="false" ht="15" hidden="false" customHeight="false" outlineLevel="0" collapsed="false">
      <c r="A351" s="51"/>
      <c r="B351" s="38"/>
      <c r="C351" s="50"/>
      <c r="D351" s="71"/>
      <c r="E351" s="70" t="str">
        <f aca="false">IF($C351="","",IFERROR(INDEX('Ingredient Database'!$J:$J,MATCH($C351,'Ingredient Database'!$B:$B,0)),""))</f>
        <v/>
      </c>
      <c r="F351" s="70" t="str">
        <f aca="false">IF(OR($C351="",$D351=""),"",D351*E351)</f>
        <v/>
      </c>
      <c r="G351" s="32"/>
    </row>
    <row r="352" customFormat="false" ht="15" hidden="false" customHeight="false" outlineLevel="0" collapsed="false">
      <c r="A352" s="51"/>
      <c r="B352" s="38"/>
      <c r="C352" s="50"/>
      <c r="D352" s="71"/>
      <c r="E352" s="70" t="str">
        <f aca="false">IF($C352="","",IFERROR(INDEX('Ingredient Database'!$J:$J,MATCH($C352,'Ingredient Database'!$B:$B,0)),""))</f>
        <v/>
      </c>
      <c r="F352" s="70" t="str">
        <f aca="false">IF(OR($C352="",$D352=""),"",D352*E352)</f>
        <v/>
      </c>
      <c r="G352" s="32"/>
    </row>
    <row r="353" customFormat="false" ht="15" hidden="false" customHeight="false" outlineLevel="0" collapsed="false">
      <c r="A353" s="51"/>
      <c r="B353" s="38"/>
      <c r="C353" s="50"/>
      <c r="D353" s="71"/>
      <c r="E353" s="70" t="str">
        <f aca="false">IF($C353="","",IFERROR(INDEX('Ingredient Database'!$J:$J,MATCH($C353,'Ingredient Database'!$B:$B,0)),""))</f>
        <v/>
      </c>
      <c r="F353" s="70" t="str">
        <f aca="false">IF(OR($C353="",$D353=""),"",D353*E353)</f>
        <v/>
      </c>
      <c r="G353" s="32"/>
    </row>
    <row r="354" customFormat="false" ht="15" hidden="false" customHeight="false" outlineLevel="0" collapsed="false">
      <c r="A354" s="51"/>
      <c r="B354" s="38"/>
      <c r="C354" s="50"/>
      <c r="D354" s="71"/>
      <c r="E354" s="70" t="str">
        <f aca="false">IF($C354="","",IFERROR(INDEX('Ingredient Database'!$J:$J,MATCH($C354,'Ingredient Database'!$B:$B,0)),""))</f>
        <v/>
      </c>
      <c r="F354" s="70" t="str">
        <f aca="false">IF(OR($C354="",$D354=""),"",D354*E354)</f>
        <v/>
      </c>
      <c r="G354" s="32"/>
    </row>
    <row r="355" customFormat="false" ht="15" hidden="false" customHeight="false" outlineLevel="0" collapsed="false">
      <c r="A355" s="51"/>
      <c r="B355" s="38"/>
      <c r="C355" s="50"/>
      <c r="D355" s="71"/>
      <c r="E355" s="70" t="str">
        <f aca="false">IF($C355="","",IFERROR(INDEX('Ingredient Database'!$J:$J,MATCH($C355,'Ingredient Database'!$B:$B,0)),""))</f>
        <v/>
      </c>
      <c r="F355" s="70" t="str">
        <f aca="false">IF(OR($C355="",$D355=""),"",D355*E355)</f>
        <v/>
      </c>
      <c r="G355" s="32"/>
    </row>
    <row r="356" customFormat="false" ht="15" hidden="false" customHeight="false" outlineLevel="0" collapsed="false">
      <c r="A356" s="51"/>
      <c r="B356" s="38"/>
      <c r="C356" s="50"/>
      <c r="D356" s="71"/>
      <c r="E356" s="70" t="str">
        <f aca="false">IF($C356="","",IFERROR(INDEX('Ingredient Database'!$J:$J,MATCH($C356,'Ingredient Database'!$B:$B,0)),""))</f>
        <v/>
      </c>
      <c r="F356" s="70" t="str">
        <f aca="false">IF(OR($C356="",$D356=""),"",D356*E356)</f>
        <v/>
      </c>
      <c r="G356" s="32"/>
    </row>
    <row r="357" customFormat="false" ht="15" hidden="false" customHeight="false" outlineLevel="0" collapsed="false">
      <c r="A357" s="51"/>
      <c r="B357" s="38"/>
      <c r="C357" s="50"/>
      <c r="D357" s="71"/>
      <c r="E357" s="70" t="str">
        <f aca="false">IF($C357="","",IFERROR(INDEX('Ingredient Database'!$J:$J,MATCH($C357,'Ingredient Database'!$B:$B,0)),""))</f>
        <v/>
      </c>
      <c r="F357" s="70" t="str">
        <f aca="false">IF(OR($C357="",$D357=""),"",D357*E357)</f>
        <v/>
      </c>
      <c r="G357" s="32"/>
    </row>
    <row r="358" customFormat="false" ht="15" hidden="false" customHeight="false" outlineLevel="0" collapsed="false">
      <c r="A358" s="51"/>
      <c r="B358" s="38"/>
      <c r="C358" s="50"/>
      <c r="D358" s="71"/>
      <c r="E358" s="70" t="str">
        <f aca="false">IF($C358="","",IFERROR(INDEX('Ingredient Database'!$J:$J,MATCH($C358,'Ingredient Database'!$B:$B,0)),""))</f>
        <v/>
      </c>
      <c r="F358" s="70" t="str">
        <f aca="false">IF(OR($C358="",$D358=""),"",D358*E358)</f>
        <v/>
      </c>
      <c r="G358" s="32"/>
    </row>
    <row r="359" customFormat="false" ht="15" hidden="false" customHeight="false" outlineLevel="0" collapsed="false">
      <c r="A359" s="51"/>
      <c r="B359" s="38"/>
      <c r="C359" s="50"/>
      <c r="D359" s="71"/>
      <c r="E359" s="70" t="str">
        <f aca="false">IF($C359="","",IFERROR(INDEX('Ingredient Database'!$J:$J,MATCH($C359,'Ingredient Database'!$B:$B,0)),""))</f>
        <v/>
      </c>
      <c r="F359" s="70" t="str">
        <f aca="false">IF(OR($C359="",$D359=""),"",D359*E359)</f>
        <v/>
      </c>
      <c r="G359" s="32"/>
    </row>
    <row r="360" customFormat="false" ht="15" hidden="false" customHeight="false" outlineLevel="0" collapsed="false">
      <c r="A360" s="51"/>
      <c r="B360" s="38"/>
      <c r="C360" s="50"/>
      <c r="D360" s="71"/>
      <c r="E360" s="70" t="str">
        <f aca="false">IF($C360="","",IFERROR(INDEX('Ingredient Database'!$J:$J,MATCH($C360,'Ingredient Database'!$B:$B,0)),""))</f>
        <v/>
      </c>
      <c r="F360" s="70" t="str">
        <f aca="false">IF(OR($C360="",$D360=""),"",D360*E360)</f>
        <v/>
      </c>
      <c r="G360" s="32"/>
    </row>
    <row r="361" customFormat="false" ht="15" hidden="false" customHeight="false" outlineLevel="0" collapsed="false">
      <c r="A361" s="51"/>
      <c r="B361" s="38"/>
      <c r="C361" s="50"/>
      <c r="D361" s="71"/>
      <c r="E361" s="70" t="str">
        <f aca="false">IF($C361="","",IFERROR(INDEX('Ingredient Database'!$J:$J,MATCH($C361,'Ingredient Database'!$B:$B,0)),""))</f>
        <v/>
      </c>
      <c r="F361" s="70" t="str">
        <f aca="false">IF(OR($C361="",$D361=""),"",D361*E361)</f>
        <v/>
      </c>
      <c r="G361" s="32"/>
    </row>
    <row r="362" customFormat="false" ht="15" hidden="false" customHeight="false" outlineLevel="0" collapsed="false">
      <c r="A362" s="51"/>
      <c r="B362" s="38"/>
      <c r="C362" s="50"/>
      <c r="D362" s="71"/>
      <c r="E362" s="70" t="str">
        <f aca="false">IF($C362="","",IFERROR(INDEX('Ingredient Database'!$J:$J,MATCH($C362,'Ingredient Database'!$B:$B,0)),""))</f>
        <v/>
      </c>
      <c r="F362" s="70" t="str">
        <f aca="false">IF(OR($C362="",$D362=""),"",D362*E362)</f>
        <v/>
      </c>
      <c r="G362" s="32"/>
    </row>
    <row r="363" customFormat="false" ht="15" hidden="false" customHeight="false" outlineLevel="0" collapsed="false">
      <c r="A363" s="51"/>
      <c r="B363" s="38"/>
      <c r="C363" s="50"/>
      <c r="D363" s="71"/>
      <c r="E363" s="70" t="str">
        <f aca="false">IF($C363="","",IFERROR(INDEX('Ingredient Database'!$J:$J,MATCH($C363,'Ingredient Database'!$B:$B,0)),""))</f>
        <v/>
      </c>
      <c r="F363" s="70" t="str">
        <f aca="false">IF(OR($C363="",$D363=""),"",D363*E363)</f>
        <v/>
      </c>
      <c r="G363" s="32"/>
    </row>
    <row r="364" customFormat="false" ht="15" hidden="false" customHeight="false" outlineLevel="0" collapsed="false">
      <c r="A364" s="51"/>
      <c r="B364" s="38"/>
      <c r="C364" s="50"/>
      <c r="D364" s="71"/>
      <c r="E364" s="70" t="str">
        <f aca="false">IF($C364="","",IFERROR(INDEX('Ingredient Database'!$J:$J,MATCH($C364,'Ingredient Database'!$B:$B,0)),""))</f>
        <v/>
      </c>
      <c r="F364" s="70" t="str">
        <f aca="false">IF(OR($C364="",$D364=""),"",D364*E364)</f>
        <v/>
      </c>
      <c r="G364" s="32"/>
    </row>
    <row r="365" customFormat="false" ht="15" hidden="false" customHeight="false" outlineLevel="0" collapsed="false">
      <c r="A365" s="51"/>
      <c r="B365" s="38"/>
      <c r="C365" s="50"/>
      <c r="D365" s="71"/>
      <c r="E365" s="70" t="str">
        <f aca="false">IF($C365="","",IFERROR(INDEX('Ingredient Database'!$J:$J,MATCH($C365,'Ingredient Database'!$B:$B,0)),""))</f>
        <v/>
      </c>
      <c r="F365" s="70" t="str">
        <f aca="false">IF(OR($C365="",$D365=""),"",D365*E365)</f>
        <v/>
      </c>
      <c r="G365" s="32"/>
    </row>
    <row r="366" customFormat="false" ht="15" hidden="false" customHeight="false" outlineLevel="0" collapsed="false">
      <c r="A366" s="51"/>
      <c r="B366" s="38"/>
      <c r="C366" s="50"/>
      <c r="D366" s="71"/>
      <c r="E366" s="70" t="str">
        <f aca="false">IF($C366="","",IFERROR(INDEX('Ingredient Database'!$J:$J,MATCH($C366,'Ingredient Database'!$B:$B,0)),""))</f>
        <v/>
      </c>
      <c r="F366" s="70" t="str">
        <f aca="false">IF(OR($C366="",$D366=""),"",D366*E366)</f>
        <v/>
      </c>
      <c r="G366" s="32"/>
    </row>
    <row r="367" customFormat="false" ht="15" hidden="false" customHeight="false" outlineLevel="0" collapsed="false">
      <c r="A367" s="51"/>
      <c r="B367" s="38"/>
      <c r="C367" s="50"/>
      <c r="D367" s="71"/>
      <c r="E367" s="70" t="str">
        <f aca="false">IF($C367="","",IFERROR(INDEX('Ingredient Database'!$J:$J,MATCH($C367,'Ingredient Database'!$B:$B,0)),""))</f>
        <v/>
      </c>
      <c r="F367" s="70" t="str">
        <f aca="false">IF(OR($C367="",$D367=""),"",D367*E367)</f>
        <v/>
      </c>
      <c r="G367" s="32"/>
    </row>
    <row r="368" customFormat="false" ht="15" hidden="false" customHeight="false" outlineLevel="0" collapsed="false">
      <c r="A368" s="51"/>
      <c r="B368" s="38"/>
      <c r="C368" s="50"/>
      <c r="D368" s="71"/>
      <c r="E368" s="70" t="str">
        <f aca="false">IF($C368="","",IFERROR(INDEX('Ingredient Database'!$J:$J,MATCH($C368,'Ingredient Database'!$B:$B,0)),""))</f>
        <v/>
      </c>
      <c r="F368" s="70" t="str">
        <f aca="false">IF(OR($C368="",$D368=""),"",D368*E368)</f>
        <v/>
      </c>
      <c r="G368" s="32"/>
    </row>
    <row r="369" customFormat="false" ht="15" hidden="false" customHeight="false" outlineLevel="0" collapsed="false">
      <c r="A369" s="51"/>
      <c r="B369" s="38"/>
      <c r="C369" s="50"/>
      <c r="D369" s="71"/>
      <c r="E369" s="70" t="str">
        <f aca="false">IF($C369="","",IFERROR(INDEX('Ingredient Database'!$J:$J,MATCH($C369,'Ingredient Database'!$B:$B,0)),""))</f>
        <v/>
      </c>
      <c r="F369" s="70" t="str">
        <f aca="false">IF(OR($C369="",$D369=""),"",D369*E369)</f>
        <v/>
      </c>
      <c r="G369" s="32"/>
    </row>
    <row r="370" customFormat="false" ht="15" hidden="false" customHeight="false" outlineLevel="0" collapsed="false">
      <c r="A370" s="51"/>
      <c r="B370" s="38"/>
      <c r="C370" s="50"/>
      <c r="D370" s="71"/>
      <c r="E370" s="70" t="str">
        <f aca="false">IF($C370="","",IFERROR(INDEX('Ingredient Database'!$J:$J,MATCH($C370,'Ingredient Database'!$B:$B,0)),""))</f>
        <v/>
      </c>
      <c r="F370" s="70" t="str">
        <f aca="false">IF(OR($C370="",$D370=""),"",D370*E370)</f>
        <v/>
      </c>
      <c r="G370" s="32"/>
    </row>
    <row r="371" customFormat="false" ht="15" hidden="false" customHeight="false" outlineLevel="0" collapsed="false">
      <c r="A371" s="51"/>
      <c r="B371" s="38"/>
      <c r="C371" s="50"/>
      <c r="D371" s="71"/>
      <c r="E371" s="70" t="str">
        <f aca="false">IF($C371="","",IFERROR(INDEX('Ingredient Database'!$J:$J,MATCH($C371,'Ingredient Database'!$B:$B,0)),""))</f>
        <v/>
      </c>
      <c r="F371" s="70" t="str">
        <f aca="false">IF(OR($C371="",$D371=""),"",D371*E371)</f>
        <v/>
      </c>
      <c r="G371" s="32"/>
    </row>
    <row r="372" customFormat="false" ht="15" hidden="false" customHeight="false" outlineLevel="0" collapsed="false">
      <c r="A372" s="51"/>
      <c r="B372" s="38"/>
      <c r="C372" s="50"/>
      <c r="D372" s="71"/>
      <c r="E372" s="70" t="str">
        <f aca="false">IF($C372="","",IFERROR(INDEX('Ingredient Database'!$J:$J,MATCH($C372,'Ingredient Database'!$B:$B,0)),""))</f>
        <v/>
      </c>
      <c r="F372" s="70" t="str">
        <f aca="false">IF(OR($C372="",$D372=""),"",D372*E372)</f>
        <v/>
      </c>
      <c r="G372" s="32"/>
    </row>
    <row r="373" customFormat="false" ht="15" hidden="false" customHeight="false" outlineLevel="0" collapsed="false">
      <c r="A373" s="51"/>
      <c r="B373" s="38"/>
      <c r="C373" s="50"/>
      <c r="D373" s="71"/>
      <c r="E373" s="70" t="str">
        <f aca="false">IF($C373="","",IFERROR(INDEX('Ingredient Database'!$J:$J,MATCH($C373,'Ingredient Database'!$B:$B,0)),""))</f>
        <v/>
      </c>
      <c r="F373" s="70" t="str">
        <f aca="false">IF(OR($C373="",$D373=""),"",D373*E373)</f>
        <v/>
      </c>
      <c r="G373" s="32"/>
    </row>
    <row r="374" customFormat="false" ht="15" hidden="false" customHeight="false" outlineLevel="0" collapsed="false">
      <c r="A374" s="51"/>
      <c r="B374" s="38"/>
      <c r="C374" s="50"/>
      <c r="D374" s="71"/>
      <c r="E374" s="70" t="str">
        <f aca="false">IF($C374="","",IFERROR(INDEX('Ingredient Database'!$J:$J,MATCH($C374,'Ingredient Database'!$B:$B,0)),""))</f>
        <v/>
      </c>
      <c r="F374" s="70" t="str">
        <f aca="false">IF(OR($C374="",$D374=""),"",D374*E374)</f>
        <v/>
      </c>
      <c r="G374" s="32"/>
    </row>
    <row r="375" customFormat="false" ht="15" hidden="false" customHeight="false" outlineLevel="0" collapsed="false">
      <c r="A375" s="51"/>
      <c r="B375" s="38"/>
      <c r="C375" s="50"/>
      <c r="D375" s="71"/>
      <c r="E375" s="70" t="str">
        <f aca="false">IF($C375="","",IFERROR(INDEX('Ingredient Database'!$J:$J,MATCH($C375,'Ingredient Database'!$B:$B,0)),""))</f>
        <v/>
      </c>
      <c r="F375" s="70" t="str">
        <f aca="false">IF(OR($C375="",$D375=""),"",D375*E375)</f>
        <v/>
      </c>
      <c r="G375" s="32"/>
    </row>
    <row r="376" customFormat="false" ht="15" hidden="false" customHeight="false" outlineLevel="0" collapsed="false">
      <c r="A376" s="51"/>
      <c r="B376" s="38"/>
      <c r="C376" s="50"/>
      <c r="D376" s="71"/>
      <c r="E376" s="70" t="str">
        <f aca="false">IF($C376="","",IFERROR(INDEX('Ingredient Database'!$J:$J,MATCH($C376,'Ingredient Database'!$B:$B,0)),""))</f>
        <v/>
      </c>
      <c r="F376" s="70" t="str">
        <f aca="false">IF(OR($C376="",$D376=""),"",D376*E376)</f>
        <v/>
      </c>
      <c r="G376" s="32"/>
    </row>
    <row r="377" customFormat="false" ht="15" hidden="false" customHeight="false" outlineLevel="0" collapsed="false">
      <c r="A377" s="51"/>
      <c r="B377" s="38"/>
      <c r="C377" s="50"/>
      <c r="D377" s="71"/>
      <c r="E377" s="70" t="str">
        <f aca="false">IF($C377="","",IFERROR(INDEX('Ingredient Database'!$J:$J,MATCH($C377,'Ingredient Database'!$B:$B,0)),""))</f>
        <v/>
      </c>
      <c r="F377" s="70" t="str">
        <f aca="false">IF(OR($C377="",$D377=""),"",D377*E377)</f>
        <v/>
      </c>
      <c r="G377" s="32"/>
    </row>
    <row r="378" customFormat="false" ht="15" hidden="false" customHeight="false" outlineLevel="0" collapsed="false">
      <c r="A378" s="51"/>
      <c r="B378" s="38"/>
      <c r="C378" s="50"/>
      <c r="D378" s="71"/>
      <c r="E378" s="70" t="str">
        <f aca="false">IF($C378="","",IFERROR(INDEX('Ingredient Database'!$J:$J,MATCH($C378,'Ingredient Database'!$B:$B,0)),""))</f>
        <v/>
      </c>
      <c r="F378" s="70" t="str">
        <f aca="false">IF(OR($C378="",$D378=""),"",D378*E378)</f>
        <v/>
      </c>
      <c r="G378" s="32"/>
    </row>
    <row r="379" customFormat="false" ht="15" hidden="false" customHeight="false" outlineLevel="0" collapsed="false">
      <c r="A379" s="51"/>
      <c r="B379" s="38"/>
      <c r="C379" s="50"/>
      <c r="D379" s="71"/>
      <c r="E379" s="70" t="str">
        <f aca="false">IF($C379="","",IFERROR(INDEX('Ingredient Database'!$J:$J,MATCH($C379,'Ingredient Database'!$B:$B,0)),""))</f>
        <v/>
      </c>
      <c r="F379" s="70" t="str">
        <f aca="false">IF(OR($C379="",$D379=""),"",D379*E379)</f>
        <v/>
      </c>
      <c r="G379" s="32"/>
    </row>
    <row r="380" customFormat="false" ht="15" hidden="false" customHeight="false" outlineLevel="0" collapsed="false">
      <c r="A380" s="51"/>
      <c r="B380" s="38"/>
      <c r="C380" s="50"/>
      <c r="D380" s="71"/>
      <c r="E380" s="70" t="str">
        <f aca="false">IF($C380="","",IFERROR(INDEX('Ingredient Database'!$J:$J,MATCH($C380,'Ingredient Database'!$B:$B,0)),""))</f>
        <v/>
      </c>
      <c r="F380" s="70" t="str">
        <f aca="false">IF(OR($C380="",$D380=""),"",D380*E380)</f>
        <v/>
      </c>
      <c r="G380" s="32"/>
    </row>
    <row r="381" customFormat="false" ht="15" hidden="false" customHeight="false" outlineLevel="0" collapsed="false">
      <c r="A381" s="51"/>
      <c r="B381" s="38"/>
      <c r="C381" s="50"/>
      <c r="D381" s="71"/>
      <c r="E381" s="70" t="str">
        <f aca="false">IF($C381="","",IFERROR(INDEX('Ingredient Database'!$J:$J,MATCH($C381,'Ingredient Database'!$B:$B,0)),""))</f>
        <v/>
      </c>
      <c r="F381" s="70" t="str">
        <f aca="false">IF(OR($C381="",$D381=""),"",D381*E381)</f>
        <v/>
      </c>
      <c r="G381" s="32"/>
    </row>
    <row r="382" customFormat="false" ht="15" hidden="false" customHeight="false" outlineLevel="0" collapsed="false">
      <c r="A382" s="51"/>
      <c r="B382" s="38"/>
      <c r="C382" s="50"/>
      <c r="D382" s="71"/>
      <c r="E382" s="70" t="str">
        <f aca="false">IF($C382="","",IFERROR(INDEX('Ingredient Database'!$J:$J,MATCH($C382,'Ingredient Database'!$B:$B,0)),""))</f>
        <v/>
      </c>
      <c r="F382" s="70" t="str">
        <f aca="false">IF(OR($C382="",$D382=""),"",D382*E382)</f>
        <v/>
      </c>
      <c r="G382" s="32"/>
    </row>
    <row r="383" customFormat="false" ht="15" hidden="false" customHeight="false" outlineLevel="0" collapsed="false">
      <c r="A383" s="51"/>
      <c r="B383" s="38"/>
      <c r="C383" s="50"/>
      <c r="D383" s="71"/>
      <c r="E383" s="70" t="str">
        <f aca="false">IF($C383="","",IFERROR(INDEX('Ingredient Database'!$J:$J,MATCH($C383,'Ingredient Database'!$B:$B,0)),""))</f>
        <v/>
      </c>
      <c r="F383" s="70" t="str">
        <f aca="false">IF(OR($C383="",$D383=""),"",D383*E383)</f>
        <v/>
      </c>
      <c r="G383" s="32"/>
    </row>
    <row r="384" customFormat="false" ht="15" hidden="false" customHeight="false" outlineLevel="0" collapsed="false">
      <c r="A384" s="51"/>
      <c r="B384" s="38"/>
      <c r="C384" s="50"/>
      <c r="D384" s="71"/>
      <c r="E384" s="70" t="str">
        <f aca="false">IF($C384="","",IFERROR(INDEX('Ingredient Database'!$J:$J,MATCH($C384,'Ingredient Database'!$B:$B,0)),""))</f>
        <v/>
      </c>
      <c r="F384" s="70" t="str">
        <f aca="false">IF(OR($C384="",$D384=""),"",D384*E384)</f>
        <v/>
      </c>
      <c r="G384" s="32"/>
    </row>
    <row r="385" customFormat="false" ht="15" hidden="false" customHeight="false" outlineLevel="0" collapsed="false">
      <c r="A385" s="51"/>
      <c r="B385" s="38"/>
      <c r="C385" s="50"/>
      <c r="D385" s="71"/>
      <c r="E385" s="70" t="str">
        <f aca="false">IF($C385="","",IFERROR(INDEX('Ingredient Database'!$J:$J,MATCH($C385,'Ingredient Database'!$B:$B,0)),""))</f>
        <v/>
      </c>
      <c r="F385" s="70" t="str">
        <f aca="false">IF(OR($C385="",$D385=""),"",D385*E385)</f>
        <v/>
      </c>
      <c r="G385" s="32"/>
    </row>
    <row r="386" customFormat="false" ht="15" hidden="false" customHeight="false" outlineLevel="0" collapsed="false">
      <c r="A386" s="51"/>
      <c r="B386" s="38"/>
      <c r="C386" s="50"/>
      <c r="D386" s="71"/>
      <c r="E386" s="70" t="str">
        <f aca="false">IF($C386="","",IFERROR(INDEX('Ingredient Database'!$J:$J,MATCH($C386,'Ingredient Database'!$B:$B,0)),""))</f>
        <v/>
      </c>
      <c r="F386" s="70" t="str">
        <f aca="false">IF(OR($C386="",$D386=""),"",D386*E386)</f>
        <v/>
      </c>
      <c r="G386" s="32"/>
    </row>
    <row r="387" customFormat="false" ht="15" hidden="false" customHeight="false" outlineLevel="0" collapsed="false">
      <c r="A387" s="51"/>
      <c r="B387" s="38"/>
      <c r="C387" s="50"/>
      <c r="D387" s="71"/>
      <c r="E387" s="70" t="str">
        <f aca="false">IF($C387="","",IFERROR(INDEX('Ingredient Database'!$J:$J,MATCH($C387,'Ingredient Database'!$B:$B,0)),""))</f>
        <v/>
      </c>
      <c r="F387" s="70" t="str">
        <f aca="false">IF(OR($C387="",$D387=""),"",D387*E387)</f>
        <v/>
      </c>
      <c r="G387" s="32"/>
    </row>
    <row r="388" customFormat="false" ht="15" hidden="false" customHeight="false" outlineLevel="0" collapsed="false">
      <c r="A388" s="51"/>
      <c r="B388" s="38"/>
      <c r="C388" s="50"/>
      <c r="D388" s="71"/>
      <c r="E388" s="70" t="str">
        <f aca="false">IF($C388="","",IFERROR(INDEX('Ingredient Database'!$J:$J,MATCH($C388,'Ingredient Database'!$B:$B,0)),""))</f>
        <v/>
      </c>
      <c r="F388" s="70" t="str">
        <f aca="false">IF(OR($C388="",$D388=""),"",D388*E388)</f>
        <v/>
      </c>
      <c r="G388" s="32"/>
    </row>
    <row r="389" customFormat="false" ht="15" hidden="false" customHeight="false" outlineLevel="0" collapsed="false">
      <c r="A389" s="51"/>
      <c r="B389" s="38"/>
      <c r="C389" s="50"/>
      <c r="D389" s="71"/>
      <c r="E389" s="70" t="str">
        <f aca="false">IF($C389="","",IFERROR(INDEX('Ingredient Database'!$J:$J,MATCH($C389,'Ingredient Database'!$B:$B,0)),""))</f>
        <v/>
      </c>
      <c r="F389" s="70" t="str">
        <f aca="false">IF(OR($C389="",$D389=""),"",D389*E389)</f>
        <v/>
      </c>
      <c r="G389" s="32"/>
    </row>
    <row r="390" customFormat="false" ht="15" hidden="false" customHeight="false" outlineLevel="0" collapsed="false">
      <c r="A390" s="51"/>
      <c r="B390" s="38"/>
      <c r="C390" s="50"/>
      <c r="D390" s="71"/>
      <c r="E390" s="70" t="str">
        <f aca="false">IF($C390="","",IFERROR(INDEX('Ingredient Database'!$J:$J,MATCH($C390,'Ingredient Database'!$B:$B,0)),""))</f>
        <v/>
      </c>
      <c r="F390" s="70" t="str">
        <f aca="false">IF(OR($C390="",$D390=""),"",D390*E390)</f>
        <v/>
      </c>
      <c r="G390" s="32"/>
    </row>
    <row r="391" customFormat="false" ht="15" hidden="false" customHeight="false" outlineLevel="0" collapsed="false">
      <c r="A391" s="51"/>
      <c r="B391" s="38"/>
      <c r="C391" s="50"/>
      <c r="D391" s="71"/>
      <c r="E391" s="70" t="str">
        <f aca="false">IF($C391="","",IFERROR(INDEX('Ingredient Database'!$J:$J,MATCH($C391,'Ingredient Database'!$B:$B,0)),""))</f>
        <v/>
      </c>
      <c r="F391" s="70" t="str">
        <f aca="false">IF(OR($C391="",$D391=""),"",D391*E391)</f>
        <v/>
      </c>
      <c r="G391" s="32"/>
    </row>
    <row r="392" customFormat="false" ht="15" hidden="false" customHeight="false" outlineLevel="0" collapsed="false">
      <c r="A392" s="51"/>
      <c r="B392" s="38"/>
      <c r="C392" s="50"/>
      <c r="D392" s="71"/>
      <c r="E392" s="70" t="str">
        <f aca="false">IF($C392="","",IFERROR(INDEX('Ingredient Database'!$J:$J,MATCH($C392,'Ingredient Database'!$B:$B,0)),""))</f>
        <v/>
      </c>
      <c r="F392" s="70" t="str">
        <f aca="false">IF(OR($C392="",$D392=""),"",D392*E392)</f>
        <v/>
      </c>
      <c r="G392" s="32"/>
    </row>
    <row r="393" customFormat="false" ht="15" hidden="false" customHeight="false" outlineLevel="0" collapsed="false">
      <c r="A393" s="51"/>
      <c r="B393" s="38"/>
      <c r="C393" s="50"/>
      <c r="D393" s="71"/>
      <c r="E393" s="70" t="str">
        <f aca="false">IF($C393="","",IFERROR(INDEX('Ingredient Database'!$J:$J,MATCH($C393,'Ingredient Database'!$B:$B,0)),""))</f>
        <v/>
      </c>
      <c r="F393" s="70" t="str">
        <f aca="false">IF(OR($C393="",$D393=""),"",D393*E393)</f>
        <v/>
      </c>
      <c r="G393" s="32"/>
    </row>
    <row r="394" customFormat="false" ht="15" hidden="false" customHeight="false" outlineLevel="0" collapsed="false">
      <c r="A394" s="51"/>
      <c r="B394" s="38"/>
      <c r="C394" s="50"/>
      <c r="D394" s="71"/>
      <c r="E394" s="70" t="str">
        <f aca="false">IF($C394="","",IFERROR(INDEX('Ingredient Database'!$J:$J,MATCH($C394,'Ingredient Database'!$B:$B,0)),""))</f>
        <v/>
      </c>
      <c r="F394" s="70" t="str">
        <f aca="false">IF(OR($C394="",$D394=""),"",D394*E394)</f>
        <v/>
      </c>
      <c r="G394" s="32"/>
    </row>
    <row r="395" customFormat="false" ht="15" hidden="false" customHeight="false" outlineLevel="0" collapsed="false">
      <c r="A395" s="51"/>
      <c r="B395" s="38"/>
      <c r="C395" s="50"/>
      <c r="D395" s="71"/>
      <c r="E395" s="70" t="str">
        <f aca="false">IF($C395="","",IFERROR(INDEX('Ingredient Database'!$J:$J,MATCH($C395,'Ingredient Database'!$B:$B,0)),""))</f>
        <v/>
      </c>
      <c r="F395" s="70" t="str">
        <f aca="false">IF(OR($C395="",$D395=""),"",D395*E395)</f>
        <v/>
      </c>
      <c r="G395" s="32"/>
    </row>
    <row r="396" customFormat="false" ht="15" hidden="false" customHeight="false" outlineLevel="0" collapsed="false">
      <c r="A396" s="51"/>
      <c r="B396" s="38"/>
      <c r="C396" s="50"/>
      <c r="D396" s="71"/>
      <c r="E396" s="70" t="str">
        <f aca="false">IF($C396="","",IFERROR(INDEX('Ingredient Database'!$J:$J,MATCH($C396,'Ingredient Database'!$B:$B,0)),""))</f>
        <v/>
      </c>
      <c r="F396" s="70" t="str">
        <f aca="false">IF(OR($C396="",$D396=""),"",D396*E396)</f>
        <v/>
      </c>
      <c r="G396" s="32"/>
    </row>
    <row r="397" customFormat="false" ht="15" hidden="false" customHeight="false" outlineLevel="0" collapsed="false">
      <c r="A397" s="51"/>
      <c r="B397" s="38"/>
      <c r="C397" s="50"/>
      <c r="D397" s="71"/>
      <c r="E397" s="70" t="str">
        <f aca="false">IF($C397="","",IFERROR(INDEX('Ingredient Database'!$J:$J,MATCH($C397,'Ingredient Database'!$B:$B,0)),""))</f>
        <v/>
      </c>
      <c r="F397" s="70" t="str">
        <f aca="false">IF(OR($C397="",$D397=""),"",D397*E397)</f>
        <v/>
      </c>
      <c r="G397" s="32"/>
    </row>
    <row r="398" customFormat="false" ht="15" hidden="false" customHeight="false" outlineLevel="0" collapsed="false">
      <c r="A398" s="51"/>
      <c r="B398" s="38"/>
      <c r="C398" s="50"/>
      <c r="D398" s="71"/>
      <c r="E398" s="70" t="str">
        <f aca="false">IF($C398="","",IFERROR(INDEX('Ingredient Database'!$J:$J,MATCH($C398,'Ingredient Database'!$B:$B,0)),""))</f>
        <v/>
      </c>
      <c r="F398" s="70" t="str">
        <f aca="false">IF(OR($C398="",$D398=""),"",D398*E398)</f>
        <v/>
      </c>
      <c r="G398" s="32"/>
    </row>
    <row r="399" customFormat="false" ht="15" hidden="false" customHeight="false" outlineLevel="0" collapsed="false">
      <c r="A399" s="51"/>
      <c r="B399" s="38"/>
      <c r="C399" s="50"/>
      <c r="D399" s="71"/>
      <c r="E399" s="70" t="str">
        <f aca="false">IF($C399="","",IFERROR(INDEX('Ingredient Database'!$J:$J,MATCH($C399,'Ingredient Database'!$B:$B,0)),""))</f>
        <v/>
      </c>
      <c r="F399" s="70" t="str">
        <f aca="false">IF(OR($C399="",$D399=""),"",D399*E399)</f>
        <v/>
      </c>
      <c r="G399" s="32"/>
    </row>
    <row r="400" customFormat="false" ht="15" hidden="false" customHeight="false" outlineLevel="0" collapsed="false">
      <c r="A400" s="51"/>
      <c r="B400" s="38"/>
      <c r="C400" s="50"/>
      <c r="D400" s="71"/>
      <c r="E400" s="70" t="str">
        <f aca="false">IF($C400="","",IFERROR(INDEX('Ingredient Database'!$J:$J,MATCH($C400,'Ingredient Database'!$B:$B,0)),""))</f>
        <v/>
      </c>
      <c r="F400" s="70" t="str">
        <f aca="false">IF(OR($C400="",$D400=""),"",D400*E400)</f>
        <v/>
      </c>
      <c r="G400" s="32"/>
    </row>
    <row r="401" customFormat="false" ht="15" hidden="false" customHeight="false" outlineLevel="0" collapsed="false">
      <c r="A401" s="51"/>
      <c r="B401" s="38"/>
      <c r="C401" s="50"/>
      <c r="D401" s="71"/>
      <c r="E401" s="70" t="str">
        <f aca="false">IF($C401="","",IFERROR(INDEX('Ingredient Database'!$J:$J,MATCH($C401,'Ingredient Database'!$B:$B,0)),""))</f>
        <v/>
      </c>
      <c r="F401" s="70" t="str">
        <f aca="false">IF(OR($C401="",$D401=""),"",D401*E401)</f>
        <v/>
      </c>
      <c r="G401" s="32"/>
    </row>
    <row r="402" customFormat="false" ht="15" hidden="false" customHeight="false" outlineLevel="0" collapsed="false">
      <c r="A402" s="51"/>
      <c r="B402" s="38"/>
      <c r="C402" s="50"/>
      <c r="D402" s="71"/>
      <c r="E402" s="70" t="str">
        <f aca="false">IF($C402="","",IFERROR(INDEX('Ingredient Database'!$J:$J,MATCH($C402,'Ingredient Database'!$B:$B,0)),""))</f>
        <v/>
      </c>
      <c r="F402" s="70" t="str">
        <f aca="false">IF(OR($C402="",$D402=""),"",D402*E402)</f>
        <v/>
      </c>
      <c r="G402" s="32"/>
    </row>
    <row r="403" customFormat="false" ht="15" hidden="false" customHeight="false" outlineLevel="0" collapsed="false">
      <c r="A403" s="51"/>
      <c r="B403" s="38"/>
      <c r="C403" s="50"/>
      <c r="D403" s="71"/>
      <c r="E403" s="70" t="str">
        <f aca="false">IF($C403="","",IFERROR(INDEX('Ingredient Database'!$J:$J,MATCH($C403,'Ingredient Database'!$B:$B,0)),""))</f>
        <v/>
      </c>
      <c r="F403" s="70" t="str">
        <f aca="false">IF(OR($C403="",$D403=""),"",D403*E403)</f>
        <v/>
      </c>
      <c r="G403" s="32"/>
    </row>
    <row r="404" customFormat="false" ht="15" hidden="false" customHeight="false" outlineLevel="0" collapsed="false">
      <c r="A404" s="51"/>
      <c r="B404" s="38"/>
      <c r="C404" s="50"/>
      <c r="D404" s="71"/>
      <c r="E404" s="70" t="str">
        <f aca="false">IF($C404="","",IFERROR(INDEX('Ingredient Database'!$J:$J,MATCH($C404,'Ingredient Database'!$B:$B,0)),""))</f>
        <v/>
      </c>
      <c r="F404" s="70" t="str">
        <f aca="false">IF(OR($C404="",$D404=""),"",D404*E404)</f>
        <v/>
      </c>
      <c r="G404" s="32"/>
    </row>
    <row r="405" customFormat="false" ht="15" hidden="false" customHeight="false" outlineLevel="0" collapsed="false">
      <c r="A405" s="51"/>
      <c r="B405" s="38"/>
      <c r="C405" s="50"/>
      <c r="D405" s="71"/>
      <c r="E405" s="70" t="str">
        <f aca="false">IF($C405="","",IFERROR(INDEX('Ingredient Database'!$J:$J,MATCH($C405,'Ingredient Database'!$B:$B,0)),""))</f>
        <v/>
      </c>
      <c r="F405" s="70" t="str">
        <f aca="false">IF(OR($C405="",$D405=""),"",D405*E405)</f>
        <v/>
      </c>
      <c r="G405" s="32"/>
    </row>
    <row r="406" customFormat="false" ht="15" hidden="false" customHeight="false" outlineLevel="0" collapsed="false">
      <c r="A406" s="51"/>
      <c r="B406" s="38"/>
      <c r="C406" s="50"/>
      <c r="D406" s="71"/>
      <c r="E406" s="70" t="str">
        <f aca="false">IF($C406="","",IFERROR(INDEX('Ingredient Database'!$J:$J,MATCH($C406,'Ingredient Database'!$B:$B,0)),""))</f>
        <v/>
      </c>
      <c r="F406" s="70" t="str">
        <f aca="false">IF(OR($C406="",$D406=""),"",D406*E406)</f>
        <v/>
      </c>
      <c r="G406" s="32"/>
    </row>
    <row r="407" customFormat="false" ht="15" hidden="false" customHeight="false" outlineLevel="0" collapsed="false">
      <c r="A407" s="51"/>
      <c r="B407" s="38"/>
      <c r="C407" s="50"/>
      <c r="D407" s="71"/>
      <c r="E407" s="70" t="str">
        <f aca="false">IF($C407="","",IFERROR(INDEX('Ingredient Database'!$J:$J,MATCH($C407,'Ingredient Database'!$B:$B,0)),""))</f>
        <v/>
      </c>
      <c r="F407" s="70" t="str">
        <f aca="false">IF(OR($C407="",$D407=""),"",D407*E407)</f>
        <v/>
      </c>
      <c r="G407" s="32"/>
    </row>
    <row r="408" customFormat="false" ht="15" hidden="false" customHeight="false" outlineLevel="0" collapsed="false">
      <c r="A408" s="51"/>
      <c r="B408" s="38"/>
      <c r="C408" s="50"/>
      <c r="D408" s="71"/>
      <c r="E408" s="70" t="str">
        <f aca="false">IF($C408="","",IFERROR(INDEX('Ingredient Database'!$J:$J,MATCH($C408,'Ingredient Database'!$B:$B,0)),""))</f>
        <v/>
      </c>
      <c r="F408" s="70" t="str">
        <f aca="false">IF(OR($C408="",$D408=""),"",D408*E408)</f>
        <v/>
      </c>
      <c r="G408" s="32"/>
    </row>
    <row r="409" customFormat="false" ht="15" hidden="false" customHeight="false" outlineLevel="0" collapsed="false">
      <c r="A409" s="51"/>
      <c r="B409" s="38"/>
      <c r="C409" s="50"/>
      <c r="D409" s="71"/>
      <c r="E409" s="70" t="str">
        <f aca="false">IF($C409="","",IFERROR(INDEX('Ingredient Database'!$J:$J,MATCH($C409,'Ingredient Database'!$B:$B,0)),""))</f>
        <v/>
      </c>
      <c r="F409" s="70" t="str">
        <f aca="false">IF(OR($C409="",$D409=""),"",D409*E409)</f>
        <v/>
      </c>
      <c r="G409" s="32"/>
    </row>
    <row r="410" customFormat="false" ht="15" hidden="false" customHeight="false" outlineLevel="0" collapsed="false">
      <c r="A410" s="51"/>
      <c r="B410" s="38"/>
      <c r="C410" s="50"/>
      <c r="D410" s="71"/>
      <c r="E410" s="70" t="str">
        <f aca="false">IF($C410="","",IFERROR(INDEX('Ingredient Database'!$J:$J,MATCH($C410,'Ingredient Database'!$B:$B,0)),""))</f>
        <v/>
      </c>
      <c r="F410" s="70" t="str">
        <f aca="false">IF(OR($C410="",$D410=""),"",D410*E410)</f>
        <v/>
      </c>
      <c r="G410" s="32"/>
    </row>
    <row r="411" customFormat="false" ht="15" hidden="false" customHeight="false" outlineLevel="0" collapsed="false">
      <c r="A411" s="51"/>
      <c r="B411" s="38"/>
      <c r="C411" s="50"/>
      <c r="D411" s="71"/>
      <c r="E411" s="70" t="str">
        <f aca="false">IF($C411="","",IFERROR(INDEX('Ingredient Database'!$J:$J,MATCH($C411,'Ingredient Database'!$B:$B,0)),""))</f>
        <v/>
      </c>
      <c r="F411" s="70" t="str">
        <f aca="false">IF(OR($C411="",$D411=""),"",D411*E411)</f>
        <v/>
      </c>
      <c r="G411" s="32"/>
    </row>
    <row r="412" customFormat="false" ht="15" hidden="false" customHeight="false" outlineLevel="0" collapsed="false">
      <c r="A412" s="51"/>
      <c r="B412" s="38"/>
      <c r="C412" s="50"/>
      <c r="D412" s="71"/>
      <c r="E412" s="70" t="str">
        <f aca="false">IF($C412="","",IFERROR(INDEX('Ingredient Database'!$J:$J,MATCH($C412,'Ingredient Database'!$B:$B,0)),""))</f>
        <v/>
      </c>
      <c r="F412" s="70" t="str">
        <f aca="false">IF(OR($C412="",$D412=""),"",D412*E412)</f>
        <v/>
      </c>
      <c r="G412" s="32"/>
    </row>
    <row r="413" customFormat="false" ht="15" hidden="false" customHeight="false" outlineLevel="0" collapsed="false">
      <c r="A413" s="51"/>
      <c r="B413" s="38"/>
      <c r="C413" s="50"/>
      <c r="D413" s="71"/>
      <c r="E413" s="70" t="str">
        <f aca="false">IF($C413="","",IFERROR(INDEX('Ingredient Database'!$J:$J,MATCH($C413,'Ingredient Database'!$B:$B,0)),""))</f>
        <v/>
      </c>
      <c r="F413" s="70" t="str">
        <f aca="false">IF(OR($C413="",$D413=""),"",D413*E413)</f>
        <v/>
      </c>
      <c r="G413" s="32"/>
    </row>
    <row r="414" customFormat="false" ht="15" hidden="false" customHeight="false" outlineLevel="0" collapsed="false">
      <c r="A414" s="51"/>
      <c r="B414" s="38"/>
      <c r="C414" s="50"/>
      <c r="D414" s="71"/>
      <c r="E414" s="70" t="str">
        <f aca="false">IF($C414="","",IFERROR(INDEX('Ingredient Database'!$J:$J,MATCH($C414,'Ingredient Database'!$B:$B,0)),""))</f>
        <v/>
      </c>
      <c r="F414" s="70" t="str">
        <f aca="false">IF(OR($C414="",$D414=""),"",D414*E414)</f>
        <v/>
      </c>
      <c r="G414" s="32"/>
    </row>
    <row r="415" customFormat="false" ht="15" hidden="false" customHeight="false" outlineLevel="0" collapsed="false">
      <c r="A415" s="51"/>
      <c r="B415" s="38"/>
      <c r="C415" s="50"/>
      <c r="D415" s="71"/>
      <c r="E415" s="70" t="str">
        <f aca="false">IF($C415="","",IFERROR(INDEX('Ingredient Database'!$J:$J,MATCH($C415,'Ingredient Database'!$B:$B,0)),""))</f>
        <v/>
      </c>
      <c r="F415" s="70" t="str">
        <f aca="false">IF(OR($C415="",$D415=""),"",D415*E415)</f>
        <v/>
      </c>
      <c r="G415" s="32"/>
    </row>
    <row r="416" customFormat="false" ht="15" hidden="false" customHeight="false" outlineLevel="0" collapsed="false">
      <c r="A416" s="51"/>
      <c r="B416" s="38"/>
      <c r="C416" s="50"/>
      <c r="D416" s="71"/>
      <c r="E416" s="70" t="str">
        <f aca="false">IF($C416="","",IFERROR(INDEX('Ingredient Database'!$J:$J,MATCH($C416,'Ingredient Database'!$B:$B,0)),""))</f>
        <v/>
      </c>
      <c r="F416" s="70" t="str">
        <f aca="false">IF(OR($C416="",$D416=""),"",D416*E416)</f>
        <v/>
      </c>
      <c r="G416" s="32"/>
    </row>
    <row r="417" customFormat="false" ht="15" hidden="false" customHeight="false" outlineLevel="0" collapsed="false">
      <c r="A417" s="51"/>
      <c r="B417" s="38"/>
      <c r="C417" s="50"/>
      <c r="D417" s="71"/>
      <c r="E417" s="70" t="str">
        <f aca="false">IF($C417="","",IFERROR(INDEX('Ingredient Database'!$J:$J,MATCH($C417,'Ingredient Database'!$B:$B,0)),""))</f>
        <v/>
      </c>
      <c r="F417" s="70" t="str">
        <f aca="false">IF(OR($C417="",$D417=""),"",D417*E417)</f>
        <v/>
      </c>
      <c r="G417" s="32"/>
    </row>
    <row r="418" customFormat="false" ht="15" hidden="false" customHeight="false" outlineLevel="0" collapsed="false">
      <c r="A418" s="51"/>
      <c r="B418" s="38"/>
      <c r="C418" s="50"/>
      <c r="D418" s="71"/>
      <c r="E418" s="70" t="str">
        <f aca="false">IF($C418="","",IFERROR(INDEX('Ingredient Database'!$J:$J,MATCH($C418,'Ingredient Database'!$B:$B,0)),""))</f>
        <v/>
      </c>
      <c r="F418" s="70" t="str">
        <f aca="false">IF(OR($C418="",$D418=""),"",D418*E418)</f>
        <v/>
      </c>
      <c r="G418" s="32"/>
    </row>
    <row r="419" customFormat="false" ht="15" hidden="false" customHeight="false" outlineLevel="0" collapsed="false">
      <c r="A419" s="51"/>
      <c r="B419" s="38"/>
      <c r="C419" s="50"/>
      <c r="D419" s="71"/>
      <c r="E419" s="70" t="str">
        <f aca="false">IF($C419="","",IFERROR(INDEX('Ingredient Database'!$J:$J,MATCH($C419,'Ingredient Database'!$B:$B,0)),""))</f>
        <v/>
      </c>
      <c r="F419" s="70" t="str">
        <f aca="false">IF(OR($C419="",$D419=""),"",D419*E419)</f>
        <v/>
      </c>
      <c r="G419" s="32"/>
    </row>
    <row r="420" customFormat="false" ht="15" hidden="false" customHeight="false" outlineLevel="0" collapsed="false">
      <c r="A420" s="51"/>
      <c r="B420" s="38"/>
      <c r="C420" s="50"/>
      <c r="D420" s="71"/>
      <c r="E420" s="70" t="str">
        <f aca="false">IF($C420="","",IFERROR(INDEX('Ingredient Database'!$J:$J,MATCH($C420,'Ingredient Database'!$B:$B,0)),""))</f>
        <v/>
      </c>
      <c r="F420" s="70" t="str">
        <f aca="false">IF(OR($C420="",$D420=""),"",D420*E420)</f>
        <v/>
      </c>
      <c r="G420" s="32"/>
    </row>
    <row r="421" customFormat="false" ht="15" hidden="false" customHeight="false" outlineLevel="0" collapsed="false">
      <c r="A421" s="51"/>
      <c r="B421" s="38"/>
      <c r="C421" s="50"/>
      <c r="D421" s="71"/>
      <c r="E421" s="70" t="str">
        <f aca="false">IF($C421="","",IFERROR(INDEX('Ingredient Database'!$J:$J,MATCH($C421,'Ingredient Database'!$B:$B,0)),""))</f>
        <v/>
      </c>
      <c r="F421" s="70" t="str">
        <f aca="false">IF(OR($C421="",$D421=""),"",D421*E421)</f>
        <v/>
      </c>
      <c r="G421" s="32"/>
    </row>
    <row r="422" customFormat="false" ht="15" hidden="false" customHeight="false" outlineLevel="0" collapsed="false">
      <c r="A422" s="51"/>
      <c r="B422" s="38"/>
      <c r="C422" s="50"/>
      <c r="D422" s="71"/>
      <c r="E422" s="70" t="str">
        <f aca="false">IF($C422="","",IFERROR(INDEX('Ingredient Database'!$J:$J,MATCH($C422,'Ingredient Database'!$B:$B,0)),""))</f>
        <v/>
      </c>
      <c r="F422" s="70" t="str">
        <f aca="false">IF(OR($C422="",$D422=""),"",D422*E422)</f>
        <v/>
      </c>
      <c r="G422" s="32"/>
    </row>
    <row r="423" customFormat="false" ht="15" hidden="false" customHeight="false" outlineLevel="0" collapsed="false">
      <c r="A423" s="51"/>
      <c r="B423" s="38"/>
      <c r="C423" s="50"/>
      <c r="D423" s="71"/>
      <c r="E423" s="70" t="str">
        <f aca="false">IF($C423="","",IFERROR(INDEX('Ingredient Database'!$J:$J,MATCH($C423,'Ingredient Database'!$B:$B,0)),""))</f>
        <v/>
      </c>
      <c r="F423" s="70" t="str">
        <f aca="false">IF(OR($C423="",$D423=""),"",D423*E423)</f>
        <v/>
      </c>
      <c r="G423" s="32"/>
    </row>
    <row r="424" customFormat="false" ht="15" hidden="false" customHeight="false" outlineLevel="0" collapsed="false">
      <c r="A424" s="51"/>
      <c r="B424" s="38"/>
      <c r="C424" s="50"/>
      <c r="D424" s="71"/>
      <c r="E424" s="70" t="str">
        <f aca="false">IF($C424="","",IFERROR(INDEX('Ingredient Database'!$J:$J,MATCH($C424,'Ingredient Database'!$B:$B,0)),""))</f>
        <v/>
      </c>
      <c r="F424" s="70" t="str">
        <f aca="false">IF(OR($C424="",$D424=""),"",D424*E424)</f>
        <v/>
      </c>
      <c r="G424" s="32"/>
    </row>
    <row r="425" customFormat="false" ht="15" hidden="false" customHeight="false" outlineLevel="0" collapsed="false">
      <c r="A425" s="51"/>
      <c r="B425" s="38"/>
      <c r="C425" s="50"/>
      <c r="D425" s="71"/>
      <c r="E425" s="70" t="str">
        <f aca="false">IF($C425="","",IFERROR(INDEX('Ingredient Database'!$J:$J,MATCH($C425,'Ingredient Database'!$B:$B,0)),""))</f>
        <v/>
      </c>
      <c r="F425" s="70" t="str">
        <f aca="false">IF(OR($C425="",$D425=""),"",D425*E425)</f>
        <v/>
      </c>
      <c r="G425" s="32"/>
    </row>
    <row r="426" customFormat="false" ht="15" hidden="false" customHeight="false" outlineLevel="0" collapsed="false">
      <c r="A426" s="51"/>
      <c r="B426" s="38"/>
      <c r="C426" s="50"/>
      <c r="D426" s="71"/>
      <c r="E426" s="70" t="str">
        <f aca="false">IF($C426="","",IFERROR(INDEX('Ingredient Database'!$J:$J,MATCH($C426,'Ingredient Database'!$B:$B,0)),""))</f>
        <v/>
      </c>
      <c r="F426" s="70" t="str">
        <f aca="false">IF(OR($C426="",$D426=""),"",D426*E426)</f>
        <v/>
      </c>
      <c r="G426" s="32"/>
    </row>
    <row r="427" customFormat="false" ht="15" hidden="false" customHeight="false" outlineLevel="0" collapsed="false">
      <c r="A427" s="51"/>
      <c r="B427" s="38"/>
      <c r="C427" s="50"/>
      <c r="D427" s="71"/>
      <c r="E427" s="70" t="str">
        <f aca="false">IF($C427="","",IFERROR(INDEX('Ingredient Database'!$J:$J,MATCH($C427,'Ingredient Database'!$B:$B,0)),""))</f>
        <v/>
      </c>
      <c r="F427" s="70" t="str">
        <f aca="false">IF(OR($C427="",$D427=""),"",D427*E427)</f>
        <v/>
      </c>
      <c r="G427" s="32"/>
    </row>
    <row r="428" customFormat="false" ht="15" hidden="false" customHeight="false" outlineLevel="0" collapsed="false">
      <c r="A428" s="51"/>
      <c r="B428" s="38"/>
      <c r="C428" s="50"/>
      <c r="D428" s="71"/>
      <c r="E428" s="70" t="str">
        <f aca="false">IF($C428="","",IFERROR(INDEX('Ingredient Database'!$J:$J,MATCH($C428,'Ingredient Database'!$B:$B,0)),""))</f>
        <v/>
      </c>
      <c r="F428" s="70" t="str">
        <f aca="false">IF(OR($C428="",$D428=""),"",D428*E428)</f>
        <v/>
      </c>
      <c r="G428" s="32"/>
    </row>
    <row r="429" customFormat="false" ht="15" hidden="false" customHeight="false" outlineLevel="0" collapsed="false">
      <c r="A429" s="51"/>
      <c r="B429" s="38"/>
      <c r="C429" s="50"/>
      <c r="D429" s="71"/>
      <c r="E429" s="70" t="str">
        <f aca="false">IF($C429="","",IFERROR(INDEX('Ingredient Database'!$J:$J,MATCH($C429,'Ingredient Database'!$B:$B,0)),""))</f>
        <v/>
      </c>
      <c r="F429" s="70" t="str">
        <f aca="false">IF(OR($C429="",$D429=""),"",D429*E429)</f>
        <v/>
      </c>
      <c r="G429" s="32"/>
    </row>
    <row r="430" customFormat="false" ht="15" hidden="false" customHeight="false" outlineLevel="0" collapsed="false">
      <c r="A430" s="51"/>
      <c r="B430" s="38"/>
      <c r="C430" s="50"/>
      <c r="D430" s="71"/>
      <c r="E430" s="70" t="str">
        <f aca="false">IF($C430="","",IFERROR(INDEX('Ingredient Database'!$J:$J,MATCH($C430,'Ingredient Database'!$B:$B,0)),""))</f>
        <v/>
      </c>
      <c r="F430" s="70" t="str">
        <f aca="false">IF(OR($C430="",$D430=""),"",D430*E430)</f>
        <v/>
      </c>
      <c r="G430" s="32"/>
    </row>
    <row r="431" customFormat="false" ht="15" hidden="false" customHeight="false" outlineLevel="0" collapsed="false">
      <c r="A431" s="51"/>
      <c r="B431" s="38"/>
      <c r="C431" s="50"/>
      <c r="D431" s="71"/>
      <c r="E431" s="70" t="str">
        <f aca="false">IF($C431="","",IFERROR(INDEX('Ingredient Database'!$J:$J,MATCH($C431,'Ingredient Database'!$B:$B,0)),""))</f>
        <v/>
      </c>
      <c r="F431" s="70" t="str">
        <f aca="false">IF(OR($C431="",$D431=""),"",D431*E431)</f>
        <v/>
      </c>
      <c r="G431" s="32"/>
    </row>
    <row r="432" customFormat="false" ht="15" hidden="false" customHeight="false" outlineLevel="0" collapsed="false">
      <c r="A432" s="51"/>
      <c r="B432" s="38"/>
      <c r="C432" s="50"/>
      <c r="D432" s="71"/>
      <c r="E432" s="70" t="str">
        <f aca="false">IF($C432="","",IFERROR(INDEX('Ingredient Database'!$J:$J,MATCH($C432,'Ingredient Database'!$B:$B,0)),""))</f>
        <v/>
      </c>
      <c r="F432" s="70" t="str">
        <f aca="false">IF(OR($C432="",$D432=""),"",D432*E432)</f>
        <v/>
      </c>
      <c r="G432" s="32"/>
    </row>
    <row r="433" customFormat="false" ht="15" hidden="false" customHeight="false" outlineLevel="0" collapsed="false">
      <c r="A433" s="51"/>
      <c r="B433" s="38"/>
      <c r="C433" s="50"/>
      <c r="D433" s="71"/>
      <c r="E433" s="70" t="str">
        <f aca="false">IF($C433="","",IFERROR(INDEX('Ingredient Database'!$J:$J,MATCH($C433,'Ingredient Database'!$B:$B,0)),""))</f>
        <v/>
      </c>
      <c r="F433" s="70" t="str">
        <f aca="false">IF(OR($C433="",$D433=""),"",D433*E433)</f>
        <v/>
      </c>
      <c r="G433" s="32"/>
    </row>
    <row r="434" customFormat="false" ht="15" hidden="false" customHeight="false" outlineLevel="0" collapsed="false">
      <c r="A434" s="51"/>
      <c r="B434" s="38"/>
      <c r="C434" s="50"/>
      <c r="D434" s="71"/>
      <c r="E434" s="70" t="str">
        <f aca="false">IF($C434="","",IFERROR(INDEX('Ingredient Database'!$J:$J,MATCH($C434,'Ingredient Database'!$B:$B,0)),""))</f>
        <v/>
      </c>
      <c r="F434" s="70" t="str">
        <f aca="false">IF(OR($C434="",$D434=""),"",D434*E434)</f>
        <v/>
      </c>
      <c r="G434" s="32"/>
    </row>
    <row r="435" customFormat="false" ht="15" hidden="false" customHeight="false" outlineLevel="0" collapsed="false">
      <c r="A435" s="51"/>
      <c r="B435" s="38"/>
      <c r="C435" s="50"/>
      <c r="D435" s="71"/>
      <c r="E435" s="70" t="str">
        <f aca="false">IF($C435="","",IFERROR(INDEX('Ingredient Database'!$J:$J,MATCH($C435,'Ingredient Database'!$B:$B,0)),""))</f>
        <v/>
      </c>
      <c r="F435" s="70" t="str">
        <f aca="false">IF(OR($C435="",$D435=""),"",D435*E435)</f>
        <v/>
      </c>
      <c r="G435" s="32"/>
    </row>
    <row r="436" customFormat="false" ht="15" hidden="false" customHeight="false" outlineLevel="0" collapsed="false">
      <c r="A436" s="51"/>
      <c r="B436" s="38"/>
      <c r="C436" s="50"/>
      <c r="D436" s="71"/>
      <c r="E436" s="70" t="str">
        <f aca="false">IF($C436="","",IFERROR(INDEX('Ingredient Database'!$J:$J,MATCH($C436,'Ingredient Database'!$B:$B,0)),""))</f>
        <v/>
      </c>
      <c r="F436" s="70" t="str">
        <f aca="false">IF(OR($C436="",$D436=""),"",D436*E436)</f>
        <v/>
      </c>
      <c r="G436" s="32"/>
    </row>
    <row r="437" customFormat="false" ht="15" hidden="false" customHeight="false" outlineLevel="0" collapsed="false">
      <c r="A437" s="51"/>
      <c r="B437" s="38"/>
      <c r="C437" s="50"/>
      <c r="D437" s="71"/>
      <c r="E437" s="70" t="str">
        <f aca="false">IF($C437="","",IFERROR(INDEX('Ingredient Database'!$J:$J,MATCH($C437,'Ingredient Database'!$B:$B,0)),""))</f>
        <v/>
      </c>
      <c r="F437" s="70" t="str">
        <f aca="false">IF(OR($C437="",$D437=""),"",D437*E437)</f>
        <v/>
      </c>
      <c r="G437" s="32"/>
    </row>
    <row r="438" customFormat="false" ht="15" hidden="false" customHeight="false" outlineLevel="0" collapsed="false">
      <c r="A438" s="51"/>
      <c r="B438" s="38"/>
      <c r="C438" s="50"/>
      <c r="D438" s="71"/>
      <c r="E438" s="70" t="str">
        <f aca="false">IF($C438="","",IFERROR(INDEX('Ingredient Database'!$J:$J,MATCH($C438,'Ingredient Database'!$B:$B,0)),""))</f>
        <v/>
      </c>
      <c r="F438" s="70" t="str">
        <f aca="false">IF(OR($C438="",$D438=""),"",D438*E438)</f>
        <v/>
      </c>
      <c r="G438" s="32"/>
    </row>
    <row r="439" customFormat="false" ht="15" hidden="false" customHeight="false" outlineLevel="0" collapsed="false">
      <c r="A439" s="51"/>
      <c r="B439" s="38"/>
      <c r="C439" s="50"/>
      <c r="D439" s="71"/>
      <c r="E439" s="70" t="str">
        <f aca="false">IF($C439="","",IFERROR(INDEX('Ingredient Database'!$J:$J,MATCH($C439,'Ingredient Database'!$B:$B,0)),""))</f>
        <v/>
      </c>
      <c r="F439" s="70" t="str">
        <f aca="false">IF(OR($C439="",$D439=""),"",D439*E439)</f>
        <v/>
      </c>
      <c r="G439" s="32"/>
    </row>
    <row r="440" customFormat="false" ht="15" hidden="false" customHeight="false" outlineLevel="0" collapsed="false">
      <c r="A440" s="51"/>
      <c r="B440" s="38"/>
      <c r="C440" s="50"/>
      <c r="D440" s="71"/>
      <c r="E440" s="70" t="str">
        <f aca="false">IF($C440="","",IFERROR(INDEX('Ingredient Database'!$J:$J,MATCH($C440,'Ingredient Database'!$B:$B,0)),""))</f>
        <v/>
      </c>
      <c r="F440" s="70" t="str">
        <f aca="false">IF(OR($C440="",$D440=""),"",D440*E440)</f>
        <v/>
      </c>
      <c r="G440" s="32"/>
    </row>
    <row r="441" customFormat="false" ht="15" hidden="false" customHeight="false" outlineLevel="0" collapsed="false">
      <c r="A441" s="51"/>
      <c r="B441" s="38"/>
      <c r="C441" s="50"/>
      <c r="D441" s="71"/>
      <c r="E441" s="70" t="str">
        <f aca="false">IF($C441="","",IFERROR(INDEX('Ingredient Database'!$J:$J,MATCH($C441,'Ingredient Database'!$B:$B,0)),""))</f>
        <v/>
      </c>
      <c r="F441" s="70" t="str">
        <f aca="false">IF(OR($C441="",$D441=""),"",D441*E441)</f>
        <v/>
      </c>
      <c r="G441" s="32"/>
    </row>
    <row r="442" customFormat="false" ht="15" hidden="false" customHeight="false" outlineLevel="0" collapsed="false">
      <c r="A442" s="51"/>
      <c r="B442" s="38"/>
      <c r="C442" s="50"/>
      <c r="D442" s="71"/>
      <c r="E442" s="70" t="str">
        <f aca="false">IF($C442="","",IFERROR(INDEX('Ingredient Database'!$J:$J,MATCH($C442,'Ingredient Database'!$B:$B,0)),""))</f>
        <v/>
      </c>
      <c r="F442" s="70" t="str">
        <f aca="false">IF(OR($C442="",$D442=""),"",D442*E442)</f>
        <v/>
      </c>
      <c r="G442" s="32"/>
    </row>
    <row r="443" customFormat="false" ht="15" hidden="false" customHeight="false" outlineLevel="0" collapsed="false">
      <c r="A443" s="51"/>
      <c r="B443" s="38"/>
      <c r="C443" s="50"/>
      <c r="D443" s="71"/>
      <c r="E443" s="70" t="str">
        <f aca="false">IF($C443="","",IFERROR(INDEX('Ingredient Database'!$J:$J,MATCH($C443,'Ingredient Database'!$B:$B,0)),""))</f>
        <v/>
      </c>
      <c r="F443" s="70" t="str">
        <f aca="false">IF(OR($C443="",$D443=""),"",D443*E443)</f>
        <v/>
      </c>
      <c r="G443" s="32"/>
    </row>
    <row r="444" customFormat="false" ht="15" hidden="false" customHeight="false" outlineLevel="0" collapsed="false">
      <c r="A444" s="51"/>
      <c r="B444" s="38"/>
      <c r="C444" s="50"/>
      <c r="D444" s="71"/>
      <c r="E444" s="70" t="str">
        <f aca="false">IF($C444="","",IFERROR(INDEX('Ingredient Database'!$J:$J,MATCH($C444,'Ingredient Database'!$B:$B,0)),""))</f>
        <v/>
      </c>
      <c r="F444" s="70" t="str">
        <f aca="false">IF(OR($C444="",$D444=""),"",D444*E444)</f>
        <v/>
      </c>
      <c r="G444" s="32"/>
    </row>
    <row r="445" customFormat="false" ht="15" hidden="false" customHeight="false" outlineLevel="0" collapsed="false">
      <c r="A445" s="51"/>
      <c r="B445" s="38"/>
      <c r="C445" s="50"/>
      <c r="D445" s="71"/>
      <c r="E445" s="70" t="str">
        <f aca="false">IF($C445="","",IFERROR(INDEX('Ingredient Database'!$J:$J,MATCH($C445,'Ingredient Database'!$B:$B,0)),""))</f>
        <v/>
      </c>
      <c r="F445" s="70" t="str">
        <f aca="false">IF(OR($C445="",$D445=""),"",D445*E445)</f>
        <v/>
      </c>
      <c r="G445" s="32"/>
    </row>
    <row r="446" customFormat="false" ht="15" hidden="false" customHeight="false" outlineLevel="0" collapsed="false">
      <c r="A446" s="51"/>
      <c r="B446" s="38"/>
      <c r="C446" s="50"/>
      <c r="D446" s="71"/>
      <c r="E446" s="70" t="str">
        <f aca="false">IF($C446="","",IFERROR(INDEX('Ingredient Database'!$J:$J,MATCH($C446,'Ingredient Database'!$B:$B,0)),""))</f>
        <v/>
      </c>
      <c r="F446" s="70" t="str">
        <f aca="false">IF(OR($C446="",$D446=""),"",D446*E446)</f>
        <v/>
      </c>
      <c r="G446" s="32"/>
    </row>
    <row r="447" customFormat="false" ht="15" hidden="false" customHeight="false" outlineLevel="0" collapsed="false">
      <c r="A447" s="51"/>
      <c r="B447" s="38"/>
      <c r="C447" s="50"/>
      <c r="D447" s="71"/>
      <c r="E447" s="70" t="str">
        <f aca="false">IF($C447="","",IFERROR(INDEX('Ingredient Database'!$J:$J,MATCH($C447,'Ingredient Database'!$B:$B,0)),""))</f>
        <v/>
      </c>
      <c r="F447" s="70" t="str">
        <f aca="false">IF(OR($C447="",$D447=""),"",D447*E447)</f>
        <v/>
      </c>
      <c r="G447" s="32"/>
    </row>
    <row r="448" customFormat="false" ht="15" hidden="false" customHeight="false" outlineLevel="0" collapsed="false">
      <c r="A448" s="51"/>
      <c r="B448" s="38"/>
      <c r="C448" s="50"/>
      <c r="D448" s="71"/>
      <c r="E448" s="70" t="str">
        <f aca="false">IF($C448="","",IFERROR(INDEX('Ingredient Database'!$J:$J,MATCH($C448,'Ingredient Database'!$B:$B,0)),""))</f>
        <v/>
      </c>
      <c r="F448" s="70" t="str">
        <f aca="false">IF(OR($C448="",$D448=""),"",D448*E448)</f>
        <v/>
      </c>
      <c r="G448" s="32"/>
    </row>
    <row r="449" customFormat="false" ht="15" hidden="false" customHeight="false" outlineLevel="0" collapsed="false">
      <c r="A449" s="51"/>
      <c r="B449" s="38"/>
      <c r="C449" s="50"/>
      <c r="D449" s="71"/>
      <c r="E449" s="70" t="str">
        <f aca="false">IF($C449="","",IFERROR(INDEX('Ingredient Database'!$J:$J,MATCH($C449,'Ingredient Database'!$B:$B,0)),""))</f>
        <v/>
      </c>
      <c r="F449" s="70" t="str">
        <f aca="false">IF(OR($C449="",$D449=""),"",D449*E449)</f>
        <v/>
      </c>
      <c r="G449" s="32"/>
    </row>
    <row r="450" customFormat="false" ht="15" hidden="false" customHeight="false" outlineLevel="0" collapsed="false">
      <c r="A450" s="51"/>
      <c r="B450" s="38"/>
      <c r="C450" s="50"/>
      <c r="D450" s="71"/>
      <c r="E450" s="70" t="str">
        <f aca="false">IF($C450="","",IFERROR(INDEX('Ingredient Database'!$J:$J,MATCH($C450,'Ingredient Database'!$B:$B,0)),""))</f>
        <v/>
      </c>
      <c r="F450" s="70" t="str">
        <f aca="false">IF(OR($C450="",$D450=""),"",D450*E450)</f>
        <v/>
      </c>
      <c r="G450" s="32"/>
    </row>
    <row r="451" customFormat="false" ht="15" hidden="false" customHeight="false" outlineLevel="0" collapsed="false">
      <c r="A451" s="51"/>
      <c r="B451" s="38"/>
      <c r="C451" s="50"/>
      <c r="D451" s="71"/>
      <c r="E451" s="70" t="str">
        <f aca="false">IF($C451="","",IFERROR(INDEX('Ingredient Database'!$J:$J,MATCH($C451,'Ingredient Database'!$B:$B,0)),""))</f>
        <v/>
      </c>
      <c r="F451" s="70" t="str">
        <f aca="false">IF(OR($C451="",$D451=""),"",D451*E451)</f>
        <v/>
      </c>
      <c r="G451" s="32"/>
    </row>
    <row r="452" customFormat="false" ht="15" hidden="false" customHeight="false" outlineLevel="0" collapsed="false">
      <c r="A452" s="51"/>
      <c r="B452" s="38"/>
      <c r="C452" s="50"/>
      <c r="D452" s="71"/>
      <c r="E452" s="70" t="str">
        <f aca="false">IF($C452="","",IFERROR(INDEX('Ingredient Database'!$J:$J,MATCH($C452,'Ingredient Database'!$B:$B,0)),""))</f>
        <v/>
      </c>
      <c r="F452" s="70" t="str">
        <f aca="false">IF(OR($C452="",$D452=""),"",D452*E452)</f>
        <v/>
      </c>
      <c r="G452" s="32"/>
    </row>
    <row r="453" customFormat="false" ht="15" hidden="false" customHeight="false" outlineLevel="0" collapsed="false">
      <c r="A453" s="51"/>
      <c r="B453" s="38"/>
      <c r="C453" s="50"/>
      <c r="D453" s="71"/>
      <c r="E453" s="70" t="str">
        <f aca="false">IF($C453="","",IFERROR(INDEX('Ingredient Database'!$J:$J,MATCH($C453,'Ingredient Database'!$B:$B,0)),""))</f>
        <v/>
      </c>
      <c r="F453" s="70" t="str">
        <f aca="false">IF(OR($C453="",$D453=""),"",D453*E453)</f>
        <v/>
      </c>
      <c r="G453" s="32"/>
    </row>
    <row r="454" customFormat="false" ht="15" hidden="false" customHeight="false" outlineLevel="0" collapsed="false">
      <c r="A454" s="51"/>
      <c r="B454" s="38"/>
      <c r="C454" s="50"/>
      <c r="D454" s="71"/>
      <c r="E454" s="70" t="str">
        <f aca="false">IF($C454="","",IFERROR(INDEX('Ingredient Database'!$J:$J,MATCH($C454,'Ingredient Database'!$B:$B,0)),""))</f>
        <v/>
      </c>
      <c r="F454" s="70" t="str">
        <f aca="false">IF(OR($C454="",$D454=""),"",D454*E454)</f>
        <v/>
      </c>
      <c r="G454" s="32"/>
    </row>
    <row r="455" customFormat="false" ht="15" hidden="false" customHeight="false" outlineLevel="0" collapsed="false">
      <c r="A455" s="51"/>
      <c r="B455" s="38"/>
      <c r="C455" s="50"/>
      <c r="D455" s="71"/>
      <c r="E455" s="70" t="str">
        <f aca="false">IF($C455="","",IFERROR(INDEX('Ingredient Database'!$J:$J,MATCH($C455,'Ingredient Database'!$B:$B,0)),""))</f>
        <v/>
      </c>
      <c r="F455" s="70" t="str">
        <f aca="false">IF(OR($C455="",$D455=""),"",D455*E455)</f>
        <v/>
      </c>
      <c r="G455" s="32"/>
    </row>
    <row r="456" customFormat="false" ht="15" hidden="false" customHeight="false" outlineLevel="0" collapsed="false">
      <c r="A456" s="51"/>
      <c r="B456" s="38"/>
      <c r="C456" s="50"/>
      <c r="D456" s="71"/>
      <c r="E456" s="70" t="str">
        <f aca="false">IF($C456="","",IFERROR(INDEX('Ingredient Database'!$J:$J,MATCH($C456,'Ingredient Database'!$B:$B,0)),""))</f>
        <v/>
      </c>
      <c r="F456" s="70" t="str">
        <f aca="false">IF(OR($C456="",$D456=""),"",D456*E456)</f>
        <v/>
      </c>
      <c r="G456" s="32"/>
    </row>
    <row r="457" customFormat="false" ht="15" hidden="false" customHeight="false" outlineLevel="0" collapsed="false">
      <c r="A457" s="51"/>
      <c r="B457" s="38"/>
      <c r="C457" s="50"/>
      <c r="D457" s="71"/>
      <c r="E457" s="70" t="str">
        <f aca="false">IF($C457="","",IFERROR(INDEX('Ingredient Database'!$J:$J,MATCH($C457,'Ingredient Database'!$B:$B,0)),""))</f>
        <v/>
      </c>
      <c r="F457" s="70" t="str">
        <f aca="false">IF(OR($C457="",$D457=""),"",D457*E457)</f>
        <v/>
      </c>
      <c r="G457" s="32"/>
    </row>
    <row r="458" customFormat="false" ht="15" hidden="false" customHeight="false" outlineLevel="0" collapsed="false">
      <c r="A458" s="51"/>
      <c r="B458" s="38"/>
      <c r="C458" s="50"/>
      <c r="D458" s="71"/>
      <c r="E458" s="70" t="str">
        <f aca="false">IF($C458="","",IFERROR(INDEX('Ingredient Database'!$J:$J,MATCH($C458,'Ingredient Database'!$B:$B,0)),""))</f>
        <v/>
      </c>
      <c r="F458" s="70" t="str">
        <f aca="false">IF(OR($C458="",$D458=""),"",D458*E458)</f>
        <v/>
      </c>
      <c r="G458" s="32"/>
    </row>
    <row r="459" customFormat="false" ht="15" hidden="false" customHeight="false" outlineLevel="0" collapsed="false">
      <c r="A459" s="51"/>
      <c r="B459" s="38"/>
      <c r="C459" s="50"/>
      <c r="D459" s="71"/>
      <c r="E459" s="70" t="str">
        <f aca="false">IF($C459="","",IFERROR(INDEX('Ingredient Database'!$J:$J,MATCH($C459,'Ingredient Database'!$B:$B,0)),""))</f>
        <v/>
      </c>
      <c r="F459" s="70" t="str">
        <f aca="false">IF(OR($C459="",$D459=""),"",D459*E459)</f>
        <v/>
      </c>
      <c r="G459" s="32"/>
    </row>
    <row r="460" customFormat="false" ht="15" hidden="false" customHeight="false" outlineLevel="0" collapsed="false">
      <c r="A460" s="51"/>
      <c r="B460" s="38"/>
      <c r="C460" s="50"/>
      <c r="D460" s="71"/>
      <c r="E460" s="70" t="str">
        <f aca="false">IF($C460="","",IFERROR(INDEX('Ingredient Database'!$J:$J,MATCH($C460,'Ingredient Database'!$B:$B,0)),""))</f>
        <v/>
      </c>
      <c r="F460" s="70" t="str">
        <f aca="false">IF(OR($C460="",$D460=""),"",D460*E460)</f>
        <v/>
      </c>
      <c r="G460" s="32"/>
    </row>
    <row r="461" customFormat="false" ht="15" hidden="false" customHeight="false" outlineLevel="0" collapsed="false">
      <c r="A461" s="51"/>
      <c r="B461" s="38"/>
      <c r="C461" s="50"/>
      <c r="D461" s="71"/>
      <c r="E461" s="70" t="str">
        <f aca="false">IF($C461="","",IFERROR(INDEX('Ingredient Database'!$J:$J,MATCH($C461,'Ingredient Database'!$B:$B,0)),""))</f>
        <v/>
      </c>
      <c r="F461" s="70" t="str">
        <f aca="false">IF(OR($C461="",$D461=""),"",D461*E461)</f>
        <v/>
      </c>
      <c r="G461" s="32"/>
    </row>
    <row r="462" customFormat="false" ht="15" hidden="false" customHeight="false" outlineLevel="0" collapsed="false">
      <c r="A462" s="51"/>
      <c r="B462" s="38"/>
      <c r="C462" s="50"/>
      <c r="D462" s="71"/>
      <c r="E462" s="70" t="str">
        <f aca="false">IF($C462="","",IFERROR(INDEX('Ingredient Database'!$J:$J,MATCH($C462,'Ingredient Database'!$B:$B,0)),""))</f>
        <v/>
      </c>
      <c r="F462" s="70" t="str">
        <f aca="false">IF(OR($C462="",$D462=""),"",D462*E462)</f>
        <v/>
      </c>
      <c r="G462" s="32"/>
    </row>
    <row r="463" customFormat="false" ht="15" hidden="false" customHeight="false" outlineLevel="0" collapsed="false">
      <c r="A463" s="51"/>
      <c r="B463" s="38"/>
      <c r="C463" s="50"/>
      <c r="D463" s="71"/>
      <c r="E463" s="70" t="str">
        <f aca="false">IF($C463="","",IFERROR(INDEX('Ingredient Database'!$J:$J,MATCH($C463,'Ingredient Database'!$B:$B,0)),""))</f>
        <v/>
      </c>
      <c r="F463" s="70" t="str">
        <f aca="false">IF(OR($C463="",$D463=""),"",D463*E463)</f>
        <v/>
      </c>
      <c r="G463" s="32"/>
    </row>
    <row r="464" customFormat="false" ht="15" hidden="false" customHeight="false" outlineLevel="0" collapsed="false">
      <c r="A464" s="51"/>
      <c r="B464" s="38"/>
      <c r="C464" s="50"/>
      <c r="D464" s="71"/>
      <c r="E464" s="70" t="str">
        <f aca="false">IF($C464="","",IFERROR(INDEX('Ingredient Database'!$J:$J,MATCH($C464,'Ingredient Database'!$B:$B,0)),""))</f>
        <v/>
      </c>
      <c r="F464" s="70" t="str">
        <f aca="false">IF(OR($C464="",$D464=""),"",D464*E464)</f>
        <v/>
      </c>
      <c r="G464" s="32"/>
    </row>
    <row r="465" customFormat="false" ht="15" hidden="false" customHeight="false" outlineLevel="0" collapsed="false">
      <c r="A465" s="51"/>
      <c r="B465" s="38"/>
      <c r="C465" s="50"/>
      <c r="D465" s="71"/>
      <c r="E465" s="70" t="str">
        <f aca="false">IF($C465="","",IFERROR(INDEX('Ingredient Database'!$J:$J,MATCH($C465,'Ingredient Database'!$B:$B,0)),""))</f>
        <v/>
      </c>
      <c r="F465" s="70" t="str">
        <f aca="false">IF(OR($C465="",$D465=""),"",D465*E465)</f>
        <v/>
      </c>
      <c r="G465" s="32"/>
    </row>
    <row r="466" customFormat="false" ht="15" hidden="false" customHeight="false" outlineLevel="0" collapsed="false">
      <c r="A466" s="51"/>
      <c r="B466" s="38"/>
      <c r="C466" s="50"/>
      <c r="D466" s="71"/>
      <c r="E466" s="70" t="str">
        <f aca="false">IF($C466="","",IFERROR(INDEX('Ingredient Database'!$J:$J,MATCH($C466,'Ingredient Database'!$B:$B,0)),""))</f>
        <v/>
      </c>
      <c r="F466" s="70" t="str">
        <f aca="false">IF(OR($C466="",$D466=""),"",D466*E466)</f>
        <v/>
      </c>
      <c r="G466" s="32"/>
    </row>
    <row r="467" customFormat="false" ht="15" hidden="false" customHeight="false" outlineLevel="0" collapsed="false">
      <c r="A467" s="51"/>
      <c r="B467" s="38"/>
      <c r="C467" s="50"/>
      <c r="D467" s="71"/>
      <c r="E467" s="70" t="str">
        <f aca="false">IF($C467="","",IFERROR(INDEX('Ingredient Database'!$J:$J,MATCH($C467,'Ingredient Database'!$B:$B,0)),""))</f>
        <v/>
      </c>
      <c r="F467" s="70" t="str">
        <f aca="false">IF(OR($C467="",$D467=""),"",D467*E467)</f>
        <v/>
      </c>
      <c r="G467" s="32"/>
    </row>
    <row r="468" customFormat="false" ht="15" hidden="false" customHeight="false" outlineLevel="0" collapsed="false">
      <c r="A468" s="51"/>
      <c r="B468" s="38"/>
      <c r="C468" s="50"/>
      <c r="D468" s="71"/>
      <c r="E468" s="70" t="str">
        <f aca="false">IF($C468="","",IFERROR(INDEX('Ingredient Database'!$J:$J,MATCH($C468,'Ingredient Database'!$B:$B,0)),""))</f>
        <v/>
      </c>
      <c r="F468" s="70" t="str">
        <f aca="false">IF(OR($C468="",$D468=""),"",D468*E468)</f>
        <v/>
      </c>
      <c r="G468" s="32"/>
    </row>
    <row r="469" customFormat="false" ht="15" hidden="false" customHeight="false" outlineLevel="0" collapsed="false">
      <c r="A469" s="51"/>
      <c r="B469" s="38"/>
      <c r="C469" s="50"/>
      <c r="D469" s="71"/>
      <c r="E469" s="70" t="str">
        <f aca="false">IF($C469="","",IFERROR(INDEX('Ingredient Database'!$J:$J,MATCH($C469,'Ingredient Database'!$B:$B,0)),""))</f>
        <v/>
      </c>
      <c r="F469" s="70" t="str">
        <f aca="false">IF(OR($C469="",$D469=""),"",D469*E469)</f>
        <v/>
      </c>
      <c r="G469" s="32"/>
    </row>
    <row r="470" customFormat="false" ht="15" hidden="false" customHeight="false" outlineLevel="0" collapsed="false">
      <c r="A470" s="51"/>
      <c r="B470" s="38"/>
      <c r="C470" s="50"/>
      <c r="D470" s="71"/>
      <c r="E470" s="70" t="str">
        <f aca="false">IF($C470="","",IFERROR(INDEX('Ingredient Database'!$J:$J,MATCH($C470,'Ingredient Database'!$B:$B,0)),""))</f>
        <v/>
      </c>
      <c r="F470" s="70" t="str">
        <f aca="false">IF(OR($C470="",$D470=""),"",D470*E470)</f>
        <v/>
      </c>
      <c r="G470" s="32"/>
    </row>
    <row r="471" customFormat="false" ht="15" hidden="false" customHeight="false" outlineLevel="0" collapsed="false">
      <c r="A471" s="51"/>
      <c r="B471" s="38"/>
      <c r="C471" s="50"/>
      <c r="D471" s="71"/>
      <c r="E471" s="70" t="str">
        <f aca="false">IF($C471="","",IFERROR(INDEX('Ingredient Database'!$J:$J,MATCH($C471,'Ingredient Database'!$B:$B,0)),""))</f>
        <v/>
      </c>
      <c r="F471" s="70" t="str">
        <f aca="false">IF(OR($C471="",$D471=""),"",D471*E471)</f>
        <v/>
      </c>
      <c r="G471" s="32"/>
    </row>
    <row r="472" customFormat="false" ht="15" hidden="false" customHeight="false" outlineLevel="0" collapsed="false">
      <c r="A472" s="51"/>
      <c r="B472" s="38"/>
      <c r="C472" s="50"/>
      <c r="D472" s="71"/>
      <c r="E472" s="70" t="str">
        <f aca="false">IF($C472="","",IFERROR(INDEX('Ingredient Database'!$J:$J,MATCH($C472,'Ingredient Database'!$B:$B,0)),""))</f>
        <v/>
      </c>
      <c r="F472" s="70" t="str">
        <f aca="false">IF(OR($C472="",$D472=""),"",D472*E472)</f>
        <v/>
      </c>
      <c r="G472" s="32"/>
    </row>
    <row r="473" customFormat="false" ht="15" hidden="false" customHeight="false" outlineLevel="0" collapsed="false">
      <c r="A473" s="51"/>
      <c r="B473" s="38"/>
      <c r="C473" s="50"/>
      <c r="D473" s="71"/>
      <c r="E473" s="70" t="str">
        <f aca="false">IF($C473="","",IFERROR(INDEX('Ingredient Database'!$J:$J,MATCH($C473,'Ingredient Database'!$B:$B,0)),""))</f>
        <v/>
      </c>
      <c r="F473" s="70" t="str">
        <f aca="false">IF(OR($C473="",$D473=""),"",D473*E473)</f>
        <v/>
      </c>
      <c r="G473" s="32"/>
    </row>
    <row r="474" customFormat="false" ht="15" hidden="false" customHeight="false" outlineLevel="0" collapsed="false">
      <c r="A474" s="51"/>
      <c r="B474" s="38"/>
      <c r="C474" s="50"/>
      <c r="D474" s="71"/>
      <c r="E474" s="70" t="str">
        <f aca="false">IF($C474="","",IFERROR(INDEX('Ingredient Database'!$J:$J,MATCH($C474,'Ingredient Database'!$B:$B,0)),""))</f>
        <v/>
      </c>
      <c r="F474" s="70" t="str">
        <f aca="false">IF(OR($C474="",$D474=""),"",D474*E474)</f>
        <v/>
      </c>
      <c r="G474" s="32"/>
    </row>
    <row r="475" customFormat="false" ht="15" hidden="false" customHeight="false" outlineLevel="0" collapsed="false">
      <c r="A475" s="51"/>
      <c r="B475" s="38"/>
      <c r="C475" s="50"/>
      <c r="D475" s="71"/>
      <c r="E475" s="70" t="str">
        <f aca="false">IF($C475="","",IFERROR(INDEX('Ingredient Database'!$J:$J,MATCH($C475,'Ingredient Database'!$B:$B,0)),""))</f>
        <v/>
      </c>
      <c r="F475" s="70" t="str">
        <f aca="false">IF(OR($C475="",$D475=""),"",D475*E475)</f>
        <v/>
      </c>
      <c r="G475" s="32"/>
    </row>
    <row r="476" customFormat="false" ht="15" hidden="false" customHeight="false" outlineLevel="0" collapsed="false">
      <c r="A476" s="51"/>
      <c r="B476" s="38"/>
      <c r="C476" s="50"/>
      <c r="D476" s="71"/>
      <c r="E476" s="70" t="str">
        <f aca="false">IF($C476="","",IFERROR(INDEX('Ingredient Database'!$J:$J,MATCH($C476,'Ingredient Database'!$B:$B,0)),""))</f>
        <v/>
      </c>
      <c r="F476" s="70" t="str">
        <f aca="false">IF(OR($C476="",$D476=""),"",D476*E476)</f>
        <v/>
      </c>
      <c r="G476" s="32"/>
    </row>
    <row r="477" customFormat="false" ht="15" hidden="false" customHeight="false" outlineLevel="0" collapsed="false">
      <c r="A477" s="51"/>
      <c r="B477" s="38"/>
      <c r="C477" s="50"/>
      <c r="D477" s="71"/>
      <c r="E477" s="70" t="str">
        <f aca="false">IF($C477="","",IFERROR(INDEX('Ingredient Database'!$J:$J,MATCH($C477,'Ingredient Database'!$B:$B,0)),""))</f>
        <v/>
      </c>
      <c r="F477" s="70" t="str">
        <f aca="false">IF(OR($C477="",$D477=""),"",D477*E477)</f>
        <v/>
      </c>
      <c r="G477" s="32"/>
    </row>
    <row r="478" customFormat="false" ht="15" hidden="false" customHeight="false" outlineLevel="0" collapsed="false">
      <c r="A478" s="51"/>
      <c r="B478" s="38"/>
      <c r="C478" s="50"/>
      <c r="D478" s="71"/>
      <c r="E478" s="70" t="str">
        <f aca="false">IF($C478="","",IFERROR(INDEX('Ingredient Database'!$J:$J,MATCH($C478,'Ingredient Database'!$B:$B,0)),""))</f>
        <v/>
      </c>
      <c r="F478" s="70" t="str">
        <f aca="false">IF(OR($C478="",$D478=""),"",D478*E478)</f>
        <v/>
      </c>
      <c r="G478" s="32"/>
    </row>
    <row r="479" customFormat="false" ht="15" hidden="false" customHeight="false" outlineLevel="0" collapsed="false">
      <c r="A479" s="51"/>
      <c r="B479" s="38"/>
      <c r="C479" s="50"/>
      <c r="D479" s="71"/>
      <c r="E479" s="70" t="str">
        <f aca="false">IF($C479="","",IFERROR(INDEX('Ingredient Database'!$J:$J,MATCH($C479,'Ingredient Database'!$B:$B,0)),""))</f>
        <v/>
      </c>
      <c r="F479" s="70" t="str">
        <f aca="false">IF(OR($C479="",$D479=""),"",D479*E479)</f>
        <v/>
      </c>
      <c r="G479" s="32"/>
    </row>
    <row r="480" customFormat="false" ht="15" hidden="false" customHeight="false" outlineLevel="0" collapsed="false">
      <c r="A480" s="51"/>
      <c r="B480" s="38"/>
      <c r="C480" s="50"/>
      <c r="D480" s="71"/>
      <c r="E480" s="70" t="str">
        <f aca="false">IF($C480="","",IFERROR(INDEX('Ingredient Database'!$J:$J,MATCH($C480,'Ingredient Database'!$B:$B,0)),""))</f>
        <v/>
      </c>
      <c r="F480" s="70" t="str">
        <f aca="false">IF(OR($C480="",$D480=""),"",D480*E480)</f>
        <v/>
      </c>
      <c r="G480" s="32"/>
    </row>
    <row r="481" customFormat="false" ht="15" hidden="false" customHeight="false" outlineLevel="0" collapsed="false">
      <c r="A481" s="51"/>
      <c r="B481" s="38"/>
      <c r="C481" s="50"/>
      <c r="D481" s="71"/>
      <c r="E481" s="70" t="str">
        <f aca="false">IF($C481="","",IFERROR(INDEX('Ingredient Database'!$J:$J,MATCH($C481,'Ingredient Database'!$B:$B,0)),""))</f>
        <v/>
      </c>
      <c r="F481" s="70" t="str">
        <f aca="false">IF(OR($C481="",$D481=""),"",D481*E481)</f>
        <v/>
      </c>
      <c r="G481" s="32"/>
    </row>
    <row r="482" customFormat="false" ht="15" hidden="false" customHeight="false" outlineLevel="0" collapsed="false">
      <c r="A482" s="51"/>
      <c r="B482" s="38"/>
      <c r="C482" s="50"/>
      <c r="D482" s="71"/>
      <c r="E482" s="70" t="str">
        <f aca="false">IF($C482="","",IFERROR(INDEX('Ingredient Database'!$J:$J,MATCH($C482,'Ingredient Database'!$B:$B,0)),""))</f>
        <v/>
      </c>
      <c r="F482" s="70" t="str">
        <f aca="false">IF(OR($C482="",$D482=""),"",D482*E482)</f>
        <v/>
      </c>
      <c r="G482" s="32"/>
    </row>
    <row r="483" customFormat="false" ht="15" hidden="false" customHeight="false" outlineLevel="0" collapsed="false">
      <c r="A483" s="51"/>
      <c r="B483" s="38"/>
      <c r="C483" s="50"/>
      <c r="D483" s="71"/>
      <c r="E483" s="70" t="str">
        <f aca="false">IF($C483="","",IFERROR(INDEX('Ingredient Database'!$J:$J,MATCH($C483,'Ingredient Database'!$B:$B,0)),""))</f>
        <v/>
      </c>
      <c r="F483" s="70" t="str">
        <f aca="false">IF(OR($C483="",$D483=""),"",D483*E483)</f>
        <v/>
      </c>
      <c r="G483" s="32"/>
    </row>
    <row r="484" customFormat="false" ht="15" hidden="false" customHeight="false" outlineLevel="0" collapsed="false">
      <c r="A484" s="51"/>
      <c r="B484" s="38"/>
      <c r="C484" s="50"/>
      <c r="D484" s="71"/>
      <c r="E484" s="70" t="str">
        <f aca="false">IF($C484="","",IFERROR(INDEX('Ingredient Database'!$J:$J,MATCH($C484,'Ingredient Database'!$B:$B,0)),""))</f>
        <v/>
      </c>
      <c r="F484" s="70" t="str">
        <f aca="false">IF(OR($C484="",$D484=""),"",D484*E484)</f>
        <v/>
      </c>
      <c r="G484" s="32"/>
    </row>
    <row r="485" customFormat="false" ht="15" hidden="false" customHeight="false" outlineLevel="0" collapsed="false">
      <c r="A485" s="51"/>
      <c r="B485" s="38"/>
      <c r="C485" s="50"/>
      <c r="D485" s="71"/>
      <c r="E485" s="70" t="str">
        <f aca="false">IF($C485="","",IFERROR(INDEX('Ingredient Database'!$J:$J,MATCH($C485,'Ingredient Database'!$B:$B,0)),""))</f>
        <v/>
      </c>
      <c r="F485" s="70" t="str">
        <f aca="false">IF(OR($C485="",$D485=""),"",D485*E485)</f>
        <v/>
      </c>
      <c r="G485" s="32"/>
    </row>
    <row r="486" customFormat="false" ht="15" hidden="false" customHeight="false" outlineLevel="0" collapsed="false">
      <c r="A486" s="51"/>
      <c r="B486" s="38"/>
      <c r="C486" s="50"/>
      <c r="D486" s="71"/>
      <c r="E486" s="70" t="str">
        <f aca="false">IF($C486="","",IFERROR(INDEX('Ingredient Database'!$J:$J,MATCH($C486,'Ingredient Database'!$B:$B,0)),""))</f>
        <v/>
      </c>
      <c r="F486" s="70" t="str">
        <f aca="false">IF(OR($C486="",$D486=""),"",D486*E486)</f>
        <v/>
      </c>
      <c r="G486" s="32"/>
    </row>
    <row r="487" customFormat="false" ht="15" hidden="false" customHeight="false" outlineLevel="0" collapsed="false">
      <c r="A487" s="51"/>
      <c r="B487" s="38"/>
      <c r="C487" s="50"/>
      <c r="D487" s="71"/>
      <c r="E487" s="70" t="str">
        <f aca="false">IF($C487="","",IFERROR(INDEX('Ingredient Database'!$J:$J,MATCH($C487,'Ingredient Database'!$B:$B,0)),""))</f>
        <v/>
      </c>
      <c r="F487" s="70" t="str">
        <f aca="false">IF(OR($C487="",$D487=""),"",D487*E487)</f>
        <v/>
      </c>
      <c r="G487" s="32"/>
    </row>
    <row r="488" customFormat="false" ht="15" hidden="false" customHeight="false" outlineLevel="0" collapsed="false">
      <c r="A488" s="51"/>
      <c r="B488" s="38"/>
      <c r="C488" s="50"/>
      <c r="D488" s="71"/>
      <c r="E488" s="70" t="str">
        <f aca="false">IF($C488="","",IFERROR(INDEX('Ingredient Database'!$J:$J,MATCH($C488,'Ingredient Database'!$B:$B,0)),""))</f>
        <v/>
      </c>
      <c r="F488" s="70" t="str">
        <f aca="false">IF(OR($C488="",$D488=""),"",D488*E488)</f>
        <v/>
      </c>
      <c r="G488" s="32"/>
    </row>
    <row r="489" customFormat="false" ht="15" hidden="false" customHeight="false" outlineLevel="0" collapsed="false">
      <c r="A489" s="51"/>
      <c r="B489" s="38"/>
      <c r="C489" s="50"/>
      <c r="D489" s="71"/>
      <c r="E489" s="70" t="str">
        <f aca="false">IF($C489="","",IFERROR(INDEX('Ingredient Database'!$J:$J,MATCH($C489,'Ingredient Database'!$B:$B,0)),""))</f>
        <v/>
      </c>
      <c r="F489" s="70" t="str">
        <f aca="false">IF(OR($C489="",$D489=""),"",D489*E489)</f>
        <v/>
      </c>
      <c r="G489" s="32"/>
    </row>
    <row r="490" customFormat="false" ht="15" hidden="false" customHeight="false" outlineLevel="0" collapsed="false">
      <c r="A490" s="51"/>
      <c r="B490" s="38"/>
      <c r="C490" s="50"/>
      <c r="D490" s="71"/>
      <c r="E490" s="70" t="str">
        <f aca="false">IF($C490="","",IFERROR(INDEX('Ingredient Database'!$J:$J,MATCH($C490,'Ingredient Database'!$B:$B,0)),""))</f>
        <v/>
      </c>
      <c r="F490" s="70" t="str">
        <f aca="false">IF(OR($C490="",$D490=""),"",D490*E490)</f>
        <v/>
      </c>
      <c r="G490" s="32"/>
    </row>
    <row r="491" customFormat="false" ht="15" hidden="false" customHeight="false" outlineLevel="0" collapsed="false">
      <c r="A491" s="51"/>
      <c r="B491" s="38"/>
      <c r="C491" s="50"/>
      <c r="D491" s="71"/>
      <c r="E491" s="70" t="str">
        <f aca="false">IF($C491="","",IFERROR(INDEX('Ingredient Database'!$J:$J,MATCH($C491,'Ingredient Database'!$B:$B,0)),""))</f>
        <v/>
      </c>
      <c r="F491" s="70" t="str">
        <f aca="false">IF(OR($C491="",$D491=""),"",D491*E491)</f>
        <v/>
      </c>
      <c r="G491" s="32"/>
    </row>
    <row r="492" customFormat="false" ht="15" hidden="false" customHeight="false" outlineLevel="0" collapsed="false">
      <c r="A492" s="51"/>
      <c r="B492" s="38"/>
      <c r="C492" s="50"/>
      <c r="D492" s="71"/>
      <c r="E492" s="70" t="str">
        <f aca="false">IF($C492="","",IFERROR(INDEX('Ingredient Database'!$J:$J,MATCH($C492,'Ingredient Database'!$B:$B,0)),""))</f>
        <v/>
      </c>
      <c r="F492" s="70" t="str">
        <f aca="false">IF(OR($C492="",$D492=""),"",D492*E492)</f>
        <v/>
      </c>
      <c r="G492" s="32"/>
    </row>
    <row r="493" customFormat="false" ht="15" hidden="false" customHeight="false" outlineLevel="0" collapsed="false">
      <c r="A493" s="51"/>
      <c r="B493" s="38"/>
      <c r="C493" s="50"/>
      <c r="D493" s="71"/>
      <c r="E493" s="70" t="str">
        <f aca="false">IF($C493="","",IFERROR(INDEX('Ingredient Database'!$J:$J,MATCH($C493,'Ingredient Database'!$B:$B,0)),""))</f>
        <v/>
      </c>
      <c r="F493" s="70" t="str">
        <f aca="false">IF(OR($C493="",$D493=""),"",D493*E493)</f>
        <v/>
      </c>
      <c r="G493" s="32"/>
    </row>
    <row r="494" customFormat="false" ht="15" hidden="false" customHeight="false" outlineLevel="0" collapsed="false">
      <c r="A494" s="51"/>
      <c r="B494" s="38"/>
      <c r="C494" s="50"/>
      <c r="D494" s="71"/>
      <c r="E494" s="70" t="str">
        <f aca="false">IF($C494="","",IFERROR(INDEX('Ingredient Database'!$J:$J,MATCH($C494,'Ingredient Database'!$B:$B,0)),""))</f>
        <v/>
      </c>
      <c r="F494" s="70" t="str">
        <f aca="false">IF(OR($C494="",$D494=""),"",D494*E494)</f>
        <v/>
      </c>
      <c r="G494" s="32"/>
    </row>
    <row r="495" customFormat="false" ht="15" hidden="false" customHeight="false" outlineLevel="0" collapsed="false">
      <c r="A495" s="51"/>
      <c r="B495" s="38"/>
      <c r="C495" s="50"/>
      <c r="D495" s="71"/>
      <c r="E495" s="70" t="str">
        <f aca="false">IF($C495="","",IFERROR(INDEX('Ingredient Database'!$J:$J,MATCH($C495,'Ingredient Database'!$B:$B,0)),""))</f>
        <v/>
      </c>
      <c r="F495" s="70" t="str">
        <f aca="false">IF(OR($C495="",$D495=""),"",D495*E495)</f>
        <v/>
      </c>
      <c r="G495" s="32"/>
    </row>
    <row r="496" customFormat="false" ht="15" hidden="false" customHeight="false" outlineLevel="0" collapsed="false">
      <c r="A496" s="51"/>
      <c r="B496" s="38"/>
      <c r="C496" s="50"/>
      <c r="D496" s="71"/>
      <c r="E496" s="70" t="str">
        <f aca="false">IF($C496="","",IFERROR(INDEX('Ingredient Database'!$J:$J,MATCH($C496,'Ingredient Database'!$B:$B,0)),""))</f>
        <v/>
      </c>
      <c r="F496" s="70" t="str">
        <f aca="false">IF(OR($C496="",$D496=""),"",D496*E496)</f>
        <v/>
      </c>
      <c r="G496" s="32"/>
    </row>
    <row r="497" customFormat="false" ht="15" hidden="false" customHeight="false" outlineLevel="0" collapsed="false">
      <c r="A497" s="51"/>
      <c r="B497" s="38"/>
      <c r="C497" s="50"/>
      <c r="D497" s="71"/>
      <c r="E497" s="70" t="str">
        <f aca="false">IF($C497="","",IFERROR(INDEX('Ingredient Database'!$J:$J,MATCH($C497,'Ingredient Database'!$B:$B,0)),""))</f>
        <v/>
      </c>
      <c r="F497" s="70" t="str">
        <f aca="false">IF(OR($C497="",$D497=""),"",D497*E497)</f>
        <v/>
      </c>
      <c r="G497" s="32"/>
    </row>
    <row r="498" customFormat="false" ht="15" hidden="false" customHeight="false" outlineLevel="0" collapsed="false">
      <c r="A498" s="51"/>
      <c r="B498" s="38"/>
      <c r="C498" s="50"/>
      <c r="D498" s="71"/>
      <c r="E498" s="70" t="str">
        <f aca="false">IF($C498="","",IFERROR(INDEX('Ingredient Database'!$J:$J,MATCH($C498,'Ingredient Database'!$B:$B,0)),""))</f>
        <v/>
      </c>
      <c r="F498" s="70" t="str">
        <f aca="false">IF(OR($C498="",$D498=""),"",D498*E498)</f>
        <v/>
      </c>
      <c r="G498" s="32"/>
    </row>
    <row r="499" customFormat="false" ht="15" hidden="false" customHeight="false" outlineLevel="0" collapsed="false">
      <c r="A499" s="51"/>
      <c r="B499" s="38"/>
      <c r="C499" s="50"/>
      <c r="D499" s="71"/>
      <c r="E499" s="70" t="str">
        <f aca="false">IF($C499="","",IFERROR(INDEX('Ingredient Database'!$J:$J,MATCH($C499,'Ingredient Database'!$B:$B,0)),""))</f>
        <v/>
      </c>
      <c r="F499" s="70" t="str">
        <f aca="false">IF(OR($C499="",$D499=""),"",D499*E499)</f>
        <v/>
      </c>
      <c r="G499" s="32"/>
    </row>
    <row r="500" customFormat="false" ht="15" hidden="false" customHeight="false" outlineLevel="0" collapsed="false">
      <c r="A500" s="51"/>
      <c r="B500" s="38"/>
      <c r="C500" s="50"/>
      <c r="D500" s="71"/>
      <c r="E500" s="70" t="str">
        <f aca="false">IF($C500="","",IFERROR(INDEX('Ingredient Database'!$J:$J,MATCH($C500,'Ingredient Database'!$B:$B,0)),""))</f>
        <v/>
      </c>
      <c r="F500" s="70" t="str">
        <f aca="false">IF(OR($C500="",$D500=""),"",D500*E500)</f>
        <v/>
      </c>
      <c r="G500" s="32"/>
    </row>
    <row r="501" customFormat="false" ht="15" hidden="false" customHeight="false" outlineLevel="0" collapsed="false">
      <c r="A501" s="51"/>
      <c r="B501" s="38"/>
      <c r="C501" s="50"/>
      <c r="D501" s="71"/>
      <c r="E501" s="70" t="str">
        <f aca="false">IF($C501="","",IFERROR(INDEX('Ingredient Database'!$J:$J,MATCH($C501,'Ingredient Database'!$B:$B,0)),""))</f>
        <v/>
      </c>
      <c r="F501" s="70" t="str">
        <f aca="false">IF(OR($C501="",$D501=""),"",D501*E501)</f>
        <v/>
      </c>
      <c r="G501" s="32"/>
    </row>
    <row r="502" customFormat="false" ht="15" hidden="false" customHeight="false" outlineLevel="0" collapsed="false">
      <c r="A502" s="51"/>
      <c r="B502" s="38"/>
      <c r="C502" s="50"/>
      <c r="D502" s="71"/>
      <c r="E502" s="70" t="str">
        <f aca="false">IF($C502="","",IFERROR(INDEX('Ingredient Database'!$J:$J,MATCH($C502,'Ingredient Database'!$B:$B,0)),""))</f>
        <v/>
      </c>
      <c r="F502" s="70" t="str">
        <f aca="false">IF(OR($C502="",$D502=""),"",D502*E502)</f>
        <v/>
      </c>
      <c r="G502" s="32"/>
    </row>
    <row r="503" customFormat="false" ht="15" hidden="false" customHeight="false" outlineLevel="0" collapsed="false">
      <c r="A503" s="51"/>
      <c r="B503" s="38"/>
      <c r="C503" s="50"/>
      <c r="D503" s="71"/>
      <c r="E503" s="70" t="str">
        <f aca="false">IF($C503="","",IFERROR(INDEX('Ingredient Database'!$J:$J,MATCH($C503,'Ingredient Database'!$B:$B,0)),""))</f>
        <v/>
      </c>
      <c r="F503" s="70" t="str">
        <f aca="false">IF(OR($C503="",$D503=""),"",D503*E503)</f>
        <v/>
      </c>
      <c r="G503" s="32"/>
    </row>
  </sheetData>
  <mergeCells count="3">
    <mergeCell ref="A1:G1"/>
    <mergeCell ref="I3:J3"/>
    <mergeCell ref="I6:J6"/>
  </mergeCells>
  <dataValidations count="1">
    <dataValidation allowBlank="true" errorStyle="stop" operator="between" showDropDown="false" showErrorMessage="false" showInputMessage="false" sqref="C4:C503" type="list">
      <formula1>'Ingredient Database'!$B$4:$B$59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30" t="s">
        <v>376</v>
      </c>
      <c r="B1" s="30"/>
      <c r="C1" s="30"/>
      <c r="D1" s="30"/>
      <c r="E1" s="30"/>
      <c r="F1" s="30"/>
      <c r="G1" s="30"/>
    </row>
    <row r="3" customFormat="false" ht="26.85" hidden="false" customHeight="false" outlineLevel="0" collapsed="false">
      <c r="A3" s="31" t="s">
        <v>365</v>
      </c>
      <c r="B3" s="31" t="s">
        <v>377</v>
      </c>
      <c r="C3" s="31" t="s">
        <v>378</v>
      </c>
      <c r="D3" s="31" t="s">
        <v>379</v>
      </c>
      <c r="E3" s="31" t="s">
        <v>380</v>
      </c>
      <c r="F3" s="31" t="s">
        <v>381</v>
      </c>
      <c r="G3" s="31" t="s">
        <v>212</v>
      </c>
    </row>
    <row r="4" customFormat="false" ht="15" hidden="false" customHeight="false" outlineLevel="0" collapsed="false">
      <c r="A4" s="45" t="str">
        <f aca="false">'Ingredient Database'!B4</f>
        <v>Maize Grain (Crushed)</v>
      </c>
      <c r="B4" s="62"/>
      <c r="C4" s="53" t="n">
        <f aca="false">SUMIFS('Feed Purchase Log'!$D$5:$D$204,'Feed Purchase Log'!$C$5:$C$204,A4)</f>
        <v>50</v>
      </c>
      <c r="D4" s="53" t="n">
        <f aca="false">SUMIF('Cost Tracker'!$C$4:$C$503,A4,'Cost Tracker'!$D$4:$D$503)</f>
        <v>2.5</v>
      </c>
      <c r="E4" s="74" t="n">
        <f aca="false">B4+C4-D4</f>
        <v>47.5</v>
      </c>
      <c r="F4" s="62"/>
      <c r="G4" s="47" t="str">
        <f aca="false">IF(E4&lt;F4,"Reorder Now","OK")</f>
        <v>OK</v>
      </c>
    </row>
    <row r="5" customFormat="false" ht="15" hidden="false" customHeight="false" outlineLevel="0" collapsed="false">
      <c r="A5" s="45" t="str">
        <f aca="false">'Ingredient Database'!B5</f>
        <v>Wheat Grain (Crushed)</v>
      </c>
      <c r="B5" s="62"/>
      <c r="C5" s="53" t="n">
        <f aca="false">SUMIFS('Feed Purchase Log'!$D$5:$D$204,'Feed Purchase Log'!$C$5:$C$204,A5)</f>
        <v>0</v>
      </c>
      <c r="D5" s="53" t="n">
        <f aca="false">SUMIF('Cost Tracker'!$C$4:$C$503,A5,'Cost Tracker'!$D$4:$D$503)</f>
        <v>0</v>
      </c>
      <c r="E5" s="74" t="n">
        <f aca="false">B5+C5-D5</f>
        <v>0</v>
      </c>
      <c r="F5" s="62"/>
      <c r="G5" s="47" t="str">
        <f aca="false">IF(E5&lt;F5,"Reorder Now","OK")</f>
        <v>OK</v>
      </c>
    </row>
    <row r="6" customFormat="false" ht="15" hidden="false" customHeight="false" outlineLevel="0" collapsed="false">
      <c r="A6" s="45" t="str">
        <f aca="false">'Ingredient Database'!B6</f>
        <v>Barley Grain (Crushed)</v>
      </c>
      <c r="B6" s="62"/>
      <c r="C6" s="53" t="n">
        <f aca="false">SUMIFS('Feed Purchase Log'!$D$5:$D$204,'Feed Purchase Log'!$C$5:$C$204,A6)</f>
        <v>0</v>
      </c>
      <c r="D6" s="53" t="n">
        <f aca="false">SUMIF('Cost Tracker'!$C$4:$C$503,A6,'Cost Tracker'!$D$4:$D$503)</f>
        <v>0</v>
      </c>
      <c r="E6" s="74" t="n">
        <f aca="false">B6+C6-D6</f>
        <v>0</v>
      </c>
      <c r="F6" s="62"/>
      <c r="G6" s="47" t="str">
        <f aca="false">IF(E6&lt;F6,"Reorder Now","OK")</f>
        <v>OK</v>
      </c>
    </row>
    <row r="7" customFormat="false" ht="15" hidden="false" customHeight="false" outlineLevel="0" collapsed="false">
      <c r="A7" s="45" t="str">
        <f aca="false">'Ingredient Database'!B7</f>
        <v>Sorghum Grain (Jowar)</v>
      </c>
      <c r="B7" s="62"/>
      <c r="C7" s="53" t="n">
        <f aca="false">SUMIFS('Feed Purchase Log'!$D$5:$D$204,'Feed Purchase Log'!$C$5:$C$204,A7)</f>
        <v>0</v>
      </c>
      <c r="D7" s="53" t="n">
        <f aca="false">SUMIF('Cost Tracker'!$C$4:$C$503,A7,'Cost Tracker'!$D$4:$D$503)</f>
        <v>0</v>
      </c>
      <c r="E7" s="74" t="n">
        <f aca="false">B7+C7-D7</f>
        <v>0</v>
      </c>
      <c r="F7" s="62"/>
      <c r="G7" s="47" t="str">
        <f aca="false">IF(E7&lt;F7,"Reorder Now","OK")</f>
        <v>OK</v>
      </c>
    </row>
    <row r="8" customFormat="false" ht="15" hidden="false" customHeight="false" outlineLevel="0" collapsed="false">
      <c r="A8" s="45" t="str">
        <f aca="false">'Ingredient Database'!B8</f>
        <v>Pearl Millet Grain (Bajra)</v>
      </c>
      <c r="B8" s="62"/>
      <c r="C8" s="53" t="n">
        <f aca="false">SUMIFS('Feed Purchase Log'!$D$5:$D$204,'Feed Purchase Log'!$C$5:$C$204,A8)</f>
        <v>0</v>
      </c>
      <c r="D8" s="53" t="n">
        <f aca="false">SUMIF('Cost Tracker'!$C$4:$C$503,A8,'Cost Tracker'!$D$4:$D$503)</f>
        <v>0</v>
      </c>
      <c r="E8" s="74" t="n">
        <f aca="false">B8+C8-D8</f>
        <v>0</v>
      </c>
      <c r="F8" s="62"/>
      <c r="G8" s="47" t="str">
        <f aca="false">IF(E8&lt;F8,"Reorder Now","OK")</f>
        <v>OK</v>
      </c>
    </row>
    <row r="9" customFormat="false" ht="15" hidden="false" customHeight="false" outlineLevel="0" collapsed="false">
      <c r="A9" s="45" t="str">
        <f aca="false">'Ingredient Database'!B9</f>
        <v>Broken Rice (Rice Kani)</v>
      </c>
      <c r="B9" s="62"/>
      <c r="C9" s="53" t="n">
        <f aca="false">SUMIFS('Feed Purchase Log'!$D$5:$D$204,'Feed Purchase Log'!$C$5:$C$204,A9)</f>
        <v>0</v>
      </c>
      <c r="D9" s="53" t="n">
        <f aca="false">SUMIF('Cost Tracker'!$C$4:$C$503,A9,'Cost Tracker'!$D$4:$D$503)</f>
        <v>0</v>
      </c>
      <c r="E9" s="74" t="n">
        <f aca="false">B9+C9-D9</f>
        <v>0</v>
      </c>
      <c r="F9" s="62"/>
      <c r="G9" s="47" t="str">
        <f aca="false">IF(E9&lt;F9,"Reorder Now","OK")</f>
        <v>OK</v>
      </c>
    </row>
    <row r="10" customFormat="false" ht="15" hidden="false" customHeight="false" outlineLevel="0" collapsed="false">
      <c r="A10" s="45" t="str">
        <f aca="false">'Ingredient Database'!B10</f>
        <v>Cottonseed Cake (Banaula Khal)</v>
      </c>
      <c r="B10" s="62"/>
      <c r="C10" s="53" t="n">
        <f aca="false">SUMIFS('Feed Purchase Log'!$D$5:$D$204,'Feed Purchase Log'!$C$5:$C$204,A10)</f>
        <v>0</v>
      </c>
      <c r="D10" s="53" t="n">
        <f aca="false">SUMIF('Cost Tracker'!$C$4:$C$503,A10,'Cost Tracker'!$D$4:$D$503)</f>
        <v>0</v>
      </c>
      <c r="E10" s="74" t="n">
        <f aca="false">B10+C10-D10</f>
        <v>0</v>
      </c>
      <c r="F10" s="62"/>
      <c r="G10" s="47" t="str">
        <f aca="false">IF(E10&lt;F10,"Reorder Now","OK")</f>
        <v>OK</v>
      </c>
    </row>
    <row r="11" customFormat="false" ht="15" hidden="false" customHeight="false" outlineLevel="0" collapsed="false">
      <c r="A11" s="45" t="str">
        <f aca="false">'Ingredient Database'!B11</f>
        <v>Cottonseed Meal (Solvent Extracted)</v>
      </c>
      <c r="B11" s="62"/>
      <c r="C11" s="53" t="n">
        <f aca="false">SUMIFS('Feed Purchase Log'!$D$5:$D$204,'Feed Purchase Log'!$C$5:$C$204,A11)</f>
        <v>0</v>
      </c>
      <c r="D11" s="53" t="n">
        <f aca="false">SUMIF('Cost Tracker'!$C$4:$C$503,A11,'Cost Tracker'!$D$4:$D$503)</f>
        <v>0</v>
      </c>
      <c r="E11" s="74" t="n">
        <f aca="false">B11+C11-D11</f>
        <v>0</v>
      </c>
      <c r="F11" s="62"/>
      <c r="G11" s="47" t="str">
        <f aca="false">IF(E11&lt;F11,"Reorder Now","OK")</f>
        <v>OK</v>
      </c>
    </row>
    <row r="12" customFormat="false" ht="15" hidden="false" customHeight="false" outlineLevel="0" collapsed="false">
      <c r="A12" s="45" t="str">
        <f aca="false">'Ingredient Database'!B12</f>
        <v>Canola / Sarson Cake</v>
      </c>
      <c r="B12" s="62"/>
      <c r="C12" s="53" t="n">
        <f aca="false">SUMIFS('Feed Purchase Log'!$D$5:$D$204,'Feed Purchase Log'!$C$5:$C$204,A12)</f>
        <v>0</v>
      </c>
      <c r="D12" s="53" t="n">
        <f aca="false">SUMIF('Cost Tracker'!$C$4:$C$503,A12,'Cost Tracker'!$D$4:$D$503)</f>
        <v>0</v>
      </c>
      <c r="E12" s="74" t="n">
        <f aca="false">B12+C12-D12</f>
        <v>0</v>
      </c>
      <c r="F12" s="62"/>
      <c r="G12" s="47" t="str">
        <f aca="false">IF(E12&lt;F12,"Reorder Now","OK")</f>
        <v>OK</v>
      </c>
    </row>
    <row r="13" customFormat="false" ht="15" hidden="false" customHeight="false" outlineLevel="0" collapsed="false">
      <c r="A13" s="45" t="str">
        <f aca="false">'Ingredient Database'!B13</f>
        <v>Sunflower Cake</v>
      </c>
      <c r="B13" s="62"/>
      <c r="C13" s="53" t="n">
        <f aca="false">SUMIFS('Feed Purchase Log'!$D$5:$D$204,'Feed Purchase Log'!$C$5:$C$204,A13)</f>
        <v>0</v>
      </c>
      <c r="D13" s="53" t="n">
        <f aca="false">SUMIF('Cost Tracker'!$C$4:$C$503,A13,'Cost Tracker'!$D$4:$D$503)</f>
        <v>0</v>
      </c>
      <c r="E13" s="74" t="n">
        <f aca="false">B13+C13-D13</f>
        <v>0</v>
      </c>
      <c r="F13" s="62"/>
      <c r="G13" s="47" t="str">
        <f aca="false">IF(E13&lt;F13,"Reorder Now","OK")</f>
        <v>OK</v>
      </c>
    </row>
    <row r="14" customFormat="false" ht="15" hidden="false" customHeight="false" outlineLevel="0" collapsed="false">
      <c r="A14" s="45" t="str">
        <f aca="false">'Ingredient Database'!B14</f>
        <v>Sunflower Meal (Decorticated)</v>
      </c>
      <c r="B14" s="62"/>
      <c r="C14" s="53" t="n">
        <f aca="false">SUMIFS('Feed Purchase Log'!$D$5:$D$204,'Feed Purchase Log'!$C$5:$C$204,A14)</f>
        <v>0</v>
      </c>
      <c r="D14" s="53" t="n">
        <f aca="false">SUMIF('Cost Tracker'!$C$4:$C$503,A14,'Cost Tracker'!$D$4:$D$503)</f>
        <v>0</v>
      </c>
      <c r="E14" s="74" t="n">
        <f aca="false">B14+C14-D14</f>
        <v>0</v>
      </c>
      <c r="F14" s="62"/>
      <c r="G14" s="47" t="str">
        <f aca="false">IF(E14&lt;F14,"Reorder Now","OK")</f>
        <v>OK</v>
      </c>
    </row>
    <row r="15" customFormat="false" ht="15" hidden="false" customHeight="false" outlineLevel="0" collapsed="false">
      <c r="A15" s="45" t="str">
        <f aca="false">'Ingredient Database'!B15</f>
        <v>Soybean Meal</v>
      </c>
      <c r="B15" s="62"/>
      <c r="C15" s="53" t="n">
        <f aca="false">SUMIFS('Feed Purchase Log'!$D$5:$D$204,'Feed Purchase Log'!$C$5:$C$204,A15)</f>
        <v>0</v>
      </c>
      <c r="D15" s="53" t="n">
        <f aca="false">SUMIF('Cost Tracker'!$C$4:$C$503,A15,'Cost Tracker'!$D$4:$D$503)</f>
        <v>0</v>
      </c>
      <c r="E15" s="74" t="n">
        <f aca="false">B15+C15-D15</f>
        <v>0</v>
      </c>
      <c r="F15" s="62"/>
      <c r="G15" s="47" t="str">
        <f aca="false">IF(E15&lt;F15,"Reorder Now","OK")</f>
        <v>OK</v>
      </c>
    </row>
    <row r="16" customFormat="false" ht="15" hidden="false" customHeight="false" outlineLevel="0" collapsed="false">
      <c r="A16" s="45" t="str">
        <f aca="false">'Ingredient Database'!B16</f>
        <v>Groundnut Cake</v>
      </c>
      <c r="B16" s="62"/>
      <c r="C16" s="53" t="n">
        <f aca="false">SUMIFS('Feed Purchase Log'!$D$5:$D$204,'Feed Purchase Log'!$C$5:$C$204,A16)</f>
        <v>0</v>
      </c>
      <c r="D16" s="53" t="n">
        <f aca="false">SUMIF('Cost Tracker'!$C$4:$C$503,A16,'Cost Tracker'!$D$4:$D$503)</f>
        <v>0</v>
      </c>
      <c r="E16" s="74" t="n">
        <f aca="false">B16+C16-D16</f>
        <v>0</v>
      </c>
      <c r="F16" s="62"/>
      <c r="G16" s="47" t="str">
        <f aca="false">IF(E16&lt;F16,"Reorder Now","OK")</f>
        <v>OK</v>
      </c>
    </row>
    <row r="17" customFormat="false" ht="15" hidden="false" customHeight="false" outlineLevel="0" collapsed="false">
      <c r="A17" s="45" t="str">
        <f aca="false">'Ingredient Database'!B17</f>
        <v>Guar Meal / Korma (Refined)</v>
      </c>
      <c r="B17" s="62"/>
      <c r="C17" s="53" t="n">
        <f aca="false">SUMIFS('Feed Purchase Log'!$D$5:$D$204,'Feed Purchase Log'!$C$5:$C$204,A17)</f>
        <v>0</v>
      </c>
      <c r="D17" s="53" t="n">
        <f aca="false">SUMIF('Cost Tracker'!$C$4:$C$503,A17,'Cost Tracker'!$D$4:$D$503)</f>
        <v>0</v>
      </c>
      <c r="E17" s="74" t="n">
        <f aca="false">B17+C17-D17</f>
        <v>0</v>
      </c>
      <c r="F17" s="62"/>
      <c r="G17" s="47" t="str">
        <f aca="false">IF(E17&lt;F17,"Reorder Now","OK")</f>
        <v>OK</v>
      </c>
    </row>
    <row r="18" customFormat="false" ht="15" hidden="false" customHeight="false" outlineLevel="0" collapsed="false">
      <c r="A18" s="45" t="str">
        <f aca="false">'Ingredient Database'!B18</f>
        <v>Guar Churi (Coarse Grade)</v>
      </c>
      <c r="B18" s="62"/>
      <c r="C18" s="53" t="n">
        <f aca="false">SUMIFS('Feed Purchase Log'!$D$5:$D$204,'Feed Purchase Log'!$C$5:$C$204,A18)</f>
        <v>0</v>
      </c>
      <c r="D18" s="53" t="n">
        <f aca="false">SUMIF('Cost Tracker'!$C$4:$C$503,A18,'Cost Tracker'!$D$4:$D$503)</f>
        <v>0</v>
      </c>
      <c r="E18" s="74" t="n">
        <f aca="false">B18+C18-D18</f>
        <v>0</v>
      </c>
      <c r="F18" s="62"/>
      <c r="G18" s="47" t="str">
        <f aca="false">IF(E18&lt;F18,"Reorder Now","OK")</f>
        <v>OK</v>
      </c>
    </row>
    <row r="19" customFormat="false" ht="15" hidden="false" customHeight="false" outlineLevel="0" collapsed="false">
      <c r="A19" s="45" t="str">
        <f aca="false">'Ingredient Database'!B19</f>
        <v>Maize Gluten Meal</v>
      </c>
      <c r="B19" s="62"/>
      <c r="C19" s="53" t="n">
        <f aca="false">SUMIFS('Feed Purchase Log'!$D$5:$D$204,'Feed Purchase Log'!$C$5:$C$204,A19)</f>
        <v>0</v>
      </c>
      <c r="D19" s="53" t="n">
        <f aca="false">SUMIF('Cost Tracker'!$C$4:$C$503,A19,'Cost Tracker'!$D$4:$D$503)</f>
        <v>0</v>
      </c>
      <c r="E19" s="74" t="n">
        <f aca="false">B19+C19-D19</f>
        <v>0</v>
      </c>
      <c r="F19" s="62"/>
      <c r="G19" s="47" t="str">
        <f aca="false">IF(E19&lt;F19,"Reorder Now","OK")</f>
        <v>OK</v>
      </c>
    </row>
    <row r="20" customFormat="false" ht="15" hidden="false" customHeight="false" outlineLevel="0" collapsed="false">
      <c r="A20" s="45" t="str">
        <f aca="false">'Ingredient Database'!B20</f>
        <v>Maize Gluten Feed</v>
      </c>
      <c r="B20" s="62"/>
      <c r="C20" s="53" t="n">
        <f aca="false">SUMIFS('Feed Purchase Log'!$D$5:$D$204,'Feed Purchase Log'!$C$5:$C$204,A20)</f>
        <v>0</v>
      </c>
      <c r="D20" s="53" t="n">
        <f aca="false">SUMIF('Cost Tracker'!$C$4:$C$503,A20,'Cost Tracker'!$D$4:$D$503)</f>
        <v>0</v>
      </c>
      <c r="E20" s="74" t="n">
        <f aca="false">B20+C20-D20</f>
        <v>0</v>
      </c>
      <c r="F20" s="62"/>
      <c r="G20" s="47" t="str">
        <f aca="false">IF(E20&lt;F20,"Reorder Now","OK")</f>
        <v>OK</v>
      </c>
    </row>
    <row r="21" customFormat="false" ht="15" hidden="false" customHeight="false" outlineLevel="0" collapsed="false">
      <c r="A21" s="45" t="str">
        <f aca="false">'Ingredient Database'!B21</f>
        <v>Sesame Cake (Til Khal)</v>
      </c>
      <c r="B21" s="62"/>
      <c r="C21" s="53" t="n">
        <f aca="false">SUMIFS('Feed Purchase Log'!$D$5:$D$204,'Feed Purchase Log'!$C$5:$C$204,A21)</f>
        <v>0</v>
      </c>
      <c r="D21" s="53" t="n">
        <f aca="false">SUMIF('Cost Tracker'!$C$4:$C$503,A21,'Cost Tracker'!$D$4:$D$503)</f>
        <v>0</v>
      </c>
      <c r="E21" s="74" t="n">
        <f aca="false">B21+C21-D21</f>
        <v>0</v>
      </c>
      <c r="F21" s="62"/>
      <c r="G21" s="47" t="str">
        <f aca="false">IF(E21&lt;F21,"Reorder Now","OK")</f>
        <v>OK</v>
      </c>
    </row>
    <row r="22" customFormat="false" ht="15" hidden="false" customHeight="false" outlineLevel="0" collapsed="false">
      <c r="A22" s="45" t="str">
        <f aca="false">'Ingredient Database'!B22</f>
        <v>Wheat Bran (Chokar)</v>
      </c>
      <c r="B22" s="62"/>
      <c r="C22" s="53" t="n">
        <f aca="false">SUMIFS('Feed Purchase Log'!$D$5:$D$204,'Feed Purchase Log'!$C$5:$C$204,A22)</f>
        <v>0</v>
      </c>
      <c r="D22" s="53" t="n">
        <f aca="false">SUMIF('Cost Tracker'!$C$4:$C$503,A22,'Cost Tracker'!$D$4:$D$503)</f>
        <v>0</v>
      </c>
      <c r="E22" s="74" t="n">
        <f aca="false">B22+C22-D22</f>
        <v>0</v>
      </c>
      <c r="F22" s="62"/>
      <c r="G22" s="47" t="str">
        <f aca="false">IF(E22&lt;F22,"Reorder Now","OK")</f>
        <v>OK</v>
      </c>
    </row>
    <row r="23" customFormat="false" ht="15" hidden="false" customHeight="false" outlineLevel="0" collapsed="false">
      <c r="A23" s="45" t="str">
        <f aca="false">'Ingredient Database'!B23</f>
        <v>Rice Polish</v>
      </c>
      <c r="B23" s="62"/>
      <c r="C23" s="53" t="n">
        <f aca="false">SUMIFS('Feed Purchase Log'!$D$5:$D$204,'Feed Purchase Log'!$C$5:$C$204,A23)</f>
        <v>0</v>
      </c>
      <c r="D23" s="53" t="n">
        <f aca="false">SUMIF('Cost Tracker'!$C$4:$C$503,A23,'Cost Tracker'!$D$4:$D$503)</f>
        <v>0</v>
      </c>
      <c r="E23" s="74" t="n">
        <f aca="false">B23+C23-D23</f>
        <v>0</v>
      </c>
      <c r="F23" s="62"/>
      <c r="G23" s="47" t="str">
        <f aca="false">IF(E23&lt;F23,"Reorder Now","OK")</f>
        <v>OK</v>
      </c>
    </row>
    <row r="24" customFormat="false" ht="15" hidden="false" customHeight="false" outlineLevel="0" collapsed="false">
      <c r="A24" s="45" t="str">
        <f aca="false">'Ingredient Database'!B24</f>
        <v>Rice Bran (Full-Fat)</v>
      </c>
      <c r="B24" s="62"/>
      <c r="C24" s="53" t="n">
        <f aca="false">SUMIFS('Feed Purchase Log'!$D$5:$D$204,'Feed Purchase Log'!$C$5:$C$204,A24)</f>
        <v>0</v>
      </c>
      <c r="D24" s="53" t="n">
        <f aca="false">SUMIF('Cost Tracker'!$C$4:$C$503,A24,'Cost Tracker'!$D$4:$D$503)</f>
        <v>0</v>
      </c>
      <c r="E24" s="74" t="n">
        <f aca="false">B24+C24-D24</f>
        <v>0</v>
      </c>
      <c r="F24" s="62"/>
      <c r="G24" s="47" t="str">
        <f aca="false">IF(E24&lt;F24,"Reorder Now","OK")</f>
        <v>OK</v>
      </c>
    </row>
    <row r="25" customFormat="false" ht="15" hidden="false" customHeight="false" outlineLevel="0" collapsed="false">
      <c r="A25" s="45" t="str">
        <f aca="false">'Ingredient Database'!B25</f>
        <v>Deoiled Rice Bran (DORB)</v>
      </c>
      <c r="B25" s="62"/>
      <c r="C25" s="53" t="n">
        <f aca="false">SUMIFS('Feed Purchase Log'!$D$5:$D$204,'Feed Purchase Log'!$C$5:$C$204,A25)</f>
        <v>0</v>
      </c>
      <c r="D25" s="53" t="n">
        <f aca="false">SUMIF('Cost Tracker'!$C$4:$C$503,A25,'Cost Tracker'!$D$4:$D$503)</f>
        <v>0</v>
      </c>
      <c r="E25" s="74" t="n">
        <f aca="false">B25+C25-D25</f>
        <v>0</v>
      </c>
      <c r="F25" s="62"/>
      <c r="G25" s="47" t="str">
        <f aca="false">IF(E25&lt;F25,"Reorder Now","OK")</f>
        <v>OK</v>
      </c>
    </row>
    <row r="26" customFormat="false" ht="15" hidden="false" customHeight="false" outlineLevel="0" collapsed="false">
      <c r="A26" s="45" t="str">
        <f aca="false">'Ingredient Database'!B26</f>
        <v>Molasses (Shakar)</v>
      </c>
      <c r="B26" s="62"/>
      <c r="C26" s="53" t="n">
        <f aca="false">SUMIFS('Feed Purchase Log'!$D$5:$D$204,'Feed Purchase Log'!$C$5:$C$204,A26)</f>
        <v>0</v>
      </c>
      <c r="D26" s="53" t="n">
        <f aca="false">SUMIF('Cost Tracker'!$C$4:$C$503,A26,'Cost Tracker'!$D$4:$D$503)</f>
        <v>0</v>
      </c>
      <c r="E26" s="74" t="n">
        <f aca="false">B26+C26-D26</f>
        <v>0</v>
      </c>
      <c r="F26" s="62"/>
      <c r="G26" s="47" t="str">
        <f aca="false">IF(E26&lt;F26,"Reorder Now","OK")</f>
        <v>OK</v>
      </c>
    </row>
    <row r="27" customFormat="false" ht="15" hidden="false" customHeight="false" outlineLevel="0" collapsed="false">
      <c r="A27" s="45" t="str">
        <f aca="false">'Ingredient Database'!B27</f>
        <v>Bakery Waste (Meal)</v>
      </c>
      <c r="B27" s="62"/>
      <c r="C27" s="53" t="n">
        <f aca="false">SUMIFS('Feed Purchase Log'!$D$5:$D$204,'Feed Purchase Log'!$C$5:$C$204,A27)</f>
        <v>0</v>
      </c>
      <c r="D27" s="53" t="n">
        <f aca="false">SUMIF('Cost Tracker'!$C$4:$C$503,A27,'Cost Tracker'!$D$4:$D$503)</f>
        <v>0</v>
      </c>
      <c r="E27" s="74" t="n">
        <f aca="false">B27+C27-D27</f>
        <v>0</v>
      </c>
      <c r="F27" s="62"/>
      <c r="G27" s="47" t="str">
        <f aca="false">IF(E27&lt;F27,"Reorder Now","OK")</f>
        <v>OK</v>
      </c>
    </row>
    <row r="28" customFormat="false" ht="15" hidden="false" customHeight="false" outlineLevel="0" collapsed="false">
      <c r="A28" s="45" t="str">
        <f aca="false">'Ingredient Database'!B28</f>
        <v>Mineral Mixture</v>
      </c>
      <c r="B28" s="62"/>
      <c r="C28" s="53" t="n">
        <f aca="false">SUMIFS('Feed Purchase Log'!$D$5:$D$204,'Feed Purchase Log'!$C$5:$C$204,A28)</f>
        <v>0</v>
      </c>
      <c r="D28" s="53" t="n">
        <f aca="false">SUMIF('Cost Tracker'!$C$4:$C$503,A28,'Cost Tracker'!$D$4:$D$503)</f>
        <v>0</v>
      </c>
      <c r="E28" s="74" t="n">
        <f aca="false">B28+C28-D28</f>
        <v>0</v>
      </c>
      <c r="F28" s="62"/>
      <c r="G28" s="47" t="str">
        <f aca="false">IF(E28&lt;F28,"Reorder Now","OK")</f>
        <v>OK</v>
      </c>
    </row>
    <row r="29" customFormat="false" ht="15" hidden="false" customHeight="false" outlineLevel="0" collapsed="false">
      <c r="A29" s="45" t="str">
        <f aca="false">'Ingredient Database'!B29</f>
        <v>Salt</v>
      </c>
      <c r="B29" s="62"/>
      <c r="C29" s="53" t="n">
        <f aca="false">SUMIFS('Feed Purchase Log'!$D$5:$D$204,'Feed Purchase Log'!$C$5:$C$204,A29)</f>
        <v>0</v>
      </c>
      <c r="D29" s="53" t="n">
        <f aca="false">SUMIF('Cost Tracker'!$C$4:$C$503,A29,'Cost Tracker'!$D$4:$D$503)</f>
        <v>0</v>
      </c>
      <c r="E29" s="74" t="n">
        <f aca="false">B29+C29-D29</f>
        <v>0</v>
      </c>
      <c r="F29" s="62"/>
      <c r="G29" s="47" t="str">
        <f aca="false">IF(E29&lt;F29,"Reorder Now","OK")</f>
        <v>OK</v>
      </c>
    </row>
    <row r="30" customFormat="false" ht="15" hidden="false" customHeight="false" outlineLevel="0" collapsed="false">
      <c r="A30" s="45" t="str">
        <f aca="false">'Ingredient Database'!B30</f>
        <v>Sodium Bicarbonate</v>
      </c>
      <c r="B30" s="62"/>
      <c r="C30" s="53" t="n">
        <f aca="false">SUMIFS('Feed Purchase Log'!$D$5:$D$204,'Feed Purchase Log'!$C$5:$C$204,A30)</f>
        <v>0</v>
      </c>
      <c r="D30" s="53" t="n">
        <f aca="false">SUMIF('Cost Tracker'!$C$4:$C$503,A30,'Cost Tracker'!$D$4:$D$503)</f>
        <v>0</v>
      </c>
      <c r="E30" s="74" t="n">
        <f aca="false">B30+C30-D30</f>
        <v>0</v>
      </c>
      <c r="F30" s="62"/>
      <c r="G30" s="47" t="str">
        <f aca="false">IF(E30&lt;F30,"Reorder Now","OK")</f>
        <v>OK</v>
      </c>
    </row>
    <row r="31" customFormat="false" ht="15" hidden="false" customHeight="false" outlineLevel="0" collapsed="false">
      <c r="A31" s="45" t="str">
        <f aca="false">'Ingredient Database'!B31</f>
        <v>DCP (Di-Calcium Phosphate)</v>
      </c>
      <c r="B31" s="62"/>
      <c r="C31" s="53" t="n">
        <f aca="false">SUMIFS('Feed Purchase Log'!$D$5:$D$204,'Feed Purchase Log'!$C$5:$C$204,A31)</f>
        <v>0</v>
      </c>
      <c r="D31" s="53" t="n">
        <f aca="false">SUMIF('Cost Tracker'!$C$4:$C$503,A31,'Cost Tracker'!$D$4:$D$503)</f>
        <v>0</v>
      </c>
      <c r="E31" s="74" t="n">
        <f aca="false">B31+C31-D31</f>
        <v>0</v>
      </c>
      <c r="F31" s="62"/>
      <c r="G31" s="47" t="str">
        <f aca="false">IF(E31&lt;F31,"Reorder Now","OK")</f>
        <v>OK</v>
      </c>
    </row>
    <row r="32" customFormat="false" ht="15" hidden="false" customHeight="false" outlineLevel="0" collapsed="false">
      <c r="A32" s="45" t="str">
        <f aca="false">'Ingredient Database'!B32</f>
        <v>Urea (NPN source)</v>
      </c>
      <c r="B32" s="62"/>
      <c r="C32" s="53" t="n">
        <f aca="false">SUMIFS('Feed Purchase Log'!$D$5:$D$204,'Feed Purchase Log'!$C$5:$C$204,A32)</f>
        <v>0</v>
      </c>
      <c r="D32" s="53" t="n">
        <f aca="false">SUMIF('Cost Tracker'!$C$4:$C$503,A32,'Cost Tracker'!$D$4:$D$503)</f>
        <v>0</v>
      </c>
      <c r="E32" s="74" t="n">
        <f aca="false">B32+C32-D32</f>
        <v>0</v>
      </c>
      <c r="F32" s="62"/>
      <c r="G32" s="47" t="str">
        <f aca="false">IF(E32&lt;F32,"Reorder Now","OK")</f>
        <v>OK</v>
      </c>
    </row>
    <row r="33" customFormat="false" ht="15" hidden="false" customHeight="false" outlineLevel="0" collapsed="false">
      <c r="A33" s="45" t="str">
        <f aca="false">'Ingredient Database'!B33</f>
        <v>Yeast Culture</v>
      </c>
      <c r="B33" s="62"/>
      <c r="C33" s="53" t="n">
        <f aca="false">SUMIFS('Feed Purchase Log'!$D$5:$D$204,'Feed Purchase Log'!$C$5:$C$204,A33)</f>
        <v>0</v>
      </c>
      <c r="D33" s="53" t="n">
        <f aca="false">SUMIF('Cost Tracker'!$C$4:$C$503,A33,'Cost Tracker'!$D$4:$D$503)</f>
        <v>0</v>
      </c>
      <c r="E33" s="74" t="n">
        <f aca="false">B33+C33-D33</f>
        <v>0</v>
      </c>
      <c r="F33" s="62"/>
      <c r="G33" s="47" t="str">
        <f aca="false">IF(E33&lt;F33,"Reorder Now","OK")</f>
        <v>OK</v>
      </c>
    </row>
    <row r="34" customFormat="false" ht="15" hidden="false" customHeight="false" outlineLevel="0" collapsed="false">
      <c r="A34" s="45" t="str">
        <f aca="false">'Ingredient Database'!B34</f>
        <v>Maize Green Fodder</v>
      </c>
      <c r="B34" s="62"/>
      <c r="C34" s="53" t="n">
        <f aca="false">SUMIFS('Feed Purchase Log'!$D$5:$D$204,'Feed Purchase Log'!$C$5:$C$204,A34)</f>
        <v>0</v>
      </c>
      <c r="D34" s="53" t="n">
        <f aca="false">SUMIF('Cost Tracker'!$C$4:$C$503,A34,'Cost Tracker'!$D$4:$D$503)</f>
        <v>0</v>
      </c>
      <c r="E34" s="74" t="n">
        <f aca="false">B34+C34-D34</f>
        <v>0</v>
      </c>
      <c r="F34" s="62"/>
      <c r="G34" s="47" t="str">
        <f aca="false">IF(E34&lt;F34,"Reorder Now","OK")</f>
        <v>OK</v>
      </c>
    </row>
    <row r="35" customFormat="false" ht="15" hidden="false" customHeight="false" outlineLevel="0" collapsed="false">
      <c r="A35" s="45" t="str">
        <f aca="false">'Ingredient Database'!B35</f>
        <v>Sorghum / Jowar Green Fodder</v>
      </c>
      <c r="B35" s="62"/>
      <c r="C35" s="53" t="n">
        <f aca="false">SUMIFS('Feed Purchase Log'!$D$5:$D$204,'Feed Purchase Log'!$C$5:$C$204,A35)</f>
        <v>0</v>
      </c>
      <c r="D35" s="53" t="n">
        <f aca="false">SUMIF('Cost Tracker'!$C$4:$C$503,A35,'Cost Tracker'!$D$4:$D$503)</f>
        <v>0</v>
      </c>
      <c r="E35" s="74" t="n">
        <f aca="false">B35+C35-D35</f>
        <v>0</v>
      </c>
      <c r="F35" s="62"/>
      <c r="G35" s="47" t="str">
        <f aca="false">IF(E35&lt;F35,"Reorder Now","OK")</f>
        <v>OK</v>
      </c>
    </row>
    <row r="36" customFormat="false" ht="15" hidden="false" customHeight="false" outlineLevel="0" collapsed="false">
      <c r="A36" s="45" t="str">
        <f aca="false">'Ingredient Database'!B36</f>
        <v>Bajra (Pearl Millet) Green Fodder</v>
      </c>
      <c r="B36" s="62"/>
      <c r="C36" s="53" t="n">
        <f aca="false">SUMIFS('Feed Purchase Log'!$D$5:$D$204,'Feed Purchase Log'!$C$5:$C$204,A36)</f>
        <v>0</v>
      </c>
      <c r="D36" s="53" t="n">
        <f aca="false">SUMIF('Cost Tracker'!$C$4:$C$503,A36,'Cost Tracker'!$D$4:$D$503)</f>
        <v>0</v>
      </c>
      <c r="E36" s="74" t="n">
        <f aca="false">B36+C36-D36</f>
        <v>0</v>
      </c>
      <c r="F36" s="62"/>
      <c r="G36" s="47" t="str">
        <f aca="false">IF(E36&lt;F36,"Reorder Now","OK")</f>
        <v>OK</v>
      </c>
    </row>
    <row r="37" customFormat="false" ht="15" hidden="false" customHeight="false" outlineLevel="0" collapsed="false">
      <c r="A37" s="45" t="str">
        <f aca="false">'Ingredient Database'!B37</f>
        <v>Berseem (Green, Seasonal Nov-Apr)</v>
      </c>
      <c r="B37" s="62"/>
      <c r="C37" s="53" t="n">
        <f aca="false">SUMIFS('Feed Purchase Log'!$D$5:$D$204,'Feed Purchase Log'!$C$5:$C$204,A37)</f>
        <v>0</v>
      </c>
      <c r="D37" s="53" t="n">
        <f aca="false">SUMIF('Cost Tracker'!$C$4:$C$503,A37,'Cost Tracker'!$D$4:$D$503)</f>
        <v>0</v>
      </c>
      <c r="E37" s="74" t="n">
        <f aca="false">B37+C37-D37</f>
        <v>0</v>
      </c>
      <c r="F37" s="62"/>
      <c r="G37" s="47" t="str">
        <f aca="false">IF(E37&lt;F37,"Reorder Now","OK")</f>
        <v>OK</v>
      </c>
    </row>
    <row r="38" customFormat="false" ht="15" hidden="false" customHeight="false" outlineLevel="0" collapsed="false">
      <c r="A38" s="45" t="str">
        <f aca="false">'Ingredient Database'!B38</f>
        <v>Lucerne / Alfalfa (Green)</v>
      </c>
      <c r="B38" s="62"/>
      <c r="C38" s="53" t="n">
        <f aca="false">SUMIFS('Feed Purchase Log'!$D$5:$D$204,'Feed Purchase Log'!$C$5:$C$204,A38)</f>
        <v>0</v>
      </c>
      <c r="D38" s="53" t="n">
        <f aca="false">SUMIF('Cost Tracker'!$C$4:$C$503,A38,'Cost Tracker'!$D$4:$D$503)</f>
        <v>0</v>
      </c>
      <c r="E38" s="74" t="n">
        <f aca="false">B38+C38-D38</f>
        <v>0</v>
      </c>
      <c r="F38" s="62"/>
      <c r="G38" s="47" t="str">
        <f aca="false">IF(E38&lt;F38,"Reorder Now","OK")</f>
        <v>OK</v>
      </c>
    </row>
    <row r="39" customFormat="false" ht="15" hidden="false" customHeight="false" outlineLevel="0" collapsed="false">
      <c r="A39" s="45" t="str">
        <f aca="false">'Ingredient Database'!B39</f>
        <v>Oat Green Fodder</v>
      </c>
      <c r="B39" s="62"/>
      <c r="C39" s="53" t="n">
        <f aca="false">SUMIFS('Feed Purchase Log'!$D$5:$D$204,'Feed Purchase Log'!$C$5:$C$204,A39)</f>
        <v>0</v>
      </c>
      <c r="D39" s="53" t="n">
        <f aca="false">SUMIF('Cost Tracker'!$C$4:$C$503,A39,'Cost Tracker'!$D$4:$D$503)</f>
        <v>0</v>
      </c>
      <c r="E39" s="74" t="n">
        <f aca="false">B39+C39-D39</f>
        <v>0</v>
      </c>
      <c r="F39" s="62"/>
      <c r="G39" s="47" t="str">
        <f aca="false">IF(E39&lt;F39,"Reorder Now","OK")</f>
        <v>OK</v>
      </c>
    </row>
    <row r="40" customFormat="false" ht="15" hidden="false" customHeight="false" outlineLevel="0" collapsed="false">
      <c r="A40" s="45" t="str">
        <f aca="false">'Ingredient Database'!B40</f>
        <v>Guar (Cluster Bean) Green Fodder</v>
      </c>
      <c r="B40" s="62"/>
      <c r="C40" s="53" t="n">
        <f aca="false">SUMIFS('Feed Purchase Log'!$D$5:$D$204,'Feed Purchase Log'!$C$5:$C$204,A40)</f>
        <v>0</v>
      </c>
      <c r="D40" s="53" t="n">
        <f aca="false">SUMIF('Cost Tracker'!$C$4:$C$503,A40,'Cost Tracker'!$D$4:$D$503)</f>
        <v>0</v>
      </c>
      <c r="E40" s="74" t="n">
        <f aca="false">B40+C40-D40</f>
        <v>0</v>
      </c>
      <c r="F40" s="62"/>
      <c r="G40" s="47" t="str">
        <f aca="false">IF(E40&lt;F40,"Reorder Now","OK")</f>
        <v>OK</v>
      </c>
    </row>
    <row r="41" customFormat="false" ht="15" hidden="false" customHeight="false" outlineLevel="0" collapsed="false">
      <c r="A41" s="45" t="str">
        <f aca="false">'Ingredient Database'!B41</f>
        <v>Cowpea Green Fodder</v>
      </c>
      <c r="B41" s="62"/>
      <c r="C41" s="53" t="n">
        <f aca="false">SUMIFS('Feed Purchase Log'!$D$5:$D$204,'Feed Purchase Log'!$C$5:$C$204,A41)</f>
        <v>0</v>
      </c>
      <c r="D41" s="53" t="n">
        <f aca="false">SUMIF('Cost Tracker'!$C$4:$C$503,A41,'Cost Tracker'!$D$4:$D$503)</f>
        <v>0</v>
      </c>
      <c r="E41" s="74" t="n">
        <f aca="false">B41+C41-D41</f>
        <v>0</v>
      </c>
      <c r="F41" s="62"/>
      <c r="G41" s="47" t="str">
        <f aca="false">IF(E41&lt;F41,"Reorder Now","OK")</f>
        <v>OK</v>
      </c>
    </row>
    <row r="42" customFormat="false" ht="15" hidden="false" customHeight="false" outlineLevel="0" collapsed="false">
      <c r="A42" s="45" t="str">
        <f aca="false">'Ingredient Database'!B42</f>
        <v>Sadabahar / Mott Grass</v>
      </c>
      <c r="B42" s="62"/>
      <c r="C42" s="53" t="n">
        <f aca="false">SUMIFS('Feed Purchase Log'!$D$5:$D$204,'Feed Purchase Log'!$C$5:$C$204,A42)</f>
        <v>0</v>
      </c>
      <c r="D42" s="53" t="n">
        <f aca="false">SUMIF('Cost Tracker'!$C$4:$C$503,A42,'Cost Tracker'!$D$4:$D$503)</f>
        <v>0</v>
      </c>
      <c r="E42" s="74" t="n">
        <f aca="false">B42+C42-D42</f>
        <v>0</v>
      </c>
      <c r="F42" s="62"/>
      <c r="G42" s="47" t="str">
        <f aca="false">IF(E42&lt;F42,"Reorder Now","OK")</f>
        <v>OK</v>
      </c>
    </row>
    <row r="43" customFormat="false" ht="15" hidden="false" customHeight="false" outlineLevel="0" collapsed="false">
      <c r="A43" s="45" t="str">
        <f aca="false">'Ingredient Database'!B43</f>
        <v>Napier / Elephant Grass</v>
      </c>
      <c r="B43" s="62"/>
      <c r="C43" s="53" t="n">
        <f aca="false">SUMIFS('Feed Purchase Log'!$D$5:$D$204,'Feed Purchase Log'!$C$5:$C$204,A43)</f>
        <v>0</v>
      </c>
      <c r="D43" s="53" t="n">
        <f aca="false">SUMIF('Cost Tracker'!$C$4:$C$503,A43,'Cost Tracker'!$D$4:$D$503)</f>
        <v>0</v>
      </c>
      <c r="E43" s="74" t="n">
        <f aca="false">B43+C43-D43</f>
        <v>0</v>
      </c>
      <c r="F43" s="62"/>
      <c r="G43" s="47" t="str">
        <f aca="false">IF(E43&lt;F43,"Reorder Now","OK")</f>
        <v>OK</v>
      </c>
    </row>
    <row r="44" customFormat="false" ht="15" hidden="false" customHeight="false" outlineLevel="0" collapsed="false">
      <c r="A44" s="45" t="str">
        <f aca="false">'Ingredient Database'!B44</f>
        <v>Sudan Grass (Green)</v>
      </c>
      <c r="B44" s="62"/>
      <c r="C44" s="53" t="n">
        <f aca="false">SUMIFS('Feed Purchase Log'!$D$5:$D$204,'Feed Purchase Log'!$C$5:$C$204,A44)</f>
        <v>0</v>
      </c>
      <c r="D44" s="53" t="n">
        <f aca="false">SUMIF('Cost Tracker'!$C$4:$C$503,A44,'Cost Tracker'!$D$4:$D$503)</f>
        <v>0</v>
      </c>
      <c r="E44" s="74" t="n">
        <f aca="false">B44+C44-D44</f>
        <v>0</v>
      </c>
      <c r="F44" s="62"/>
      <c r="G44" s="47" t="str">
        <f aca="false">IF(E44&lt;F44,"Reorder Now","OK")</f>
        <v>OK</v>
      </c>
    </row>
    <row r="45" customFormat="false" ht="15" hidden="false" customHeight="false" outlineLevel="0" collapsed="false">
      <c r="A45" s="45" t="str">
        <f aca="false">'Ingredient Database'!B45</f>
        <v>Maize Silage</v>
      </c>
      <c r="B45" s="62"/>
      <c r="C45" s="53" t="n">
        <f aca="false">SUMIFS('Feed Purchase Log'!$D$5:$D$204,'Feed Purchase Log'!$C$5:$C$204,A45)</f>
        <v>0</v>
      </c>
      <c r="D45" s="53" t="n">
        <f aca="false">SUMIF('Cost Tracker'!$C$4:$C$503,A45,'Cost Tracker'!$D$4:$D$503)</f>
        <v>0</v>
      </c>
      <c r="E45" s="74" t="n">
        <f aca="false">B45+C45-D45</f>
        <v>0</v>
      </c>
      <c r="F45" s="62"/>
      <c r="G45" s="47" t="str">
        <f aca="false">IF(E45&lt;F45,"Reorder Now","OK")</f>
        <v>OK</v>
      </c>
    </row>
    <row r="46" customFormat="false" ht="15" hidden="false" customHeight="false" outlineLevel="0" collapsed="false">
      <c r="A46" s="45" t="str">
        <f aca="false">'Ingredient Database'!B46</f>
        <v>Sorghum Silage</v>
      </c>
      <c r="B46" s="62"/>
      <c r="C46" s="53" t="n">
        <f aca="false">SUMIFS('Feed Purchase Log'!$D$5:$D$204,'Feed Purchase Log'!$C$5:$C$204,A46)</f>
        <v>0</v>
      </c>
      <c r="D46" s="53" t="n">
        <f aca="false">SUMIF('Cost Tracker'!$C$4:$C$503,A46,'Cost Tracker'!$D$4:$D$503)</f>
        <v>0</v>
      </c>
      <c r="E46" s="74" t="n">
        <f aca="false">B46+C46-D46</f>
        <v>0</v>
      </c>
      <c r="F46" s="62"/>
      <c r="G46" s="47" t="str">
        <f aca="false">IF(E46&lt;F46,"Reorder Now","OK")</f>
        <v>OK</v>
      </c>
    </row>
    <row r="47" customFormat="false" ht="15" hidden="false" customHeight="false" outlineLevel="0" collapsed="false">
      <c r="A47" s="45" t="str">
        <f aca="false">'Ingredient Database'!B47</f>
        <v>Berseem Hay</v>
      </c>
      <c r="B47" s="62"/>
      <c r="C47" s="53" t="n">
        <f aca="false">SUMIFS('Feed Purchase Log'!$D$5:$D$204,'Feed Purchase Log'!$C$5:$C$204,A47)</f>
        <v>0</v>
      </c>
      <c r="D47" s="53" t="n">
        <f aca="false">SUMIF('Cost Tracker'!$C$4:$C$503,A47,'Cost Tracker'!$D$4:$D$503)</f>
        <v>0</v>
      </c>
      <c r="E47" s="74" t="n">
        <f aca="false">B47+C47-D47</f>
        <v>0</v>
      </c>
      <c r="F47" s="62"/>
      <c r="G47" s="47" t="str">
        <f aca="false">IF(E47&lt;F47,"Reorder Now","OK")</f>
        <v>OK</v>
      </c>
    </row>
    <row r="48" customFormat="false" ht="15" hidden="false" customHeight="false" outlineLevel="0" collapsed="false">
      <c r="A48" s="45" t="str">
        <f aca="false">'Ingredient Database'!B48</f>
        <v>Lucerne Hay</v>
      </c>
      <c r="B48" s="62"/>
      <c r="C48" s="53" t="n">
        <f aca="false">SUMIFS('Feed Purchase Log'!$D$5:$D$204,'Feed Purchase Log'!$C$5:$C$204,A48)</f>
        <v>0</v>
      </c>
      <c r="D48" s="53" t="n">
        <f aca="false">SUMIF('Cost Tracker'!$C$4:$C$503,A48,'Cost Tracker'!$D$4:$D$503)</f>
        <v>0</v>
      </c>
      <c r="E48" s="74" t="n">
        <f aca="false">B48+C48-D48</f>
        <v>0</v>
      </c>
      <c r="F48" s="62"/>
      <c r="G48" s="47" t="str">
        <f aca="false">IF(E48&lt;F48,"Reorder Now","OK")</f>
        <v>OK</v>
      </c>
    </row>
    <row r="49" customFormat="false" ht="15" hidden="false" customHeight="false" outlineLevel="0" collapsed="false">
      <c r="A49" s="45" t="str">
        <f aca="false">'Ingredient Database'!B49</f>
        <v>Oat Hay</v>
      </c>
      <c r="B49" s="62"/>
      <c r="C49" s="53" t="n">
        <f aca="false">SUMIFS('Feed Purchase Log'!$D$5:$D$204,'Feed Purchase Log'!$C$5:$C$204,A49)</f>
        <v>0</v>
      </c>
      <c r="D49" s="53" t="n">
        <f aca="false">SUMIF('Cost Tracker'!$C$4:$C$503,A49,'Cost Tracker'!$D$4:$D$503)</f>
        <v>0</v>
      </c>
      <c r="E49" s="74" t="n">
        <f aca="false">B49+C49-D49</f>
        <v>0</v>
      </c>
      <c r="F49" s="62"/>
      <c r="G49" s="47" t="str">
        <f aca="false">IF(E49&lt;F49,"Reorder Now","OK")</f>
        <v>OK</v>
      </c>
    </row>
    <row r="50" customFormat="false" ht="15" hidden="false" customHeight="false" outlineLevel="0" collapsed="false">
      <c r="A50" s="45" t="str">
        <f aca="false">'Ingredient Database'!B50</f>
        <v>Wheat Straw (Bhoosa)</v>
      </c>
      <c r="B50" s="62"/>
      <c r="C50" s="53" t="n">
        <f aca="false">SUMIFS('Feed Purchase Log'!$D$5:$D$204,'Feed Purchase Log'!$C$5:$C$204,A50)</f>
        <v>0</v>
      </c>
      <c r="D50" s="53" t="n">
        <f aca="false">SUMIF('Cost Tracker'!$C$4:$C$503,A50,'Cost Tracker'!$D$4:$D$503)</f>
        <v>0</v>
      </c>
      <c r="E50" s="74" t="n">
        <f aca="false">B50+C50-D50</f>
        <v>0</v>
      </c>
      <c r="F50" s="62"/>
      <c r="G50" s="47" t="str">
        <f aca="false">IF(E50&lt;F50,"Reorder Now","OK")</f>
        <v>OK</v>
      </c>
    </row>
    <row r="51" customFormat="false" ht="15" hidden="false" customHeight="false" outlineLevel="0" collapsed="false">
      <c r="A51" s="45" t="str">
        <f aca="false">'Ingredient Database'!B51</f>
        <v>Rice Straw</v>
      </c>
      <c r="B51" s="62"/>
      <c r="C51" s="53" t="n">
        <f aca="false">SUMIFS('Feed Purchase Log'!$D$5:$D$204,'Feed Purchase Log'!$C$5:$C$204,A51)</f>
        <v>0</v>
      </c>
      <c r="D51" s="53" t="n">
        <f aca="false">SUMIF('Cost Tracker'!$C$4:$C$503,A51,'Cost Tracker'!$D$4:$D$503)</f>
        <v>0</v>
      </c>
      <c r="E51" s="74" t="n">
        <f aca="false">B51+C51-D51</f>
        <v>0</v>
      </c>
      <c r="F51" s="62"/>
      <c r="G51" s="47" t="str">
        <f aca="false">IF(E51&lt;F51,"Reorder Now","OK")</f>
        <v>OK</v>
      </c>
    </row>
    <row r="52" customFormat="false" ht="15" hidden="false" customHeight="false" outlineLevel="0" collapsed="false">
      <c r="A52" s="45" t="str">
        <f aca="false">'Ingredient Database'!B52</f>
        <v>Maize Stover (Karbi)</v>
      </c>
      <c r="B52" s="62"/>
      <c r="C52" s="53" t="n">
        <f aca="false">SUMIFS('Feed Purchase Log'!$D$5:$D$204,'Feed Purchase Log'!$C$5:$C$204,A52)</f>
        <v>0</v>
      </c>
      <c r="D52" s="53" t="n">
        <f aca="false">SUMIF('Cost Tracker'!$C$4:$C$503,A52,'Cost Tracker'!$D$4:$D$503)</f>
        <v>0</v>
      </c>
      <c r="E52" s="74" t="n">
        <f aca="false">B52+C52-D52</f>
        <v>0</v>
      </c>
      <c r="F52" s="62"/>
      <c r="G52" s="47" t="str">
        <f aca="false">IF(E52&lt;F52,"Reorder Now","OK")</f>
        <v>OK</v>
      </c>
    </row>
    <row r="53" customFormat="false" ht="15" hidden="false" customHeight="false" outlineLevel="0" collapsed="false">
      <c r="A53" s="45" t="str">
        <f aca="false">'Ingredient Database'!B53</f>
        <v>Sorghum Stover</v>
      </c>
      <c r="B53" s="62"/>
      <c r="C53" s="53" t="n">
        <f aca="false">SUMIFS('Feed Purchase Log'!$D$5:$D$204,'Feed Purchase Log'!$C$5:$C$204,A53)</f>
        <v>0</v>
      </c>
      <c r="D53" s="53" t="n">
        <f aca="false">SUMIF('Cost Tracker'!$C$4:$C$503,A53,'Cost Tracker'!$D$4:$D$503)</f>
        <v>0</v>
      </c>
      <c r="E53" s="74" t="n">
        <f aca="false">B53+C53-D53</f>
        <v>0</v>
      </c>
      <c r="F53" s="62"/>
      <c r="G53" s="47" t="str">
        <f aca="false">IF(E53&lt;F53,"Reorder Now","OK")</f>
        <v>OK</v>
      </c>
    </row>
    <row r="54" customFormat="false" ht="15" hidden="false" customHeight="false" outlineLevel="0" collapsed="false">
      <c r="A54" s="45" t="str">
        <f aca="false">'Ingredient Database'!B54</f>
        <v>Millet Stover</v>
      </c>
      <c r="B54" s="62"/>
      <c r="C54" s="53" t="n">
        <f aca="false">SUMIFS('Feed Purchase Log'!$D$5:$D$204,'Feed Purchase Log'!$C$5:$C$204,A54)</f>
        <v>0</v>
      </c>
      <c r="D54" s="53" t="n">
        <f aca="false">SUMIF('Cost Tracker'!$C$4:$C$503,A54,'Cost Tracker'!$D$4:$D$503)</f>
        <v>0</v>
      </c>
      <c r="E54" s="74" t="n">
        <f aca="false">B54+C54-D54</f>
        <v>0</v>
      </c>
      <c r="F54" s="62"/>
      <c r="G54" s="47" t="str">
        <f aca="false">IF(E54&lt;F54,"Reorder Now","OK")</f>
        <v>OK</v>
      </c>
    </row>
    <row r="55" customFormat="false" ht="15" hidden="false" customHeight="false" outlineLevel="0" collapsed="false">
      <c r="A55" s="45" t="str">
        <f aca="false">'Ingredient Database'!B55</f>
        <v>Corn Cobs (Ground)</v>
      </c>
      <c r="B55" s="62"/>
      <c r="C55" s="53" t="n">
        <f aca="false">SUMIFS('Feed Purchase Log'!$D$5:$D$204,'Feed Purchase Log'!$C$5:$C$204,A55)</f>
        <v>0</v>
      </c>
      <c r="D55" s="53" t="n">
        <f aca="false">SUMIF('Cost Tracker'!$C$4:$C$503,A55,'Cost Tracker'!$D$4:$D$503)</f>
        <v>0</v>
      </c>
      <c r="E55" s="74" t="n">
        <f aca="false">B55+C55-D55</f>
        <v>0</v>
      </c>
      <c r="F55" s="62"/>
      <c r="G55" s="47" t="str">
        <f aca="false">IF(E55&lt;F55,"Reorder Now","OK")</f>
        <v>OK</v>
      </c>
    </row>
    <row r="56" customFormat="false" ht="15" hidden="false" customHeight="false" outlineLevel="0" collapsed="false">
      <c r="A56" s="45" t="str">
        <f aca="false">'Ingredient Database'!B56</f>
        <v>Gram / Chickpea Straw (Chana Bhoosa)</v>
      </c>
      <c r="B56" s="62"/>
      <c r="C56" s="53" t="n">
        <f aca="false">SUMIFS('Feed Purchase Log'!$D$5:$D$204,'Feed Purchase Log'!$C$5:$C$204,A56)</f>
        <v>0</v>
      </c>
      <c r="D56" s="53" t="n">
        <f aca="false">SUMIF('Cost Tracker'!$C$4:$C$503,A56,'Cost Tracker'!$D$4:$D$503)</f>
        <v>0</v>
      </c>
      <c r="E56" s="74" t="n">
        <f aca="false">B56+C56-D56</f>
        <v>0</v>
      </c>
      <c r="F56" s="62"/>
      <c r="G56" s="47" t="str">
        <f aca="false">IF(E56&lt;F56,"Reorder Now","OK")</f>
        <v>OK</v>
      </c>
    </row>
    <row r="57" customFormat="false" ht="15" hidden="false" customHeight="false" outlineLevel="0" collapsed="false">
      <c r="A57" s="45" t="str">
        <f aca="false">'Ingredient Database'!B57</f>
        <v>Cotton Stalks (Ground)</v>
      </c>
      <c r="B57" s="62"/>
      <c r="C57" s="53" t="n">
        <f aca="false">SUMIFS('Feed Purchase Log'!$D$5:$D$204,'Feed Purchase Log'!$C$5:$C$204,A57)</f>
        <v>0</v>
      </c>
      <c r="D57" s="53" t="n">
        <f aca="false">SUMIF('Cost Tracker'!$C$4:$C$503,A57,'Cost Tracker'!$D$4:$D$503)</f>
        <v>0</v>
      </c>
      <c r="E57" s="74" t="n">
        <f aca="false">B57+C57-D57</f>
        <v>0</v>
      </c>
      <c r="F57" s="62"/>
      <c r="G57" s="47" t="str">
        <f aca="false">IF(E57&lt;F57,"Reorder Now","OK")</f>
        <v>OK</v>
      </c>
    </row>
    <row r="58" customFormat="false" ht="15" hidden="false" customHeight="false" outlineLevel="0" collapsed="false">
      <c r="A58" s="45" t="str">
        <f aca="false">'Ingredient Database'!B58</f>
        <v>Sugarcane Tops</v>
      </c>
      <c r="B58" s="62"/>
      <c r="C58" s="53" t="n">
        <f aca="false">SUMIFS('Feed Purchase Log'!$D$5:$D$204,'Feed Purchase Log'!$C$5:$C$204,A58)</f>
        <v>0</v>
      </c>
      <c r="D58" s="53" t="n">
        <f aca="false">SUMIF('Cost Tracker'!$C$4:$C$503,A58,'Cost Tracker'!$D$4:$D$503)</f>
        <v>0</v>
      </c>
      <c r="E58" s="74" t="n">
        <f aca="false">B58+C58-D58</f>
        <v>0</v>
      </c>
      <c r="F58" s="62"/>
      <c r="G58" s="47" t="str">
        <f aca="false">IF(E58&lt;F58,"Reorder Now","OK")</f>
        <v>OK</v>
      </c>
    </row>
    <row r="59" customFormat="false" ht="15" hidden="false" customHeight="false" outlineLevel="0" collapsed="false">
      <c r="A59" s="45" t="str">
        <f aca="false">'Ingredient Database'!B59</f>
        <v>Sugarcane Bagasse</v>
      </c>
      <c r="B59" s="62"/>
      <c r="C59" s="53" t="n">
        <f aca="false">SUMIFS('Feed Purchase Log'!$D$5:$D$204,'Feed Purchase Log'!$C$5:$C$204,A59)</f>
        <v>0</v>
      </c>
      <c r="D59" s="53" t="n">
        <f aca="false">SUMIF('Cost Tracker'!$C$4:$C$503,A59,'Cost Tracker'!$D$4:$D$503)</f>
        <v>0</v>
      </c>
      <c r="E59" s="74" t="n">
        <f aca="false">B59+C59-D59</f>
        <v>0</v>
      </c>
      <c r="F59" s="62"/>
      <c r="G59" s="47" t="str">
        <f aca="false">IF(E59&lt;F59,"Reorder Now","OK")</f>
        <v>OK</v>
      </c>
    </row>
  </sheetData>
  <mergeCells count="1">
    <mergeCell ref="A1:G1"/>
  </mergeCells>
  <conditionalFormatting sqref="G4:G59">
    <cfRule type="expression" priority="2" aboveAverage="0" equalAverage="0" bottom="0" percent="0" rank="0" text="" dxfId="2">
      <formula>G4="Reorder Now"</formula>
    </cfRule>
    <cfRule type="expression" priority="3" aboveAverage="0" equalAverage="0" bottom="0" percent="0" rank="0" text="" dxfId="3">
      <formula>G4="OK"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30" t="s">
        <v>382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5" hidden="false" customHeight="false" outlineLevel="0" collapsed="false">
      <c r="A2" s="48" t="s">
        <v>383</v>
      </c>
      <c r="B2" s="48"/>
      <c r="C2" s="48"/>
      <c r="D2" s="48"/>
      <c r="E2" s="48"/>
      <c r="F2" s="48"/>
      <c r="G2" s="48"/>
      <c r="H2" s="48"/>
      <c r="I2" s="48"/>
      <c r="J2" s="48"/>
    </row>
    <row r="4" customFormat="false" ht="26.85" hidden="false" customHeight="false" outlineLevel="0" collapsed="false">
      <c r="A4" s="31" t="s">
        <v>384</v>
      </c>
      <c r="B4" s="31" t="s">
        <v>102</v>
      </c>
      <c r="C4" s="31" t="s">
        <v>385</v>
      </c>
      <c r="D4" s="31" t="s">
        <v>386</v>
      </c>
      <c r="E4" s="31" t="s">
        <v>387</v>
      </c>
      <c r="F4" s="31" t="s">
        <v>388</v>
      </c>
      <c r="G4" s="31" t="s">
        <v>389</v>
      </c>
      <c r="H4" s="31" t="s">
        <v>390</v>
      </c>
      <c r="I4" s="31" t="s">
        <v>212</v>
      </c>
      <c r="J4" s="31" t="s">
        <v>232</v>
      </c>
    </row>
    <row r="5" customFormat="false" ht="15" hidden="false" customHeight="false" outlineLevel="0" collapsed="false">
      <c r="A5" s="50" t="s">
        <v>391</v>
      </c>
      <c r="B5" s="50" t="s">
        <v>392</v>
      </c>
      <c r="C5" s="50" t="s">
        <v>393</v>
      </c>
      <c r="D5" s="62"/>
      <c r="E5" s="62"/>
      <c r="F5" s="62"/>
      <c r="G5" s="53" t="n">
        <f aca="false">IF($A5="","",D5+E5-F5)</f>
        <v>0</v>
      </c>
      <c r="H5" s="62"/>
      <c r="I5" s="47" t="str">
        <f aca="false">IF($A5="","",IF(G5&lt;H5,"Reorder Now","OK"))</f>
        <v>OK</v>
      </c>
      <c r="J5" s="32" t="s">
        <v>292</v>
      </c>
    </row>
    <row r="6" customFormat="false" ht="15" hidden="false" customHeight="false" outlineLevel="0" collapsed="false">
      <c r="A6" s="50"/>
      <c r="B6" s="50"/>
      <c r="C6" s="50"/>
      <c r="D6" s="62"/>
      <c r="E6" s="62"/>
      <c r="F6" s="62"/>
      <c r="G6" s="53" t="str">
        <f aca="false">IF($A6="","",D6+E6-F6)</f>
        <v/>
      </c>
      <c r="H6" s="62"/>
      <c r="I6" s="47" t="str">
        <f aca="false">IF($A6="","",IF(G6&lt;H6,"Reorder Now","OK"))</f>
        <v/>
      </c>
      <c r="J6" s="32"/>
    </row>
    <row r="7" customFormat="false" ht="15" hidden="false" customHeight="false" outlineLevel="0" collapsed="false">
      <c r="A7" s="50"/>
      <c r="B7" s="50"/>
      <c r="C7" s="50"/>
      <c r="D7" s="62"/>
      <c r="E7" s="62"/>
      <c r="F7" s="62"/>
      <c r="G7" s="53" t="str">
        <f aca="false">IF($A7="","",D7+E7-F7)</f>
        <v/>
      </c>
      <c r="H7" s="62"/>
      <c r="I7" s="47" t="str">
        <f aca="false">IF($A7="","",IF(G7&lt;H7,"Reorder Now","OK"))</f>
        <v/>
      </c>
      <c r="J7" s="32"/>
    </row>
    <row r="8" customFormat="false" ht="15" hidden="false" customHeight="false" outlineLevel="0" collapsed="false">
      <c r="A8" s="50"/>
      <c r="B8" s="50"/>
      <c r="C8" s="50"/>
      <c r="D8" s="62"/>
      <c r="E8" s="62"/>
      <c r="F8" s="62"/>
      <c r="G8" s="53" t="str">
        <f aca="false">IF($A8="","",D8+E8-F8)</f>
        <v/>
      </c>
      <c r="H8" s="62"/>
      <c r="I8" s="47" t="str">
        <f aca="false">IF($A8="","",IF(G8&lt;H8,"Reorder Now","OK"))</f>
        <v/>
      </c>
      <c r="J8" s="32"/>
    </row>
    <row r="9" customFormat="false" ht="15" hidden="false" customHeight="false" outlineLevel="0" collapsed="false">
      <c r="A9" s="50"/>
      <c r="B9" s="50"/>
      <c r="C9" s="50"/>
      <c r="D9" s="62"/>
      <c r="E9" s="62"/>
      <c r="F9" s="62"/>
      <c r="G9" s="53" t="str">
        <f aca="false">IF($A9="","",D9+E9-F9)</f>
        <v/>
      </c>
      <c r="H9" s="62"/>
      <c r="I9" s="47" t="str">
        <f aca="false">IF($A9="","",IF(G9&lt;H9,"Reorder Now","OK"))</f>
        <v/>
      </c>
      <c r="J9" s="32"/>
    </row>
    <row r="10" customFormat="false" ht="15" hidden="false" customHeight="false" outlineLevel="0" collapsed="false">
      <c r="A10" s="50"/>
      <c r="B10" s="50"/>
      <c r="C10" s="50"/>
      <c r="D10" s="62"/>
      <c r="E10" s="62"/>
      <c r="F10" s="62"/>
      <c r="G10" s="53" t="str">
        <f aca="false">IF($A10="","",D10+E10-F10)</f>
        <v/>
      </c>
      <c r="H10" s="62"/>
      <c r="I10" s="47" t="str">
        <f aca="false">IF($A10="","",IF(G10&lt;H10,"Reorder Now","OK"))</f>
        <v/>
      </c>
      <c r="J10" s="32"/>
    </row>
    <row r="11" customFormat="false" ht="15" hidden="false" customHeight="false" outlineLevel="0" collapsed="false">
      <c r="A11" s="50"/>
      <c r="B11" s="50"/>
      <c r="C11" s="50"/>
      <c r="D11" s="62"/>
      <c r="E11" s="62"/>
      <c r="F11" s="62"/>
      <c r="G11" s="53" t="str">
        <f aca="false">IF($A11="","",D11+E11-F11)</f>
        <v/>
      </c>
      <c r="H11" s="62"/>
      <c r="I11" s="47" t="str">
        <f aca="false">IF($A11="","",IF(G11&lt;H11,"Reorder Now","OK"))</f>
        <v/>
      </c>
      <c r="J11" s="32"/>
    </row>
    <row r="12" customFormat="false" ht="15" hidden="false" customHeight="false" outlineLevel="0" collapsed="false">
      <c r="A12" s="50"/>
      <c r="B12" s="50"/>
      <c r="C12" s="50"/>
      <c r="D12" s="62"/>
      <c r="E12" s="62"/>
      <c r="F12" s="62"/>
      <c r="G12" s="53" t="str">
        <f aca="false">IF($A12="","",D12+E12-F12)</f>
        <v/>
      </c>
      <c r="H12" s="62"/>
      <c r="I12" s="47" t="str">
        <f aca="false">IF($A12="","",IF(G12&lt;H12,"Reorder Now","OK"))</f>
        <v/>
      </c>
      <c r="J12" s="32"/>
    </row>
    <row r="13" customFormat="false" ht="15" hidden="false" customHeight="false" outlineLevel="0" collapsed="false">
      <c r="A13" s="50"/>
      <c r="B13" s="50"/>
      <c r="C13" s="50"/>
      <c r="D13" s="62"/>
      <c r="E13" s="62"/>
      <c r="F13" s="62"/>
      <c r="G13" s="53" t="str">
        <f aca="false">IF($A13="","",D13+E13-F13)</f>
        <v/>
      </c>
      <c r="H13" s="62"/>
      <c r="I13" s="47" t="str">
        <f aca="false">IF($A13="","",IF(G13&lt;H13,"Reorder Now","OK"))</f>
        <v/>
      </c>
      <c r="J13" s="32"/>
    </row>
    <row r="14" customFormat="false" ht="15" hidden="false" customHeight="false" outlineLevel="0" collapsed="false">
      <c r="A14" s="50"/>
      <c r="B14" s="50"/>
      <c r="C14" s="50"/>
      <c r="D14" s="62"/>
      <c r="E14" s="62"/>
      <c r="F14" s="62"/>
      <c r="G14" s="53" t="str">
        <f aca="false">IF($A14="","",D14+E14-F14)</f>
        <v/>
      </c>
      <c r="H14" s="62"/>
      <c r="I14" s="47" t="str">
        <f aca="false">IF($A14="","",IF(G14&lt;H14,"Reorder Now","OK"))</f>
        <v/>
      </c>
      <c r="J14" s="32"/>
    </row>
    <row r="15" customFormat="false" ht="15" hidden="false" customHeight="false" outlineLevel="0" collapsed="false">
      <c r="A15" s="50"/>
      <c r="B15" s="50"/>
      <c r="C15" s="50"/>
      <c r="D15" s="62"/>
      <c r="E15" s="62"/>
      <c r="F15" s="62"/>
      <c r="G15" s="53" t="str">
        <f aca="false">IF($A15="","",D15+E15-F15)</f>
        <v/>
      </c>
      <c r="H15" s="62"/>
      <c r="I15" s="47" t="str">
        <f aca="false">IF($A15="","",IF(G15&lt;H15,"Reorder Now","OK"))</f>
        <v/>
      </c>
      <c r="J15" s="32"/>
    </row>
    <row r="16" customFormat="false" ht="15" hidden="false" customHeight="false" outlineLevel="0" collapsed="false">
      <c r="A16" s="50"/>
      <c r="B16" s="50"/>
      <c r="C16" s="50"/>
      <c r="D16" s="62"/>
      <c r="E16" s="62"/>
      <c r="F16" s="62"/>
      <c r="G16" s="53" t="str">
        <f aca="false">IF($A16="","",D16+E16-F16)</f>
        <v/>
      </c>
      <c r="H16" s="62"/>
      <c r="I16" s="47" t="str">
        <f aca="false">IF($A16="","",IF(G16&lt;H16,"Reorder Now","OK"))</f>
        <v/>
      </c>
      <c r="J16" s="32"/>
    </row>
    <row r="17" customFormat="false" ht="15" hidden="false" customHeight="false" outlineLevel="0" collapsed="false">
      <c r="A17" s="50"/>
      <c r="B17" s="50"/>
      <c r="C17" s="50"/>
      <c r="D17" s="62"/>
      <c r="E17" s="62"/>
      <c r="F17" s="62"/>
      <c r="G17" s="53" t="str">
        <f aca="false">IF($A17="","",D17+E17-F17)</f>
        <v/>
      </c>
      <c r="H17" s="62"/>
      <c r="I17" s="47" t="str">
        <f aca="false">IF($A17="","",IF(G17&lt;H17,"Reorder Now","OK"))</f>
        <v/>
      </c>
      <c r="J17" s="32"/>
    </row>
    <row r="18" customFormat="false" ht="15" hidden="false" customHeight="false" outlineLevel="0" collapsed="false">
      <c r="A18" s="50"/>
      <c r="B18" s="50"/>
      <c r="C18" s="50"/>
      <c r="D18" s="62"/>
      <c r="E18" s="62"/>
      <c r="F18" s="62"/>
      <c r="G18" s="53" t="str">
        <f aca="false">IF($A18="","",D18+E18-F18)</f>
        <v/>
      </c>
      <c r="H18" s="62"/>
      <c r="I18" s="47" t="str">
        <f aca="false">IF($A18="","",IF(G18&lt;H18,"Reorder Now","OK"))</f>
        <v/>
      </c>
      <c r="J18" s="32"/>
    </row>
    <row r="19" customFormat="false" ht="15" hidden="false" customHeight="false" outlineLevel="0" collapsed="false">
      <c r="A19" s="50"/>
      <c r="B19" s="50"/>
      <c r="C19" s="50"/>
      <c r="D19" s="62"/>
      <c r="E19" s="62"/>
      <c r="F19" s="62"/>
      <c r="G19" s="53" t="str">
        <f aca="false">IF($A19="","",D19+E19-F19)</f>
        <v/>
      </c>
      <c r="H19" s="62"/>
      <c r="I19" s="47" t="str">
        <f aca="false">IF($A19="","",IF(G19&lt;H19,"Reorder Now","OK"))</f>
        <v/>
      </c>
      <c r="J19" s="32"/>
    </row>
    <row r="20" customFormat="false" ht="15" hidden="false" customHeight="false" outlineLevel="0" collapsed="false">
      <c r="A20" s="50"/>
      <c r="B20" s="50"/>
      <c r="C20" s="50"/>
      <c r="D20" s="62"/>
      <c r="E20" s="62"/>
      <c r="F20" s="62"/>
      <c r="G20" s="53" t="str">
        <f aca="false">IF($A20="","",D20+E20-F20)</f>
        <v/>
      </c>
      <c r="H20" s="62"/>
      <c r="I20" s="47" t="str">
        <f aca="false">IF($A20="","",IF(G20&lt;H20,"Reorder Now","OK"))</f>
        <v/>
      </c>
      <c r="J20" s="32"/>
    </row>
    <row r="21" customFormat="false" ht="15" hidden="false" customHeight="false" outlineLevel="0" collapsed="false">
      <c r="A21" s="50"/>
      <c r="B21" s="50"/>
      <c r="C21" s="50"/>
      <c r="D21" s="62"/>
      <c r="E21" s="62"/>
      <c r="F21" s="62"/>
      <c r="G21" s="53" t="str">
        <f aca="false">IF($A21="","",D21+E21-F21)</f>
        <v/>
      </c>
      <c r="H21" s="62"/>
      <c r="I21" s="47" t="str">
        <f aca="false">IF($A21="","",IF(G21&lt;H21,"Reorder Now","OK"))</f>
        <v/>
      </c>
      <c r="J21" s="32"/>
    </row>
    <row r="22" customFormat="false" ht="15" hidden="false" customHeight="false" outlineLevel="0" collapsed="false">
      <c r="A22" s="50"/>
      <c r="B22" s="50"/>
      <c r="C22" s="50"/>
      <c r="D22" s="62"/>
      <c r="E22" s="62"/>
      <c r="F22" s="62"/>
      <c r="G22" s="53" t="str">
        <f aca="false">IF($A22="","",D22+E22-F22)</f>
        <v/>
      </c>
      <c r="H22" s="62"/>
      <c r="I22" s="47" t="str">
        <f aca="false">IF($A22="","",IF(G22&lt;H22,"Reorder Now","OK"))</f>
        <v/>
      </c>
      <c r="J22" s="32"/>
    </row>
    <row r="23" customFormat="false" ht="15" hidden="false" customHeight="false" outlineLevel="0" collapsed="false">
      <c r="A23" s="50"/>
      <c r="B23" s="50"/>
      <c r="C23" s="50"/>
      <c r="D23" s="62"/>
      <c r="E23" s="62"/>
      <c r="F23" s="62"/>
      <c r="G23" s="53" t="str">
        <f aca="false">IF($A23="","",D23+E23-F23)</f>
        <v/>
      </c>
      <c r="H23" s="62"/>
      <c r="I23" s="47" t="str">
        <f aca="false">IF($A23="","",IF(G23&lt;H23,"Reorder Now","OK"))</f>
        <v/>
      </c>
      <c r="J23" s="32"/>
    </row>
    <row r="24" customFormat="false" ht="15" hidden="false" customHeight="false" outlineLevel="0" collapsed="false">
      <c r="A24" s="50"/>
      <c r="B24" s="50"/>
      <c r="C24" s="50"/>
      <c r="D24" s="62"/>
      <c r="E24" s="62"/>
      <c r="F24" s="62"/>
      <c r="G24" s="53" t="str">
        <f aca="false">IF($A24="","",D24+E24-F24)</f>
        <v/>
      </c>
      <c r="H24" s="62"/>
      <c r="I24" s="47" t="str">
        <f aca="false">IF($A24="","",IF(G24&lt;H24,"Reorder Now","OK"))</f>
        <v/>
      </c>
      <c r="J24" s="32"/>
    </row>
    <row r="25" customFormat="false" ht="15" hidden="false" customHeight="false" outlineLevel="0" collapsed="false">
      <c r="A25" s="50"/>
      <c r="B25" s="50"/>
      <c r="C25" s="50"/>
      <c r="D25" s="62"/>
      <c r="E25" s="62"/>
      <c r="F25" s="62"/>
      <c r="G25" s="53" t="str">
        <f aca="false">IF($A25="","",D25+E25-F25)</f>
        <v/>
      </c>
      <c r="H25" s="62"/>
      <c r="I25" s="47" t="str">
        <f aca="false">IF($A25="","",IF(G25&lt;H25,"Reorder Now","OK"))</f>
        <v/>
      </c>
      <c r="J25" s="32"/>
    </row>
    <row r="26" customFormat="false" ht="15" hidden="false" customHeight="false" outlineLevel="0" collapsed="false">
      <c r="A26" s="50"/>
      <c r="B26" s="50"/>
      <c r="C26" s="50"/>
      <c r="D26" s="62"/>
      <c r="E26" s="62"/>
      <c r="F26" s="62"/>
      <c r="G26" s="53" t="str">
        <f aca="false">IF($A26="","",D26+E26-F26)</f>
        <v/>
      </c>
      <c r="H26" s="62"/>
      <c r="I26" s="47" t="str">
        <f aca="false">IF($A26="","",IF(G26&lt;H26,"Reorder Now","OK"))</f>
        <v/>
      </c>
      <c r="J26" s="32"/>
    </row>
    <row r="27" customFormat="false" ht="15" hidden="false" customHeight="false" outlineLevel="0" collapsed="false">
      <c r="A27" s="50"/>
      <c r="B27" s="50"/>
      <c r="C27" s="50"/>
      <c r="D27" s="62"/>
      <c r="E27" s="62"/>
      <c r="F27" s="62"/>
      <c r="G27" s="53" t="str">
        <f aca="false">IF($A27="","",D27+E27-F27)</f>
        <v/>
      </c>
      <c r="H27" s="62"/>
      <c r="I27" s="47" t="str">
        <f aca="false">IF($A27="","",IF(G27&lt;H27,"Reorder Now","OK"))</f>
        <v/>
      </c>
      <c r="J27" s="32"/>
    </row>
    <row r="28" customFormat="false" ht="15" hidden="false" customHeight="false" outlineLevel="0" collapsed="false">
      <c r="A28" s="50"/>
      <c r="B28" s="50"/>
      <c r="C28" s="50"/>
      <c r="D28" s="62"/>
      <c r="E28" s="62"/>
      <c r="F28" s="62"/>
      <c r="G28" s="53" t="str">
        <f aca="false">IF($A28="","",D28+E28-F28)</f>
        <v/>
      </c>
      <c r="H28" s="62"/>
      <c r="I28" s="47" t="str">
        <f aca="false">IF($A28="","",IF(G28&lt;H28,"Reorder Now","OK"))</f>
        <v/>
      </c>
      <c r="J28" s="32"/>
    </row>
    <row r="29" customFormat="false" ht="15" hidden="false" customHeight="false" outlineLevel="0" collapsed="false">
      <c r="A29" s="50"/>
      <c r="B29" s="50"/>
      <c r="C29" s="50"/>
      <c r="D29" s="62"/>
      <c r="E29" s="62"/>
      <c r="F29" s="62"/>
      <c r="G29" s="53" t="str">
        <f aca="false">IF($A29="","",D29+E29-F29)</f>
        <v/>
      </c>
      <c r="H29" s="62"/>
      <c r="I29" s="47" t="str">
        <f aca="false">IF($A29="","",IF(G29&lt;H29,"Reorder Now","OK"))</f>
        <v/>
      </c>
      <c r="J29" s="32"/>
    </row>
    <row r="30" customFormat="false" ht="15" hidden="false" customHeight="false" outlineLevel="0" collapsed="false">
      <c r="A30" s="50"/>
      <c r="B30" s="50"/>
      <c r="C30" s="50"/>
      <c r="D30" s="62"/>
      <c r="E30" s="62"/>
      <c r="F30" s="62"/>
      <c r="G30" s="53" t="str">
        <f aca="false">IF($A30="","",D30+E30-F30)</f>
        <v/>
      </c>
      <c r="H30" s="62"/>
      <c r="I30" s="47" t="str">
        <f aca="false">IF($A30="","",IF(G30&lt;H30,"Reorder Now","OK"))</f>
        <v/>
      </c>
      <c r="J30" s="32"/>
    </row>
    <row r="31" customFormat="false" ht="15" hidden="false" customHeight="false" outlineLevel="0" collapsed="false">
      <c r="A31" s="50"/>
      <c r="B31" s="50"/>
      <c r="C31" s="50"/>
      <c r="D31" s="62"/>
      <c r="E31" s="62"/>
      <c r="F31" s="62"/>
      <c r="G31" s="53" t="str">
        <f aca="false">IF($A31="","",D31+E31-F31)</f>
        <v/>
      </c>
      <c r="H31" s="62"/>
      <c r="I31" s="47" t="str">
        <f aca="false">IF($A31="","",IF(G31&lt;H31,"Reorder Now","OK"))</f>
        <v/>
      </c>
      <c r="J31" s="32"/>
    </row>
    <row r="32" customFormat="false" ht="15" hidden="false" customHeight="false" outlineLevel="0" collapsed="false">
      <c r="A32" s="50"/>
      <c r="B32" s="50"/>
      <c r="C32" s="50"/>
      <c r="D32" s="62"/>
      <c r="E32" s="62"/>
      <c r="F32" s="62"/>
      <c r="G32" s="53" t="str">
        <f aca="false">IF($A32="","",D32+E32-F32)</f>
        <v/>
      </c>
      <c r="H32" s="62"/>
      <c r="I32" s="47" t="str">
        <f aca="false">IF($A32="","",IF(G32&lt;H32,"Reorder Now","OK"))</f>
        <v/>
      </c>
      <c r="J32" s="32"/>
    </row>
    <row r="33" customFormat="false" ht="15" hidden="false" customHeight="false" outlineLevel="0" collapsed="false">
      <c r="A33" s="50"/>
      <c r="B33" s="50"/>
      <c r="C33" s="50"/>
      <c r="D33" s="62"/>
      <c r="E33" s="62"/>
      <c r="F33" s="62"/>
      <c r="G33" s="53" t="str">
        <f aca="false">IF($A33="","",D33+E33-F33)</f>
        <v/>
      </c>
      <c r="H33" s="62"/>
      <c r="I33" s="47" t="str">
        <f aca="false">IF($A33="","",IF(G33&lt;H33,"Reorder Now","OK"))</f>
        <v/>
      </c>
      <c r="J33" s="32"/>
    </row>
    <row r="34" customFormat="false" ht="15" hidden="false" customHeight="false" outlineLevel="0" collapsed="false">
      <c r="A34" s="50"/>
      <c r="B34" s="50"/>
      <c r="C34" s="50"/>
      <c r="D34" s="62"/>
      <c r="E34" s="62"/>
      <c r="F34" s="62"/>
      <c r="G34" s="53" t="str">
        <f aca="false">IF($A34="","",D34+E34-F34)</f>
        <v/>
      </c>
      <c r="H34" s="62"/>
      <c r="I34" s="47" t="str">
        <f aca="false">IF($A34="","",IF(G34&lt;H34,"Reorder Now","OK"))</f>
        <v/>
      </c>
      <c r="J34" s="32"/>
    </row>
    <row r="35" customFormat="false" ht="15" hidden="false" customHeight="false" outlineLevel="0" collapsed="false">
      <c r="A35" s="50"/>
      <c r="B35" s="50"/>
      <c r="C35" s="50"/>
      <c r="D35" s="62"/>
      <c r="E35" s="62"/>
      <c r="F35" s="62"/>
      <c r="G35" s="53" t="str">
        <f aca="false">IF($A35="","",D35+E35-F35)</f>
        <v/>
      </c>
      <c r="H35" s="62"/>
      <c r="I35" s="47" t="str">
        <f aca="false">IF($A35="","",IF(G35&lt;H35,"Reorder Now","OK"))</f>
        <v/>
      </c>
      <c r="J35" s="32"/>
    </row>
    <row r="36" customFormat="false" ht="15" hidden="false" customHeight="false" outlineLevel="0" collapsed="false">
      <c r="A36" s="50"/>
      <c r="B36" s="50"/>
      <c r="C36" s="50"/>
      <c r="D36" s="62"/>
      <c r="E36" s="62"/>
      <c r="F36" s="62"/>
      <c r="G36" s="53" t="str">
        <f aca="false">IF($A36="","",D36+E36-F36)</f>
        <v/>
      </c>
      <c r="H36" s="62"/>
      <c r="I36" s="47" t="str">
        <f aca="false">IF($A36="","",IF(G36&lt;H36,"Reorder Now","OK"))</f>
        <v/>
      </c>
      <c r="J36" s="32"/>
    </row>
    <row r="37" customFormat="false" ht="15" hidden="false" customHeight="false" outlineLevel="0" collapsed="false">
      <c r="A37" s="50"/>
      <c r="B37" s="50"/>
      <c r="C37" s="50"/>
      <c r="D37" s="62"/>
      <c r="E37" s="62"/>
      <c r="F37" s="62"/>
      <c r="G37" s="53" t="str">
        <f aca="false">IF($A37="","",D37+E37-F37)</f>
        <v/>
      </c>
      <c r="H37" s="62"/>
      <c r="I37" s="47" t="str">
        <f aca="false">IF($A37="","",IF(G37&lt;H37,"Reorder Now","OK"))</f>
        <v/>
      </c>
      <c r="J37" s="32"/>
    </row>
    <row r="38" customFormat="false" ht="15" hidden="false" customHeight="false" outlineLevel="0" collapsed="false">
      <c r="A38" s="50"/>
      <c r="B38" s="50"/>
      <c r="C38" s="50"/>
      <c r="D38" s="62"/>
      <c r="E38" s="62"/>
      <c r="F38" s="62"/>
      <c r="G38" s="53" t="str">
        <f aca="false">IF($A38="","",D38+E38-F38)</f>
        <v/>
      </c>
      <c r="H38" s="62"/>
      <c r="I38" s="47" t="str">
        <f aca="false">IF($A38="","",IF(G38&lt;H38,"Reorder Now","OK"))</f>
        <v/>
      </c>
      <c r="J38" s="32"/>
    </row>
    <row r="39" customFormat="false" ht="15" hidden="false" customHeight="false" outlineLevel="0" collapsed="false">
      <c r="A39" s="50"/>
      <c r="B39" s="50"/>
      <c r="C39" s="50"/>
      <c r="D39" s="62"/>
      <c r="E39" s="62"/>
      <c r="F39" s="62"/>
      <c r="G39" s="53" t="str">
        <f aca="false">IF($A39="","",D39+E39-F39)</f>
        <v/>
      </c>
      <c r="H39" s="62"/>
      <c r="I39" s="47" t="str">
        <f aca="false">IF($A39="","",IF(G39&lt;H39,"Reorder Now","OK"))</f>
        <v/>
      </c>
      <c r="J39" s="32"/>
    </row>
    <row r="40" customFormat="false" ht="15" hidden="false" customHeight="false" outlineLevel="0" collapsed="false">
      <c r="A40" s="50"/>
      <c r="B40" s="50"/>
      <c r="C40" s="50"/>
      <c r="D40" s="62"/>
      <c r="E40" s="62"/>
      <c r="F40" s="62"/>
      <c r="G40" s="53" t="str">
        <f aca="false">IF($A40="","",D40+E40-F40)</f>
        <v/>
      </c>
      <c r="H40" s="62"/>
      <c r="I40" s="47" t="str">
        <f aca="false">IF($A40="","",IF(G40&lt;H40,"Reorder Now","OK"))</f>
        <v/>
      </c>
      <c r="J40" s="32"/>
    </row>
    <row r="41" customFormat="false" ht="15" hidden="false" customHeight="false" outlineLevel="0" collapsed="false">
      <c r="A41" s="50"/>
      <c r="B41" s="50"/>
      <c r="C41" s="50"/>
      <c r="D41" s="62"/>
      <c r="E41" s="62"/>
      <c r="F41" s="62"/>
      <c r="G41" s="53" t="str">
        <f aca="false">IF($A41="","",D41+E41-F41)</f>
        <v/>
      </c>
      <c r="H41" s="62"/>
      <c r="I41" s="47" t="str">
        <f aca="false">IF($A41="","",IF(G41&lt;H41,"Reorder Now","OK"))</f>
        <v/>
      </c>
      <c r="J41" s="32"/>
    </row>
    <row r="42" customFormat="false" ht="15" hidden="false" customHeight="false" outlineLevel="0" collapsed="false">
      <c r="A42" s="50"/>
      <c r="B42" s="50"/>
      <c r="C42" s="50"/>
      <c r="D42" s="62"/>
      <c r="E42" s="62"/>
      <c r="F42" s="62"/>
      <c r="G42" s="53" t="str">
        <f aca="false">IF($A42="","",D42+E42-F42)</f>
        <v/>
      </c>
      <c r="H42" s="62"/>
      <c r="I42" s="47" t="str">
        <f aca="false">IF($A42="","",IF(G42&lt;H42,"Reorder Now","OK"))</f>
        <v/>
      </c>
      <c r="J42" s="32"/>
    </row>
    <row r="43" customFormat="false" ht="15" hidden="false" customHeight="false" outlineLevel="0" collapsed="false">
      <c r="A43" s="50"/>
      <c r="B43" s="50"/>
      <c r="C43" s="50"/>
      <c r="D43" s="62"/>
      <c r="E43" s="62"/>
      <c r="F43" s="62"/>
      <c r="G43" s="53" t="str">
        <f aca="false">IF($A43="","",D43+E43-F43)</f>
        <v/>
      </c>
      <c r="H43" s="62"/>
      <c r="I43" s="47" t="str">
        <f aca="false">IF($A43="","",IF(G43&lt;H43,"Reorder Now","OK"))</f>
        <v/>
      </c>
      <c r="J43" s="32"/>
    </row>
    <row r="44" customFormat="false" ht="15" hidden="false" customHeight="false" outlineLevel="0" collapsed="false">
      <c r="A44" s="50"/>
      <c r="B44" s="50"/>
      <c r="C44" s="50"/>
      <c r="D44" s="62"/>
      <c r="E44" s="62"/>
      <c r="F44" s="62"/>
      <c r="G44" s="53" t="str">
        <f aca="false">IF($A44="","",D44+E44-F44)</f>
        <v/>
      </c>
      <c r="H44" s="62"/>
      <c r="I44" s="47" t="str">
        <f aca="false">IF($A44="","",IF(G44&lt;H44,"Reorder Now","OK"))</f>
        <v/>
      </c>
      <c r="J44" s="32"/>
    </row>
    <row r="45" customFormat="false" ht="15" hidden="false" customHeight="false" outlineLevel="0" collapsed="false">
      <c r="A45" s="50"/>
      <c r="B45" s="50"/>
      <c r="C45" s="50"/>
      <c r="D45" s="62"/>
      <c r="E45" s="62"/>
      <c r="F45" s="62"/>
      <c r="G45" s="53" t="str">
        <f aca="false">IF($A45="","",D45+E45-F45)</f>
        <v/>
      </c>
      <c r="H45" s="62"/>
      <c r="I45" s="47" t="str">
        <f aca="false">IF($A45="","",IF(G45&lt;H45,"Reorder Now","OK"))</f>
        <v/>
      </c>
      <c r="J45" s="32"/>
    </row>
    <row r="46" customFormat="false" ht="15" hidden="false" customHeight="false" outlineLevel="0" collapsed="false">
      <c r="A46" s="50"/>
      <c r="B46" s="50"/>
      <c r="C46" s="50"/>
      <c r="D46" s="62"/>
      <c r="E46" s="62"/>
      <c r="F46" s="62"/>
      <c r="G46" s="53" t="str">
        <f aca="false">IF($A46="","",D46+E46-F46)</f>
        <v/>
      </c>
      <c r="H46" s="62"/>
      <c r="I46" s="47" t="str">
        <f aca="false">IF($A46="","",IF(G46&lt;H46,"Reorder Now","OK"))</f>
        <v/>
      </c>
      <c r="J46" s="32"/>
    </row>
    <row r="47" customFormat="false" ht="15" hidden="false" customHeight="false" outlineLevel="0" collapsed="false">
      <c r="A47" s="50"/>
      <c r="B47" s="50"/>
      <c r="C47" s="50"/>
      <c r="D47" s="62"/>
      <c r="E47" s="62"/>
      <c r="F47" s="62"/>
      <c r="G47" s="53" t="str">
        <f aca="false">IF($A47="","",D47+E47-F47)</f>
        <v/>
      </c>
      <c r="H47" s="62"/>
      <c r="I47" s="47" t="str">
        <f aca="false">IF($A47="","",IF(G47&lt;H47,"Reorder Now","OK"))</f>
        <v/>
      </c>
      <c r="J47" s="32"/>
    </row>
    <row r="48" customFormat="false" ht="15" hidden="false" customHeight="false" outlineLevel="0" collapsed="false">
      <c r="A48" s="50"/>
      <c r="B48" s="50"/>
      <c r="C48" s="50"/>
      <c r="D48" s="62"/>
      <c r="E48" s="62"/>
      <c r="F48" s="62"/>
      <c r="G48" s="53" t="str">
        <f aca="false">IF($A48="","",D48+E48-F48)</f>
        <v/>
      </c>
      <c r="H48" s="62"/>
      <c r="I48" s="47" t="str">
        <f aca="false">IF($A48="","",IF(G48&lt;H48,"Reorder Now","OK"))</f>
        <v/>
      </c>
      <c r="J48" s="32"/>
    </row>
    <row r="49" customFormat="false" ht="15" hidden="false" customHeight="false" outlineLevel="0" collapsed="false">
      <c r="A49" s="50"/>
      <c r="B49" s="50"/>
      <c r="C49" s="50"/>
      <c r="D49" s="62"/>
      <c r="E49" s="62"/>
      <c r="F49" s="62"/>
      <c r="G49" s="53" t="str">
        <f aca="false">IF($A49="","",D49+E49-F49)</f>
        <v/>
      </c>
      <c r="H49" s="62"/>
      <c r="I49" s="47" t="str">
        <f aca="false">IF($A49="","",IF(G49&lt;H49,"Reorder Now","OK"))</f>
        <v/>
      </c>
      <c r="J49" s="32"/>
    </row>
    <row r="50" customFormat="false" ht="15" hidden="false" customHeight="false" outlineLevel="0" collapsed="false">
      <c r="A50" s="50"/>
      <c r="B50" s="50"/>
      <c r="C50" s="50"/>
      <c r="D50" s="62"/>
      <c r="E50" s="62"/>
      <c r="F50" s="62"/>
      <c r="G50" s="53" t="str">
        <f aca="false">IF($A50="","",D50+E50-F50)</f>
        <v/>
      </c>
      <c r="H50" s="62"/>
      <c r="I50" s="47" t="str">
        <f aca="false">IF($A50="","",IF(G50&lt;H50,"Reorder Now","OK"))</f>
        <v/>
      </c>
      <c r="J50" s="32"/>
    </row>
    <row r="51" customFormat="false" ht="15" hidden="false" customHeight="false" outlineLevel="0" collapsed="false">
      <c r="A51" s="50"/>
      <c r="B51" s="50"/>
      <c r="C51" s="50"/>
      <c r="D51" s="62"/>
      <c r="E51" s="62"/>
      <c r="F51" s="62"/>
      <c r="G51" s="53" t="str">
        <f aca="false">IF($A51="","",D51+E51-F51)</f>
        <v/>
      </c>
      <c r="H51" s="62"/>
      <c r="I51" s="47" t="str">
        <f aca="false">IF($A51="","",IF(G51&lt;H51,"Reorder Now","OK"))</f>
        <v/>
      </c>
      <c r="J51" s="32"/>
    </row>
    <row r="52" customFormat="false" ht="15" hidden="false" customHeight="false" outlineLevel="0" collapsed="false">
      <c r="A52" s="50"/>
      <c r="B52" s="50"/>
      <c r="C52" s="50"/>
      <c r="D52" s="62"/>
      <c r="E52" s="62"/>
      <c r="F52" s="62"/>
      <c r="G52" s="53" t="str">
        <f aca="false">IF($A52="","",D52+E52-F52)</f>
        <v/>
      </c>
      <c r="H52" s="62"/>
      <c r="I52" s="47" t="str">
        <f aca="false">IF($A52="","",IF(G52&lt;H52,"Reorder Now","OK"))</f>
        <v/>
      </c>
      <c r="J52" s="32"/>
    </row>
    <row r="53" customFormat="false" ht="15" hidden="false" customHeight="false" outlineLevel="0" collapsed="false">
      <c r="A53" s="50"/>
      <c r="B53" s="50"/>
      <c r="C53" s="50"/>
      <c r="D53" s="62"/>
      <c r="E53" s="62"/>
      <c r="F53" s="62"/>
      <c r="G53" s="53" t="str">
        <f aca="false">IF($A53="","",D53+E53-F53)</f>
        <v/>
      </c>
      <c r="H53" s="62"/>
      <c r="I53" s="47" t="str">
        <f aca="false">IF($A53="","",IF(G53&lt;H53,"Reorder Now","OK"))</f>
        <v/>
      </c>
      <c r="J53" s="32"/>
    </row>
    <row r="54" customFormat="false" ht="15" hidden="false" customHeight="false" outlineLevel="0" collapsed="false">
      <c r="A54" s="50"/>
      <c r="B54" s="50"/>
      <c r="C54" s="50"/>
      <c r="D54" s="62"/>
      <c r="E54" s="62"/>
      <c r="F54" s="62"/>
      <c r="G54" s="53" t="str">
        <f aca="false">IF($A54="","",D54+E54-F54)</f>
        <v/>
      </c>
      <c r="H54" s="62"/>
      <c r="I54" s="47" t="str">
        <f aca="false">IF($A54="","",IF(G54&lt;H54,"Reorder Now","OK"))</f>
        <v/>
      </c>
      <c r="J54" s="32"/>
    </row>
    <row r="55" customFormat="false" ht="15" hidden="false" customHeight="false" outlineLevel="0" collapsed="false">
      <c r="A55" s="50"/>
      <c r="B55" s="50"/>
      <c r="C55" s="50"/>
      <c r="D55" s="62"/>
      <c r="E55" s="62"/>
      <c r="F55" s="62"/>
      <c r="G55" s="53" t="str">
        <f aca="false">IF($A55="","",D55+E55-F55)</f>
        <v/>
      </c>
      <c r="H55" s="62"/>
      <c r="I55" s="47" t="str">
        <f aca="false">IF($A55="","",IF(G55&lt;H55,"Reorder Now","OK"))</f>
        <v/>
      </c>
      <c r="J55" s="32"/>
    </row>
    <row r="56" customFormat="false" ht="15" hidden="false" customHeight="false" outlineLevel="0" collapsed="false">
      <c r="A56" s="50"/>
      <c r="B56" s="50"/>
      <c r="C56" s="50"/>
      <c r="D56" s="62"/>
      <c r="E56" s="62"/>
      <c r="F56" s="62"/>
      <c r="G56" s="53" t="str">
        <f aca="false">IF($A56="","",D56+E56-F56)</f>
        <v/>
      </c>
      <c r="H56" s="62"/>
      <c r="I56" s="47" t="str">
        <f aca="false">IF($A56="","",IF(G56&lt;H56,"Reorder Now","OK"))</f>
        <v/>
      </c>
      <c r="J56" s="32"/>
    </row>
    <row r="57" customFormat="false" ht="15" hidden="false" customHeight="false" outlineLevel="0" collapsed="false">
      <c r="A57" s="50"/>
      <c r="B57" s="50"/>
      <c r="C57" s="50"/>
      <c r="D57" s="62"/>
      <c r="E57" s="62"/>
      <c r="F57" s="62"/>
      <c r="G57" s="53" t="str">
        <f aca="false">IF($A57="","",D57+E57-F57)</f>
        <v/>
      </c>
      <c r="H57" s="62"/>
      <c r="I57" s="47" t="str">
        <f aca="false">IF($A57="","",IF(G57&lt;H57,"Reorder Now","OK"))</f>
        <v/>
      </c>
      <c r="J57" s="32"/>
    </row>
    <row r="58" customFormat="false" ht="15" hidden="false" customHeight="false" outlineLevel="0" collapsed="false">
      <c r="A58" s="50"/>
      <c r="B58" s="50"/>
      <c r="C58" s="50"/>
      <c r="D58" s="62"/>
      <c r="E58" s="62"/>
      <c r="F58" s="62"/>
      <c r="G58" s="53" t="str">
        <f aca="false">IF($A58="","",D58+E58-F58)</f>
        <v/>
      </c>
      <c r="H58" s="62"/>
      <c r="I58" s="47" t="str">
        <f aca="false">IF($A58="","",IF(G58&lt;H58,"Reorder Now","OK"))</f>
        <v/>
      </c>
      <c r="J58" s="32"/>
    </row>
    <row r="59" customFormat="false" ht="15" hidden="false" customHeight="false" outlineLevel="0" collapsed="false">
      <c r="A59" s="50"/>
      <c r="B59" s="50"/>
      <c r="C59" s="50"/>
      <c r="D59" s="62"/>
      <c r="E59" s="62"/>
      <c r="F59" s="62"/>
      <c r="G59" s="53" t="str">
        <f aca="false">IF($A59="","",D59+E59-F59)</f>
        <v/>
      </c>
      <c r="H59" s="62"/>
      <c r="I59" s="47" t="str">
        <f aca="false">IF($A59="","",IF(G59&lt;H59,"Reorder Now","OK"))</f>
        <v/>
      </c>
      <c r="J59" s="32"/>
    </row>
    <row r="60" customFormat="false" ht="15" hidden="false" customHeight="false" outlineLevel="0" collapsed="false">
      <c r="A60" s="50"/>
      <c r="B60" s="50"/>
      <c r="C60" s="50"/>
      <c r="D60" s="62"/>
      <c r="E60" s="62"/>
      <c r="F60" s="62"/>
      <c r="G60" s="53" t="str">
        <f aca="false">IF($A60="","",D60+E60-F60)</f>
        <v/>
      </c>
      <c r="H60" s="62"/>
      <c r="I60" s="47" t="str">
        <f aca="false">IF($A60="","",IF(G60&lt;H60,"Reorder Now","OK"))</f>
        <v/>
      </c>
      <c r="J60" s="32"/>
    </row>
    <row r="61" customFormat="false" ht="15" hidden="false" customHeight="false" outlineLevel="0" collapsed="false">
      <c r="A61" s="50"/>
      <c r="B61" s="50"/>
      <c r="C61" s="50"/>
      <c r="D61" s="62"/>
      <c r="E61" s="62"/>
      <c r="F61" s="62"/>
      <c r="G61" s="53" t="str">
        <f aca="false">IF($A61="","",D61+E61-F61)</f>
        <v/>
      </c>
      <c r="H61" s="62"/>
      <c r="I61" s="47" t="str">
        <f aca="false">IF($A61="","",IF(G61&lt;H61,"Reorder Now","OK"))</f>
        <v/>
      </c>
      <c r="J61" s="32"/>
    </row>
    <row r="62" customFormat="false" ht="15" hidden="false" customHeight="false" outlineLevel="0" collapsed="false">
      <c r="A62" s="50"/>
      <c r="B62" s="50"/>
      <c r="C62" s="50"/>
      <c r="D62" s="62"/>
      <c r="E62" s="62"/>
      <c r="F62" s="62"/>
      <c r="G62" s="53" t="str">
        <f aca="false">IF($A62="","",D62+E62-F62)</f>
        <v/>
      </c>
      <c r="H62" s="62"/>
      <c r="I62" s="47" t="str">
        <f aca="false">IF($A62="","",IF(G62&lt;H62,"Reorder Now","OK"))</f>
        <v/>
      </c>
      <c r="J62" s="32"/>
    </row>
    <row r="63" customFormat="false" ht="15" hidden="false" customHeight="false" outlineLevel="0" collapsed="false">
      <c r="A63" s="50"/>
      <c r="B63" s="50"/>
      <c r="C63" s="50"/>
      <c r="D63" s="62"/>
      <c r="E63" s="62"/>
      <c r="F63" s="62"/>
      <c r="G63" s="53" t="str">
        <f aca="false">IF($A63="","",D63+E63-F63)</f>
        <v/>
      </c>
      <c r="H63" s="62"/>
      <c r="I63" s="47" t="str">
        <f aca="false">IF($A63="","",IF(G63&lt;H63,"Reorder Now","OK"))</f>
        <v/>
      </c>
      <c r="J63" s="32"/>
    </row>
    <row r="64" customFormat="false" ht="15" hidden="false" customHeight="false" outlineLevel="0" collapsed="false">
      <c r="A64" s="50"/>
      <c r="B64" s="50"/>
      <c r="C64" s="50"/>
      <c r="D64" s="62"/>
      <c r="E64" s="62"/>
      <c r="F64" s="62"/>
      <c r="G64" s="53" t="str">
        <f aca="false">IF($A64="","",D64+E64-F64)</f>
        <v/>
      </c>
      <c r="H64" s="62"/>
      <c r="I64" s="47" t="str">
        <f aca="false">IF($A64="","",IF(G64&lt;H64,"Reorder Now","OK"))</f>
        <v/>
      </c>
      <c r="J64" s="32"/>
    </row>
    <row r="65" customFormat="false" ht="15" hidden="false" customHeight="false" outlineLevel="0" collapsed="false">
      <c r="A65" s="50"/>
      <c r="B65" s="50"/>
      <c r="C65" s="50"/>
      <c r="D65" s="62"/>
      <c r="E65" s="62"/>
      <c r="F65" s="62"/>
      <c r="G65" s="53" t="str">
        <f aca="false">IF($A65="","",D65+E65-F65)</f>
        <v/>
      </c>
      <c r="H65" s="62"/>
      <c r="I65" s="47" t="str">
        <f aca="false">IF($A65="","",IF(G65&lt;H65,"Reorder Now","OK"))</f>
        <v/>
      </c>
      <c r="J65" s="32"/>
    </row>
    <row r="66" customFormat="false" ht="15" hidden="false" customHeight="false" outlineLevel="0" collapsed="false">
      <c r="A66" s="50"/>
      <c r="B66" s="50"/>
      <c r="C66" s="50"/>
      <c r="D66" s="62"/>
      <c r="E66" s="62"/>
      <c r="F66" s="62"/>
      <c r="G66" s="53" t="str">
        <f aca="false">IF($A66="","",D66+E66-F66)</f>
        <v/>
      </c>
      <c r="H66" s="62"/>
      <c r="I66" s="47" t="str">
        <f aca="false">IF($A66="","",IF(G66&lt;H66,"Reorder Now","OK"))</f>
        <v/>
      </c>
      <c r="J66" s="32"/>
    </row>
    <row r="67" customFormat="false" ht="15" hidden="false" customHeight="false" outlineLevel="0" collapsed="false">
      <c r="A67" s="50"/>
      <c r="B67" s="50"/>
      <c r="C67" s="50"/>
      <c r="D67" s="62"/>
      <c r="E67" s="62"/>
      <c r="F67" s="62"/>
      <c r="G67" s="53" t="str">
        <f aca="false">IF($A67="","",D67+E67-F67)</f>
        <v/>
      </c>
      <c r="H67" s="62"/>
      <c r="I67" s="47" t="str">
        <f aca="false">IF($A67="","",IF(G67&lt;H67,"Reorder Now","OK"))</f>
        <v/>
      </c>
      <c r="J67" s="32"/>
    </row>
    <row r="68" customFormat="false" ht="15" hidden="false" customHeight="false" outlineLevel="0" collapsed="false">
      <c r="A68" s="50"/>
      <c r="B68" s="50"/>
      <c r="C68" s="50"/>
      <c r="D68" s="62"/>
      <c r="E68" s="62"/>
      <c r="F68" s="62"/>
      <c r="G68" s="53" t="str">
        <f aca="false">IF($A68="","",D68+E68-F68)</f>
        <v/>
      </c>
      <c r="H68" s="62"/>
      <c r="I68" s="47" t="str">
        <f aca="false">IF($A68="","",IF(G68&lt;H68,"Reorder Now","OK"))</f>
        <v/>
      </c>
      <c r="J68" s="32"/>
    </row>
    <row r="69" customFormat="false" ht="15" hidden="false" customHeight="false" outlineLevel="0" collapsed="false">
      <c r="A69" s="50"/>
      <c r="B69" s="50"/>
      <c r="C69" s="50"/>
      <c r="D69" s="62"/>
      <c r="E69" s="62"/>
      <c r="F69" s="62"/>
      <c r="G69" s="53" t="str">
        <f aca="false">IF($A69="","",D69+E69-F69)</f>
        <v/>
      </c>
      <c r="H69" s="62"/>
      <c r="I69" s="47" t="str">
        <f aca="false">IF($A69="","",IF(G69&lt;H69,"Reorder Now","OK"))</f>
        <v/>
      </c>
      <c r="J69" s="32"/>
    </row>
    <row r="70" customFormat="false" ht="15" hidden="false" customHeight="false" outlineLevel="0" collapsed="false">
      <c r="A70" s="50"/>
      <c r="B70" s="50"/>
      <c r="C70" s="50"/>
      <c r="D70" s="62"/>
      <c r="E70" s="62"/>
      <c r="F70" s="62"/>
      <c r="G70" s="53" t="str">
        <f aca="false">IF($A70="","",D70+E70-F70)</f>
        <v/>
      </c>
      <c r="H70" s="62"/>
      <c r="I70" s="47" t="str">
        <f aca="false">IF($A70="","",IF(G70&lt;H70,"Reorder Now","OK"))</f>
        <v/>
      </c>
      <c r="J70" s="32"/>
    </row>
    <row r="71" customFormat="false" ht="15" hidden="false" customHeight="false" outlineLevel="0" collapsed="false">
      <c r="A71" s="50"/>
      <c r="B71" s="50"/>
      <c r="C71" s="50"/>
      <c r="D71" s="62"/>
      <c r="E71" s="62"/>
      <c r="F71" s="62"/>
      <c r="G71" s="53" t="str">
        <f aca="false">IF($A71="","",D71+E71-F71)</f>
        <v/>
      </c>
      <c r="H71" s="62"/>
      <c r="I71" s="47" t="str">
        <f aca="false">IF($A71="","",IF(G71&lt;H71,"Reorder Now","OK"))</f>
        <v/>
      </c>
      <c r="J71" s="32"/>
    </row>
    <row r="72" customFormat="false" ht="15" hidden="false" customHeight="false" outlineLevel="0" collapsed="false">
      <c r="A72" s="50"/>
      <c r="B72" s="50"/>
      <c r="C72" s="50"/>
      <c r="D72" s="62"/>
      <c r="E72" s="62"/>
      <c r="F72" s="62"/>
      <c r="G72" s="53" t="str">
        <f aca="false">IF($A72="","",D72+E72-F72)</f>
        <v/>
      </c>
      <c r="H72" s="62"/>
      <c r="I72" s="47" t="str">
        <f aca="false">IF($A72="","",IF(G72&lt;H72,"Reorder Now","OK"))</f>
        <v/>
      </c>
      <c r="J72" s="32"/>
    </row>
    <row r="73" customFormat="false" ht="15" hidden="false" customHeight="false" outlineLevel="0" collapsed="false">
      <c r="A73" s="50"/>
      <c r="B73" s="50"/>
      <c r="C73" s="50"/>
      <c r="D73" s="62"/>
      <c r="E73" s="62"/>
      <c r="F73" s="62"/>
      <c r="G73" s="53" t="str">
        <f aca="false">IF($A73="","",D73+E73-F73)</f>
        <v/>
      </c>
      <c r="H73" s="62"/>
      <c r="I73" s="47" t="str">
        <f aca="false">IF($A73="","",IF(G73&lt;H73,"Reorder Now","OK"))</f>
        <v/>
      </c>
      <c r="J73" s="32"/>
    </row>
    <row r="74" customFormat="false" ht="15" hidden="false" customHeight="false" outlineLevel="0" collapsed="false">
      <c r="A74" s="50"/>
      <c r="B74" s="50"/>
      <c r="C74" s="50"/>
      <c r="D74" s="62"/>
      <c r="E74" s="62"/>
      <c r="F74" s="62"/>
      <c r="G74" s="53" t="str">
        <f aca="false">IF($A74="","",D74+E74-F74)</f>
        <v/>
      </c>
      <c r="H74" s="62"/>
      <c r="I74" s="47" t="str">
        <f aca="false">IF($A74="","",IF(G74&lt;H74,"Reorder Now","OK"))</f>
        <v/>
      </c>
      <c r="J74" s="32"/>
    </row>
    <row r="75" customFormat="false" ht="15" hidden="false" customHeight="false" outlineLevel="0" collapsed="false">
      <c r="A75" s="50"/>
      <c r="B75" s="50"/>
      <c r="C75" s="50"/>
      <c r="D75" s="62"/>
      <c r="E75" s="62"/>
      <c r="F75" s="62"/>
      <c r="G75" s="53" t="str">
        <f aca="false">IF($A75="","",D75+E75-F75)</f>
        <v/>
      </c>
      <c r="H75" s="62"/>
      <c r="I75" s="47" t="str">
        <f aca="false">IF($A75="","",IF(G75&lt;H75,"Reorder Now","OK"))</f>
        <v/>
      </c>
      <c r="J75" s="32"/>
    </row>
    <row r="76" customFormat="false" ht="15" hidden="false" customHeight="false" outlineLevel="0" collapsed="false">
      <c r="A76" s="50"/>
      <c r="B76" s="50"/>
      <c r="C76" s="50"/>
      <c r="D76" s="62"/>
      <c r="E76" s="62"/>
      <c r="F76" s="62"/>
      <c r="G76" s="53" t="str">
        <f aca="false">IF($A76="","",D76+E76-F76)</f>
        <v/>
      </c>
      <c r="H76" s="62"/>
      <c r="I76" s="47" t="str">
        <f aca="false">IF($A76="","",IF(G76&lt;H76,"Reorder Now","OK"))</f>
        <v/>
      </c>
      <c r="J76" s="32"/>
    </row>
    <row r="77" customFormat="false" ht="15" hidden="false" customHeight="false" outlineLevel="0" collapsed="false">
      <c r="A77" s="50"/>
      <c r="B77" s="50"/>
      <c r="C77" s="50"/>
      <c r="D77" s="62"/>
      <c r="E77" s="62"/>
      <c r="F77" s="62"/>
      <c r="G77" s="53" t="str">
        <f aca="false">IF($A77="","",D77+E77-F77)</f>
        <v/>
      </c>
      <c r="H77" s="62"/>
      <c r="I77" s="47" t="str">
        <f aca="false">IF($A77="","",IF(G77&lt;H77,"Reorder Now","OK"))</f>
        <v/>
      </c>
      <c r="J77" s="32"/>
    </row>
    <row r="78" customFormat="false" ht="15" hidden="false" customHeight="false" outlineLevel="0" collapsed="false">
      <c r="A78" s="50"/>
      <c r="B78" s="50"/>
      <c r="C78" s="50"/>
      <c r="D78" s="62"/>
      <c r="E78" s="62"/>
      <c r="F78" s="62"/>
      <c r="G78" s="53" t="str">
        <f aca="false">IF($A78="","",D78+E78-F78)</f>
        <v/>
      </c>
      <c r="H78" s="62"/>
      <c r="I78" s="47" t="str">
        <f aca="false">IF($A78="","",IF(G78&lt;H78,"Reorder Now","OK"))</f>
        <v/>
      </c>
      <c r="J78" s="32"/>
    </row>
    <row r="79" customFormat="false" ht="15" hidden="false" customHeight="false" outlineLevel="0" collapsed="false">
      <c r="A79" s="50"/>
      <c r="B79" s="50"/>
      <c r="C79" s="50"/>
      <c r="D79" s="62"/>
      <c r="E79" s="62"/>
      <c r="F79" s="62"/>
      <c r="G79" s="53" t="str">
        <f aca="false">IF($A79="","",D79+E79-F79)</f>
        <v/>
      </c>
      <c r="H79" s="62"/>
      <c r="I79" s="47" t="str">
        <f aca="false">IF($A79="","",IF(G79&lt;H79,"Reorder Now","OK"))</f>
        <v/>
      </c>
      <c r="J79" s="32"/>
    </row>
    <row r="80" customFormat="false" ht="15" hidden="false" customHeight="false" outlineLevel="0" collapsed="false">
      <c r="A80" s="50"/>
      <c r="B80" s="50"/>
      <c r="C80" s="50"/>
      <c r="D80" s="62"/>
      <c r="E80" s="62"/>
      <c r="F80" s="62"/>
      <c r="G80" s="53" t="str">
        <f aca="false">IF($A80="","",D80+E80-F80)</f>
        <v/>
      </c>
      <c r="H80" s="62"/>
      <c r="I80" s="47" t="str">
        <f aca="false">IF($A80="","",IF(G80&lt;H80,"Reorder Now","OK"))</f>
        <v/>
      </c>
      <c r="J80" s="32"/>
    </row>
    <row r="81" customFormat="false" ht="15" hidden="false" customHeight="false" outlineLevel="0" collapsed="false">
      <c r="A81" s="50"/>
      <c r="B81" s="50"/>
      <c r="C81" s="50"/>
      <c r="D81" s="62"/>
      <c r="E81" s="62"/>
      <c r="F81" s="62"/>
      <c r="G81" s="53" t="str">
        <f aca="false">IF($A81="","",D81+E81-F81)</f>
        <v/>
      </c>
      <c r="H81" s="62"/>
      <c r="I81" s="47" t="str">
        <f aca="false">IF($A81="","",IF(G81&lt;H81,"Reorder Now","OK"))</f>
        <v/>
      </c>
      <c r="J81" s="32"/>
    </row>
    <row r="82" customFormat="false" ht="15" hidden="false" customHeight="false" outlineLevel="0" collapsed="false">
      <c r="A82" s="50"/>
      <c r="B82" s="50"/>
      <c r="C82" s="50"/>
      <c r="D82" s="62"/>
      <c r="E82" s="62"/>
      <c r="F82" s="62"/>
      <c r="G82" s="53" t="str">
        <f aca="false">IF($A82="","",D82+E82-F82)</f>
        <v/>
      </c>
      <c r="H82" s="62"/>
      <c r="I82" s="47" t="str">
        <f aca="false">IF($A82="","",IF(G82&lt;H82,"Reorder Now","OK"))</f>
        <v/>
      </c>
      <c r="J82" s="32"/>
    </row>
    <row r="83" customFormat="false" ht="15" hidden="false" customHeight="false" outlineLevel="0" collapsed="false">
      <c r="A83" s="50"/>
      <c r="B83" s="50"/>
      <c r="C83" s="50"/>
      <c r="D83" s="62"/>
      <c r="E83" s="62"/>
      <c r="F83" s="62"/>
      <c r="G83" s="53" t="str">
        <f aca="false">IF($A83="","",D83+E83-F83)</f>
        <v/>
      </c>
      <c r="H83" s="62"/>
      <c r="I83" s="47" t="str">
        <f aca="false">IF($A83="","",IF(G83&lt;H83,"Reorder Now","OK"))</f>
        <v/>
      </c>
      <c r="J83" s="32"/>
    </row>
    <row r="84" customFormat="false" ht="15" hidden="false" customHeight="false" outlineLevel="0" collapsed="false">
      <c r="A84" s="50"/>
      <c r="B84" s="50"/>
      <c r="C84" s="50"/>
      <c r="D84" s="62"/>
      <c r="E84" s="62"/>
      <c r="F84" s="62"/>
      <c r="G84" s="53" t="str">
        <f aca="false">IF($A84="","",D84+E84-F84)</f>
        <v/>
      </c>
      <c r="H84" s="62"/>
      <c r="I84" s="47" t="str">
        <f aca="false">IF($A84="","",IF(G84&lt;H84,"Reorder Now","OK"))</f>
        <v/>
      </c>
      <c r="J84" s="32"/>
    </row>
    <row r="85" customFormat="false" ht="15" hidden="false" customHeight="false" outlineLevel="0" collapsed="false">
      <c r="A85" s="50"/>
      <c r="B85" s="50"/>
      <c r="C85" s="50"/>
      <c r="D85" s="62"/>
      <c r="E85" s="62"/>
      <c r="F85" s="62"/>
      <c r="G85" s="53" t="str">
        <f aca="false">IF($A85="","",D85+E85-F85)</f>
        <v/>
      </c>
      <c r="H85" s="62"/>
      <c r="I85" s="47" t="str">
        <f aca="false">IF($A85="","",IF(G85&lt;H85,"Reorder Now","OK"))</f>
        <v/>
      </c>
      <c r="J85" s="32"/>
    </row>
    <row r="86" customFormat="false" ht="15" hidden="false" customHeight="false" outlineLevel="0" collapsed="false">
      <c r="A86" s="50"/>
      <c r="B86" s="50"/>
      <c r="C86" s="50"/>
      <c r="D86" s="62"/>
      <c r="E86" s="62"/>
      <c r="F86" s="62"/>
      <c r="G86" s="53" t="str">
        <f aca="false">IF($A86="","",D86+E86-F86)</f>
        <v/>
      </c>
      <c r="H86" s="62"/>
      <c r="I86" s="47" t="str">
        <f aca="false">IF($A86="","",IF(G86&lt;H86,"Reorder Now","OK"))</f>
        <v/>
      </c>
      <c r="J86" s="32"/>
    </row>
    <row r="87" customFormat="false" ht="15" hidden="false" customHeight="false" outlineLevel="0" collapsed="false">
      <c r="A87" s="50"/>
      <c r="B87" s="50"/>
      <c r="C87" s="50"/>
      <c r="D87" s="62"/>
      <c r="E87" s="62"/>
      <c r="F87" s="62"/>
      <c r="G87" s="53" t="str">
        <f aca="false">IF($A87="","",D87+E87-F87)</f>
        <v/>
      </c>
      <c r="H87" s="62"/>
      <c r="I87" s="47" t="str">
        <f aca="false">IF($A87="","",IF(G87&lt;H87,"Reorder Now","OK"))</f>
        <v/>
      </c>
      <c r="J87" s="32"/>
    </row>
    <row r="88" customFormat="false" ht="15" hidden="false" customHeight="false" outlineLevel="0" collapsed="false">
      <c r="A88" s="50"/>
      <c r="B88" s="50"/>
      <c r="C88" s="50"/>
      <c r="D88" s="62"/>
      <c r="E88" s="62"/>
      <c r="F88" s="62"/>
      <c r="G88" s="53" t="str">
        <f aca="false">IF($A88="","",D88+E88-F88)</f>
        <v/>
      </c>
      <c r="H88" s="62"/>
      <c r="I88" s="47" t="str">
        <f aca="false">IF($A88="","",IF(G88&lt;H88,"Reorder Now","OK"))</f>
        <v/>
      </c>
      <c r="J88" s="32"/>
    </row>
    <row r="89" customFormat="false" ht="15" hidden="false" customHeight="false" outlineLevel="0" collapsed="false">
      <c r="A89" s="50"/>
      <c r="B89" s="50"/>
      <c r="C89" s="50"/>
      <c r="D89" s="62"/>
      <c r="E89" s="62"/>
      <c r="F89" s="62"/>
      <c r="G89" s="53" t="str">
        <f aca="false">IF($A89="","",D89+E89-F89)</f>
        <v/>
      </c>
      <c r="H89" s="62"/>
      <c r="I89" s="47" t="str">
        <f aca="false">IF($A89="","",IF(G89&lt;H89,"Reorder Now","OK"))</f>
        <v/>
      </c>
      <c r="J89" s="32"/>
    </row>
    <row r="90" customFormat="false" ht="15" hidden="false" customHeight="false" outlineLevel="0" collapsed="false">
      <c r="A90" s="50"/>
      <c r="B90" s="50"/>
      <c r="C90" s="50"/>
      <c r="D90" s="62"/>
      <c r="E90" s="62"/>
      <c r="F90" s="62"/>
      <c r="G90" s="53" t="str">
        <f aca="false">IF($A90="","",D90+E90-F90)</f>
        <v/>
      </c>
      <c r="H90" s="62"/>
      <c r="I90" s="47" t="str">
        <f aca="false">IF($A90="","",IF(G90&lt;H90,"Reorder Now","OK"))</f>
        <v/>
      </c>
      <c r="J90" s="32"/>
    </row>
    <row r="91" customFormat="false" ht="15" hidden="false" customHeight="false" outlineLevel="0" collapsed="false">
      <c r="A91" s="50"/>
      <c r="B91" s="50"/>
      <c r="C91" s="50"/>
      <c r="D91" s="62"/>
      <c r="E91" s="62"/>
      <c r="F91" s="62"/>
      <c r="G91" s="53" t="str">
        <f aca="false">IF($A91="","",D91+E91-F91)</f>
        <v/>
      </c>
      <c r="H91" s="62"/>
      <c r="I91" s="47" t="str">
        <f aca="false">IF($A91="","",IF(G91&lt;H91,"Reorder Now","OK"))</f>
        <v/>
      </c>
      <c r="J91" s="32"/>
    </row>
    <row r="92" customFormat="false" ht="15" hidden="false" customHeight="false" outlineLevel="0" collapsed="false">
      <c r="A92" s="50"/>
      <c r="B92" s="50"/>
      <c r="C92" s="50"/>
      <c r="D92" s="62"/>
      <c r="E92" s="62"/>
      <c r="F92" s="62"/>
      <c r="G92" s="53" t="str">
        <f aca="false">IF($A92="","",D92+E92-F92)</f>
        <v/>
      </c>
      <c r="H92" s="62"/>
      <c r="I92" s="47" t="str">
        <f aca="false">IF($A92="","",IF(G92&lt;H92,"Reorder Now","OK"))</f>
        <v/>
      </c>
      <c r="J92" s="32"/>
    </row>
    <row r="93" customFormat="false" ht="15" hidden="false" customHeight="false" outlineLevel="0" collapsed="false">
      <c r="A93" s="50"/>
      <c r="B93" s="50"/>
      <c r="C93" s="50"/>
      <c r="D93" s="62"/>
      <c r="E93" s="62"/>
      <c r="F93" s="62"/>
      <c r="G93" s="53" t="str">
        <f aca="false">IF($A93="","",D93+E93-F93)</f>
        <v/>
      </c>
      <c r="H93" s="62"/>
      <c r="I93" s="47" t="str">
        <f aca="false">IF($A93="","",IF(G93&lt;H93,"Reorder Now","OK"))</f>
        <v/>
      </c>
      <c r="J93" s="32"/>
    </row>
    <row r="94" customFormat="false" ht="15" hidden="false" customHeight="false" outlineLevel="0" collapsed="false">
      <c r="A94" s="50"/>
      <c r="B94" s="50"/>
      <c r="C94" s="50"/>
      <c r="D94" s="62"/>
      <c r="E94" s="62"/>
      <c r="F94" s="62"/>
      <c r="G94" s="53" t="str">
        <f aca="false">IF($A94="","",D94+E94-F94)</f>
        <v/>
      </c>
      <c r="H94" s="62"/>
      <c r="I94" s="47" t="str">
        <f aca="false">IF($A94="","",IF(G94&lt;H94,"Reorder Now","OK"))</f>
        <v/>
      </c>
      <c r="J94" s="32"/>
    </row>
    <row r="95" customFormat="false" ht="15" hidden="false" customHeight="false" outlineLevel="0" collapsed="false">
      <c r="A95" s="50"/>
      <c r="B95" s="50"/>
      <c r="C95" s="50"/>
      <c r="D95" s="62"/>
      <c r="E95" s="62"/>
      <c r="F95" s="62"/>
      <c r="G95" s="53" t="str">
        <f aca="false">IF($A95="","",D95+E95-F95)</f>
        <v/>
      </c>
      <c r="H95" s="62"/>
      <c r="I95" s="47" t="str">
        <f aca="false">IF($A95="","",IF(G95&lt;H95,"Reorder Now","OK"))</f>
        <v/>
      </c>
      <c r="J95" s="32"/>
    </row>
    <row r="96" customFormat="false" ht="15" hidden="false" customHeight="false" outlineLevel="0" collapsed="false">
      <c r="A96" s="50"/>
      <c r="B96" s="50"/>
      <c r="C96" s="50"/>
      <c r="D96" s="62"/>
      <c r="E96" s="62"/>
      <c r="F96" s="62"/>
      <c r="G96" s="53" t="str">
        <f aca="false">IF($A96="","",D96+E96-F96)</f>
        <v/>
      </c>
      <c r="H96" s="62"/>
      <c r="I96" s="47" t="str">
        <f aca="false">IF($A96="","",IF(G96&lt;H96,"Reorder Now","OK"))</f>
        <v/>
      </c>
      <c r="J96" s="32"/>
    </row>
    <row r="97" customFormat="false" ht="15" hidden="false" customHeight="false" outlineLevel="0" collapsed="false">
      <c r="A97" s="50"/>
      <c r="B97" s="50"/>
      <c r="C97" s="50"/>
      <c r="D97" s="62"/>
      <c r="E97" s="62"/>
      <c r="F97" s="62"/>
      <c r="G97" s="53" t="str">
        <f aca="false">IF($A97="","",D97+E97-F97)</f>
        <v/>
      </c>
      <c r="H97" s="62"/>
      <c r="I97" s="47" t="str">
        <f aca="false">IF($A97="","",IF(G97&lt;H97,"Reorder Now","OK"))</f>
        <v/>
      </c>
      <c r="J97" s="32"/>
    </row>
    <row r="98" customFormat="false" ht="15" hidden="false" customHeight="false" outlineLevel="0" collapsed="false">
      <c r="A98" s="50"/>
      <c r="B98" s="50"/>
      <c r="C98" s="50"/>
      <c r="D98" s="62"/>
      <c r="E98" s="62"/>
      <c r="F98" s="62"/>
      <c r="G98" s="53" t="str">
        <f aca="false">IF($A98="","",D98+E98-F98)</f>
        <v/>
      </c>
      <c r="H98" s="62"/>
      <c r="I98" s="47" t="str">
        <f aca="false">IF($A98="","",IF(G98&lt;H98,"Reorder Now","OK"))</f>
        <v/>
      </c>
      <c r="J98" s="32"/>
    </row>
    <row r="99" customFormat="false" ht="15" hidden="false" customHeight="false" outlineLevel="0" collapsed="false">
      <c r="A99" s="50"/>
      <c r="B99" s="50"/>
      <c r="C99" s="50"/>
      <c r="D99" s="62"/>
      <c r="E99" s="62"/>
      <c r="F99" s="62"/>
      <c r="G99" s="53" t="str">
        <f aca="false">IF($A99="","",D99+E99-F99)</f>
        <v/>
      </c>
      <c r="H99" s="62"/>
      <c r="I99" s="47" t="str">
        <f aca="false">IF($A99="","",IF(G99&lt;H99,"Reorder Now","OK"))</f>
        <v/>
      </c>
      <c r="J99" s="32"/>
    </row>
    <row r="100" customFormat="false" ht="15" hidden="false" customHeight="false" outlineLevel="0" collapsed="false">
      <c r="A100" s="50"/>
      <c r="B100" s="50"/>
      <c r="C100" s="50"/>
      <c r="D100" s="62"/>
      <c r="E100" s="62"/>
      <c r="F100" s="62"/>
      <c r="G100" s="53" t="str">
        <f aca="false">IF($A100="","",D100+E100-F100)</f>
        <v/>
      </c>
      <c r="H100" s="62"/>
      <c r="I100" s="47" t="str">
        <f aca="false">IF($A100="","",IF(G100&lt;H100,"Reorder Now","OK"))</f>
        <v/>
      </c>
      <c r="J100" s="32"/>
    </row>
    <row r="101" customFormat="false" ht="15" hidden="false" customHeight="false" outlineLevel="0" collapsed="false">
      <c r="A101" s="50"/>
      <c r="B101" s="50"/>
      <c r="C101" s="50"/>
      <c r="D101" s="62"/>
      <c r="E101" s="62"/>
      <c r="F101" s="62"/>
      <c r="G101" s="53" t="str">
        <f aca="false">IF($A101="","",D101+E101-F101)</f>
        <v/>
      </c>
      <c r="H101" s="62"/>
      <c r="I101" s="47" t="str">
        <f aca="false">IF($A101="","",IF(G101&lt;H101,"Reorder Now","OK"))</f>
        <v/>
      </c>
      <c r="J101" s="32"/>
    </row>
    <row r="102" customFormat="false" ht="15" hidden="false" customHeight="false" outlineLevel="0" collapsed="false">
      <c r="A102" s="50"/>
      <c r="B102" s="50"/>
      <c r="C102" s="50"/>
      <c r="D102" s="62"/>
      <c r="E102" s="62"/>
      <c r="F102" s="62"/>
      <c r="G102" s="53" t="str">
        <f aca="false">IF($A102="","",D102+E102-F102)</f>
        <v/>
      </c>
      <c r="H102" s="62"/>
      <c r="I102" s="47" t="str">
        <f aca="false">IF($A102="","",IF(G102&lt;H102,"Reorder Now","OK"))</f>
        <v/>
      </c>
      <c r="J102" s="32"/>
    </row>
    <row r="103" customFormat="false" ht="15" hidden="false" customHeight="false" outlineLevel="0" collapsed="false">
      <c r="A103" s="50"/>
      <c r="B103" s="50"/>
      <c r="C103" s="50"/>
      <c r="D103" s="62"/>
      <c r="E103" s="62"/>
      <c r="F103" s="62"/>
      <c r="G103" s="53" t="str">
        <f aca="false">IF($A103="","",D103+E103-F103)</f>
        <v/>
      </c>
      <c r="H103" s="62"/>
      <c r="I103" s="47" t="str">
        <f aca="false">IF($A103="","",IF(G103&lt;H103,"Reorder Now","OK"))</f>
        <v/>
      </c>
      <c r="J103" s="32"/>
    </row>
    <row r="104" customFormat="false" ht="15" hidden="false" customHeight="false" outlineLevel="0" collapsed="false">
      <c r="A104" s="50"/>
      <c r="B104" s="50"/>
      <c r="C104" s="50"/>
      <c r="D104" s="62"/>
      <c r="E104" s="62"/>
      <c r="F104" s="62"/>
      <c r="G104" s="53" t="str">
        <f aca="false">IF($A104="","",D104+E104-F104)</f>
        <v/>
      </c>
      <c r="H104" s="62"/>
      <c r="I104" s="47" t="str">
        <f aca="false">IF($A104="","",IF(G104&lt;H104,"Reorder Now","OK"))</f>
        <v/>
      </c>
      <c r="J104" s="32"/>
    </row>
  </sheetData>
  <mergeCells count="2">
    <mergeCell ref="A1:J1"/>
    <mergeCell ref="A2:J2"/>
  </mergeCells>
  <conditionalFormatting sqref="I5:I104">
    <cfRule type="expression" priority="2" aboveAverage="0" equalAverage="0" bottom="0" percent="0" rank="0" text="" dxfId="2">
      <formula>I5="Reorder Now"</formula>
    </cfRule>
    <cfRule type="expression" priority="3" aboveAverage="0" equalAverage="0" bottom="0" percent="0" rank="0" text="" dxfId="3">
      <formula>I5="OK"</formula>
    </cfRule>
  </conditionalFormatting>
  <dataValidations count="1">
    <dataValidation allowBlank="true" errorStyle="stop" operator="between" showDropDown="false" showErrorMessage="false" showInputMessage="false" sqref="B5:B104" type="list">
      <formula1>"Medicine,Dairy Equipment,Farm Tool,Other"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30" t="s">
        <v>394</v>
      </c>
      <c r="B1" s="30"/>
      <c r="C1" s="30"/>
      <c r="D1" s="30"/>
      <c r="E1" s="30"/>
      <c r="F1" s="30"/>
    </row>
    <row r="3" customFormat="false" ht="26.85" hidden="false" customHeight="false" outlineLevel="0" collapsed="false">
      <c r="A3" s="31" t="s">
        <v>294</v>
      </c>
      <c r="B3" s="31" t="s">
        <v>295</v>
      </c>
      <c r="C3" s="31" t="s">
        <v>296</v>
      </c>
      <c r="D3" s="31" t="s">
        <v>395</v>
      </c>
      <c r="E3" s="31" t="s">
        <v>212</v>
      </c>
      <c r="F3" s="31" t="s">
        <v>232</v>
      </c>
    </row>
    <row r="4" customFormat="false" ht="15" hidden="false" customHeight="false" outlineLevel="0" collapsed="false">
      <c r="A4" s="50"/>
      <c r="B4" s="38"/>
      <c r="C4" s="38"/>
      <c r="D4" s="38"/>
      <c r="E4" s="38"/>
      <c r="F4" s="32"/>
    </row>
    <row r="5" customFormat="false" ht="15" hidden="false" customHeight="false" outlineLevel="0" collapsed="false">
      <c r="A5" s="50"/>
      <c r="B5" s="38"/>
      <c r="C5" s="38"/>
      <c r="D5" s="38"/>
      <c r="E5" s="38"/>
      <c r="F5" s="32"/>
    </row>
    <row r="6" customFormat="false" ht="15" hidden="false" customHeight="false" outlineLevel="0" collapsed="false">
      <c r="A6" s="50"/>
      <c r="B6" s="38"/>
      <c r="C6" s="38"/>
      <c r="D6" s="38"/>
      <c r="E6" s="38"/>
      <c r="F6" s="32"/>
    </row>
    <row r="7" customFormat="false" ht="15" hidden="false" customHeight="false" outlineLevel="0" collapsed="false">
      <c r="A7" s="50"/>
      <c r="B7" s="38"/>
      <c r="C7" s="38"/>
      <c r="D7" s="38"/>
      <c r="E7" s="38"/>
      <c r="F7" s="32"/>
    </row>
    <row r="8" customFormat="false" ht="15" hidden="false" customHeight="false" outlineLevel="0" collapsed="false">
      <c r="A8" s="50"/>
      <c r="B8" s="38"/>
      <c r="C8" s="38"/>
      <c r="D8" s="38"/>
      <c r="E8" s="38"/>
      <c r="F8" s="32"/>
    </row>
    <row r="9" customFormat="false" ht="15" hidden="false" customHeight="false" outlineLevel="0" collapsed="false">
      <c r="A9" s="50"/>
      <c r="B9" s="38"/>
      <c r="C9" s="38"/>
      <c r="D9" s="38"/>
      <c r="E9" s="38"/>
      <c r="F9" s="32"/>
    </row>
    <row r="10" customFormat="false" ht="15" hidden="false" customHeight="false" outlineLevel="0" collapsed="false">
      <c r="A10" s="50"/>
      <c r="B10" s="38"/>
      <c r="C10" s="38"/>
      <c r="D10" s="38"/>
      <c r="E10" s="38"/>
      <c r="F10" s="32"/>
    </row>
    <row r="11" customFormat="false" ht="15" hidden="false" customHeight="false" outlineLevel="0" collapsed="false">
      <c r="A11" s="50"/>
      <c r="B11" s="38"/>
      <c r="C11" s="38"/>
      <c r="D11" s="38"/>
      <c r="E11" s="38"/>
      <c r="F11" s="32"/>
    </row>
    <row r="12" customFormat="false" ht="15" hidden="false" customHeight="false" outlineLevel="0" collapsed="false">
      <c r="A12" s="50"/>
      <c r="B12" s="38"/>
      <c r="C12" s="38"/>
      <c r="D12" s="38"/>
      <c r="E12" s="38"/>
      <c r="F12" s="32"/>
    </row>
    <row r="13" customFormat="false" ht="15" hidden="false" customHeight="false" outlineLevel="0" collapsed="false">
      <c r="A13" s="50"/>
      <c r="B13" s="38"/>
      <c r="C13" s="38"/>
      <c r="D13" s="38"/>
      <c r="E13" s="38"/>
      <c r="F13" s="32"/>
    </row>
    <row r="14" customFormat="false" ht="15" hidden="false" customHeight="false" outlineLevel="0" collapsed="false">
      <c r="A14" s="50"/>
      <c r="B14" s="38"/>
      <c r="C14" s="38"/>
      <c r="D14" s="38"/>
      <c r="E14" s="38"/>
      <c r="F14" s="32"/>
    </row>
    <row r="15" customFormat="false" ht="15" hidden="false" customHeight="false" outlineLevel="0" collapsed="false">
      <c r="A15" s="50"/>
      <c r="B15" s="38"/>
      <c r="C15" s="38"/>
      <c r="D15" s="38"/>
      <c r="E15" s="38"/>
      <c r="F15" s="32"/>
    </row>
    <row r="16" customFormat="false" ht="15" hidden="false" customHeight="false" outlineLevel="0" collapsed="false">
      <c r="A16" s="50"/>
      <c r="B16" s="38"/>
      <c r="C16" s="38"/>
      <c r="D16" s="38"/>
      <c r="E16" s="38"/>
      <c r="F16" s="32"/>
    </row>
    <row r="17" customFormat="false" ht="15" hidden="false" customHeight="false" outlineLevel="0" collapsed="false">
      <c r="A17" s="50"/>
      <c r="B17" s="38"/>
      <c r="C17" s="38"/>
      <c r="D17" s="38"/>
      <c r="E17" s="38"/>
      <c r="F17" s="32"/>
    </row>
    <row r="18" customFormat="false" ht="15" hidden="false" customHeight="false" outlineLevel="0" collapsed="false">
      <c r="A18" s="50"/>
      <c r="B18" s="38"/>
      <c r="C18" s="38"/>
      <c r="D18" s="38"/>
      <c r="E18" s="38"/>
      <c r="F18" s="32"/>
    </row>
    <row r="19" customFormat="false" ht="15" hidden="false" customHeight="false" outlineLevel="0" collapsed="false">
      <c r="A19" s="50"/>
      <c r="B19" s="38"/>
      <c r="C19" s="38"/>
      <c r="D19" s="38"/>
      <c r="E19" s="38"/>
      <c r="F19" s="32"/>
    </row>
    <row r="20" customFormat="false" ht="15" hidden="false" customHeight="false" outlineLevel="0" collapsed="false">
      <c r="A20" s="50"/>
      <c r="B20" s="38"/>
      <c r="C20" s="38"/>
      <c r="D20" s="38"/>
      <c r="E20" s="38"/>
      <c r="F20" s="32"/>
    </row>
    <row r="21" customFormat="false" ht="15" hidden="false" customHeight="false" outlineLevel="0" collapsed="false">
      <c r="A21" s="50"/>
      <c r="B21" s="38"/>
      <c r="C21" s="38"/>
      <c r="D21" s="38"/>
      <c r="E21" s="38"/>
      <c r="F21" s="32"/>
    </row>
    <row r="22" customFormat="false" ht="15" hidden="false" customHeight="false" outlineLevel="0" collapsed="false">
      <c r="A22" s="50"/>
      <c r="B22" s="38"/>
      <c r="C22" s="38"/>
      <c r="D22" s="38"/>
      <c r="E22" s="38"/>
      <c r="F22" s="32"/>
    </row>
    <row r="23" customFormat="false" ht="15" hidden="false" customHeight="false" outlineLevel="0" collapsed="false">
      <c r="A23" s="50"/>
      <c r="B23" s="38"/>
      <c r="C23" s="38"/>
      <c r="D23" s="38"/>
      <c r="E23" s="38"/>
      <c r="F23" s="32"/>
    </row>
    <row r="24" customFormat="false" ht="15" hidden="false" customHeight="false" outlineLevel="0" collapsed="false">
      <c r="A24" s="50"/>
      <c r="B24" s="38"/>
      <c r="C24" s="38"/>
      <c r="D24" s="38"/>
      <c r="E24" s="38"/>
      <c r="F24" s="32"/>
    </row>
    <row r="25" customFormat="false" ht="15" hidden="false" customHeight="false" outlineLevel="0" collapsed="false">
      <c r="A25" s="50"/>
      <c r="B25" s="38"/>
      <c r="C25" s="38"/>
      <c r="D25" s="38"/>
      <c r="E25" s="38"/>
      <c r="F25" s="32"/>
    </row>
    <row r="26" customFormat="false" ht="15" hidden="false" customHeight="false" outlineLevel="0" collapsed="false">
      <c r="A26" s="50"/>
      <c r="B26" s="38"/>
      <c r="C26" s="38"/>
      <c r="D26" s="38"/>
      <c r="E26" s="38"/>
      <c r="F26" s="32"/>
    </row>
    <row r="27" customFormat="false" ht="15" hidden="false" customHeight="false" outlineLevel="0" collapsed="false">
      <c r="A27" s="50"/>
      <c r="B27" s="38"/>
      <c r="C27" s="38"/>
      <c r="D27" s="38"/>
      <c r="E27" s="38"/>
      <c r="F27" s="32"/>
    </row>
    <row r="28" customFormat="false" ht="15" hidden="false" customHeight="false" outlineLevel="0" collapsed="false">
      <c r="A28" s="50"/>
      <c r="B28" s="38"/>
      <c r="C28" s="38"/>
      <c r="D28" s="38"/>
      <c r="E28" s="38"/>
      <c r="F28" s="32"/>
    </row>
    <row r="29" customFormat="false" ht="15" hidden="false" customHeight="false" outlineLevel="0" collapsed="false">
      <c r="A29" s="50"/>
      <c r="B29" s="38"/>
      <c r="C29" s="38"/>
      <c r="D29" s="38"/>
      <c r="E29" s="38"/>
      <c r="F29" s="32"/>
    </row>
    <row r="30" customFormat="false" ht="15" hidden="false" customHeight="false" outlineLevel="0" collapsed="false">
      <c r="A30" s="50"/>
      <c r="B30" s="38"/>
      <c r="C30" s="38"/>
      <c r="D30" s="38"/>
      <c r="E30" s="38"/>
      <c r="F30" s="32"/>
    </row>
    <row r="31" customFormat="false" ht="15" hidden="false" customHeight="false" outlineLevel="0" collapsed="false">
      <c r="A31" s="50"/>
      <c r="B31" s="38"/>
      <c r="C31" s="38"/>
      <c r="D31" s="38"/>
      <c r="E31" s="38"/>
      <c r="F31" s="32"/>
    </row>
    <row r="32" customFormat="false" ht="15" hidden="false" customHeight="false" outlineLevel="0" collapsed="false">
      <c r="A32" s="50"/>
      <c r="B32" s="38"/>
      <c r="C32" s="38"/>
      <c r="D32" s="38"/>
      <c r="E32" s="38"/>
      <c r="F32" s="32"/>
    </row>
    <row r="33" customFormat="false" ht="15" hidden="false" customHeight="false" outlineLevel="0" collapsed="false">
      <c r="A33" s="50"/>
      <c r="B33" s="38"/>
      <c r="C33" s="38"/>
      <c r="D33" s="38"/>
      <c r="E33" s="38"/>
      <c r="F33" s="32"/>
    </row>
    <row r="34" customFormat="false" ht="15" hidden="false" customHeight="false" outlineLevel="0" collapsed="false">
      <c r="A34" s="50"/>
      <c r="B34" s="38"/>
      <c r="C34" s="38"/>
      <c r="D34" s="38"/>
      <c r="E34" s="38"/>
      <c r="F34" s="32"/>
    </row>
    <row r="35" customFormat="false" ht="15" hidden="false" customHeight="false" outlineLevel="0" collapsed="false">
      <c r="A35" s="50"/>
      <c r="B35" s="38"/>
      <c r="C35" s="38"/>
      <c r="D35" s="38"/>
      <c r="E35" s="38"/>
      <c r="F35" s="32"/>
    </row>
    <row r="36" customFormat="false" ht="15" hidden="false" customHeight="false" outlineLevel="0" collapsed="false">
      <c r="A36" s="50"/>
      <c r="B36" s="38"/>
      <c r="C36" s="38"/>
      <c r="D36" s="38"/>
      <c r="E36" s="38"/>
      <c r="F36" s="32"/>
    </row>
    <row r="37" customFormat="false" ht="15" hidden="false" customHeight="false" outlineLevel="0" collapsed="false">
      <c r="A37" s="50"/>
      <c r="B37" s="38"/>
      <c r="C37" s="38"/>
      <c r="D37" s="38"/>
      <c r="E37" s="38"/>
      <c r="F37" s="32"/>
    </row>
    <row r="38" customFormat="false" ht="15" hidden="false" customHeight="false" outlineLevel="0" collapsed="false">
      <c r="A38" s="50"/>
      <c r="B38" s="38"/>
      <c r="C38" s="38"/>
      <c r="D38" s="38"/>
      <c r="E38" s="38"/>
      <c r="F38" s="32"/>
    </row>
    <row r="39" customFormat="false" ht="15" hidden="false" customHeight="false" outlineLevel="0" collapsed="false">
      <c r="A39" s="50"/>
      <c r="B39" s="38"/>
      <c r="C39" s="38"/>
      <c r="D39" s="38"/>
      <c r="E39" s="38"/>
      <c r="F39" s="32"/>
    </row>
    <row r="40" customFormat="false" ht="15" hidden="false" customHeight="false" outlineLevel="0" collapsed="false">
      <c r="A40" s="50"/>
      <c r="B40" s="38"/>
      <c r="C40" s="38"/>
      <c r="D40" s="38"/>
      <c r="E40" s="38"/>
      <c r="F40" s="32"/>
    </row>
    <row r="41" customFormat="false" ht="15" hidden="false" customHeight="false" outlineLevel="0" collapsed="false">
      <c r="A41" s="50"/>
      <c r="B41" s="38"/>
      <c r="C41" s="38"/>
      <c r="D41" s="38"/>
      <c r="E41" s="38"/>
      <c r="F41" s="32"/>
    </row>
    <row r="42" customFormat="false" ht="15" hidden="false" customHeight="false" outlineLevel="0" collapsed="false">
      <c r="A42" s="50"/>
      <c r="B42" s="38"/>
      <c r="C42" s="38"/>
      <c r="D42" s="38"/>
      <c r="E42" s="38"/>
      <c r="F42" s="32"/>
    </row>
    <row r="43" customFormat="false" ht="15" hidden="false" customHeight="false" outlineLevel="0" collapsed="false">
      <c r="A43" s="50"/>
      <c r="B43" s="38"/>
      <c r="C43" s="38"/>
      <c r="D43" s="38"/>
      <c r="E43" s="38"/>
      <c r="F43" s="32"/>
    </row>
    <row r="44" customFormat="false" ht="15" hidden="false" customHeight="false" outlineLevel="0" collapsed="false">
      <c r="A44" s="50"/>
      <c r="B44" s="38"/>
      <c r="C44" s="38"/>
      <c r="D44" s="38"/>
      <c r="E44" s="38"/>
      <c r="F44" s="32"/>
    </row>
    <row r="45" customFormat="false" ht="15" hidden="false" customHeight="false" outlineLevel="0" collapsed="false">
      <c r="A45" s="50"/>
      <c r="B45" s="38"/>
      <c r="C45" s="38"/>
      <c r="D45" s="38"/>
      <c r="E45" s="38"/>
      <c r="F45" s="32"/>
    </row>
    <row r="46" customFormat="false" ht="15" hidden="false" customHeight="false" outlineLevel="0" collapsed="false">
      <c r="A46" s="50"/>
      <c r="B46" s="38"/>
      <c r="C46" s="38"/>
      <c r="D46" s="38"/>
      <c r="E46" s="38"/>
      <c r="F46" s="32"/>
    </row>
    <row r="47" customFormat="false" ht="15" hidden="false" customHeight="false" outlineLevel="0" collapsed="false">
      <c r="A47" s="50"/>
      <c r="B47" s="38"/>
      <c r="C47" s="38"/>
      <c r="D47" s="38"/>
      <c r="E47" s="38"/>
      <c r="F47" s="32"/>
    </row>
    <row r="48" customFormat="false" ht="15" hidden="false" customHeight="false" outlineLevel="0" collapsed="false">
      <c r="A48" s="50"/>
      <c r="B48" s="38"/>
      <c r="C48" s="38"/>
      <c r="D48" s="38"/>
      <c r="E48" s="38"/>
      <c r="F48" s="32"/>
    </row>
    <row r="49" customFormat="false" ht="15" hidden="false" customHeight="false" outlineLevel="0" collapsed="false">
      <c r="A49" s="50"/>
      <c r="B49" s="38"/>
      <c r="C49" s="38"/>
      <c r="D49" s="38"/>
      <c r="E49" s="38"/>
      <c r="F49" s="32"/>
    </row>
    <row r="50" customFormat="false" ht="15" hidden="false" customHeight="false" outlineLevel="0" collapsed="false">
      <c r="A50" s="50"/>
      <c r="B50" s="38"/>
      <c r="C50" s="38"/>
      <c r="D50" s="38"/>
      <c r="E50" s="38"/>
      <c r="F50" s="32"/>
    </row>
    <row r="51" customFormat="false" ht="15" hidden="false" customHeight="false" outlineLevel="0" collapsed="false">
      <c r="A51" s="50"/>
      <c r="B51" s="38"/>
      <c r="C51" s="38"/>
      <c r="D51" s="38"/>
      <c r="E51" s="38"/>
      <c r="F51" s="32"/>
    </row>
    <row r="52" customFormat="false" ht="15" hidden="false" customHeight="false" outlineLevel="0" collapsed="false">
      <c r="A52" s="50"/>
      <c r="B52" s="38"/>
      <c r="C52" s="38"/>
      <c r="D52" s="38"/>
      <c r="E52" s="38"/>
      <c r="F52" s="32"/>
    </row>
    <row r="53" customFormat="false" ht="15" hidden="false" customHeight="false" outlineLevel="0" collapsed="false">
      <c r="A53" s="50"/>
      <c r="B53" s="38"/>
      <c r="C53" s="38"/>
      <c r="D53" s="38"/>
      <c r="E53" s="38"/>
      <c r="F53" s="32"/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D4:D53" type="list">
      <formula1>"Butcher,Wholesaler,Other"</formula1>
      <formula2>0</formula2>
    </dataValidation>
    <dataValidation allowBlank="true" errorStyle="stop" operator="between" showDropDown="false" showErrorMessage="false" showInputMessage="false" sqref="E4:E5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30" t="s">
        <v>396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48" t="s">
        <v>397</v>
      </c>
      <c r="B2" s="48"/>
      <c r="C2" s="48"/>
      <c r="D2" s="48"/>
      <c r="E2" s="48"/>
      <c r="F2" s="48"/>
      <c r="G2" s="48"/>
      <c r="H2" s="48"/>
      <c r="I2" s="48"/>
    </row>
    <row r="4" customFormat="false" ht="26.85" hidden="false" customHeight="false" outlineLevel="0" collapsed="false">
      <c r="A4" s="31" t="s">
        <v>216</v>
      </c>
      <c r="B4" s="31" t="s">
        <v>274</v>
      </c>
      <c r="C4" s="31" t="s">
        <v>294</v>
      </c>
      <c r="D4" s="31" t="s">
        <v>275</v>
      </c>
      <c r="E4" s="31" t="s">
        <v>276</v>
      </c>
      <c r="F4" s="31" t="s">
        <v>277</v>
      </c>
      <c r="G4" s="31" t="s">
        <v>225</v>
      </c>
      <c r="H4" s="31" t="s">
        <v>398</v>
      </c>
      <c r="I4" s="31" t="s">
        <v>278</v>
      </c>
    </row>
    <row r="5" customFormat="false" ht="15" hidden="false" customHeight="false" outlineLevel="0" collapsed="false">
      <c r="A5" s="50"/>
      <c r="B5" s="51"/>
      <c r="C5" s="38"/>
      <c r="D5" s="64"/>
      <c r="E5" s="65"/>
      <c r="F5" s="38"/>
      <c r="G5" s="59" t="str">
        <f aca="false">IF($A5="","",IFERROR(INDEX('Animal Register'!$J:$J,MATCH($A5,'Animal Register'!$A:$A,0)),0))</f>
        <v/>
      </c>
      <c r="H5" s="59" t="str">
        <f aca="false">IF($A5="","",ROUND(SUMIF('Cost Tracker'!$B:$B,$A5,'Cost Tracker'!$F:$F),0))</f>
        <v/>
      </c>
      <c r="I5" s="59" t="str">
        <f aca="false">IF($A5="","",IF(ISNUMBER(E5),E5-G5-H5,"-"))</f>
        <v/>
      </c>
    </row>
    <row r="6" customFormat="false" ht="15" hidden="false" customHeight="false" outlineLevel="0" collapsed="false">
      <c r="A6" s="50"/>
      <c r="B6" s="51"/>
      <c r="C6" s="38"/>
      <c r="D6" s="64"/>
      <c r="E6" s="65"/>
      <c r="F6" s="38"/>
      <c r="G6" s="59" t="str">
        <f aca="false">IF($A6="","",IFERROR(INDEX('Animal Register'!$J:$J,MATCH($A6,'Animal Register'!$A:$A,0)),0))</f>
        <v/>
      </c>
      <c r="H6" s="59" t="str">
        <f aca="false">IF($A6="","",ROUND(SUMIF('Cost Tracker'!$B:$B,$A6,'Cost Tracker'!$F:$F),0))</f>
        <v/>
      </c>
      <c r="I6" s="59" t="str">
        <f aca="false">IF($A6="","",IF(ISNUMBER(E6),E6-G6-H6,"-"))</f>
        <v/>
      </c>
    </row>
    <row r="7" customFormat="false" ht="15" hidden="false" customHeight="false" outlineLevel="0" collapsed="false">
      <c r="A7" s="50"/>
      <c r="B7" s="51"/>
      <c r="C7" s="38"/>
      <c r="D7" s="64"/>
      <c r="E7" s="65"/>
      <c r="F7" s="38"/>
      <c r="G7" s="59" t="str">
        <f aca="false">IF($A7="","",IFERROR(INDEX('Animal Register'!$J:$J,MATCH($A7,'Animal Register'!$A:$A,0)),0))</f>
        <v/>
      </c>
      <c r="H7" s="59" t="str">
        <f aca="false">IF($A7="","",ROUND(SUMIF('Cost Tracker'!$B:$B,$A7,'Cost Tracker'!$F:$F),0))</f>
        <v/>
      </c>
      <c r="I7" s="59" t="str">
        <f aca="false">IF($A7="","",IF(ISNUMBER(E7),E7-G7-H7,"-"))</f>
        <v/>
      </c>
    </row>
    <row r="8" customFormat="false" ht="15" hidden="false" customHeight="false" outlineLevel="0" collapsed="false">
      <c r="A8" s="50"/>
      <c r="B8" s="51"/>
      <c r="C8" s="38"/>
      <c r="D8" s="64"/>
      <c r="E8" s="65"/>
      <c r="F8" s="38"/>
      <c r="G8" s="59" t="str">
        <f aca="false">IF($A8="","",IFERROR(INDEX('Animal Register'!$J:$J,MATCH($A8,'Animal Register'!$A:$A,0)),0))</f>
        <v/>
      </c>
      <c r="H8" s="59" t="str">
        <f aca="false">IF($A8="","",ROUND(SUMIF('Cost Tracker'!$B:$B,$A8,'Cost Tracker'!$F:$F),0))</f>
        <v/>
      </c>
      <c r="I8" s="59" t="str">
        <f aca="false">IF($A8="","",IF(ISNUMBER(E8),E8-G8-H8,"-"))</f>
        <v/>
      </c>
    </row>
    <row r="9" customFormat="false" ht="15" hidden="false" customHeight="false" outlineLevel="0" collapsed="false">
      <c r="A9" s="50"/>
      <c r="B9" s="51"/>
      <c r="C9" s="38"/>
      <c r="D9" s="64"/>
      <c r="E9" s="65"/>
      <c r="F9" s="38"/>
      <c r="G9" s="59" t="str">
        <f aca="false">IF($A9="","",IFERROR(INDEX('Animal Register'!$J:$J,MATCH($A9,'Animal Register'!$A:$A,0)),0))</f>
        <v/>
      </c>
      <c r="H9" s="59" t="str">
        <f aca="false">IF($A9="","",ROUND(SUMIF('Cost Tracker'!$B:$B,$A9,'Cost Tracker'!$F:$F),0))</f>
        <v/>
      </c>
      <c r="I9" s="59" t="str">
        <f aca="false">IF($A9="","",IF(ISNUMBER(E9),E9-G9-H9,"-"))</f>
        <v/>
      </c>
    </row>
    <row r="10" customFormat="false" ht="15" hidden="false" customHeight="false" outlineLevel="0" collapsed="false">
      <c r="A10" s="50"/>
      <c r="B10" s="51"/>
      <c r="C10" s="38"/>
      <c r="D10" s="64"/>
      <c r="E10" s="65"/>
      <c r="F10" s="38"/>
      <c r="G10" s="59" t="str">
        <f aca="false">IF($A10="","",IFERROR(INDEX('Animal Register'!$J:$J,MATCH($A10,'Animal Register'!$A:$A,0)),0))</f>
        <v/>
      </c>
      <c r="H10" s="59" t="str">
        <f aca="false">IF($A10="","",ROUND(SUMIF('Cost Tracker'!$B:$B,$A10,'Cost Tracker'!$F:$F),0))</f>
        <v/>
      </c>
      <c r="I10" s="59" t="str">
        <f aca="false">IF($A10="","",IF(ISNUMBER(E10),E10-G10-H10,"-"))</f>
        <v/>
      </c>
    </row>
    <row r="11" customFormat="false" ht="15" hidden="false" customHeight="false" outlineLevel="0" collapsed="false">
      <c r="A11" s="50"/>
      <c r="B11" s="51"/>
      <c r="C11" s="38"/>
      <c r="D11" s="64"/>
      <c r="E11" s="65"/>
      <c r="F11" s="38"/>
      <c r="G11" s="59" t="str">
        <f aca="false">IF($A11="","",IFERROR(INDEX('Animal Register'!$J:$J,MATCH($A11,'Animal Register'!$A:$A,0)),0))</f>
        <v/>
      </c>
      <c r="H11" s="59" t="str">
        <f aca="false">IF($A11="","",ROUND(SUMIF('Cost Tracker'!$B:$B,$A11,'Cost Tracker'!$F:$F),0))</f>
        <v/>
      </c>
      <c r="I11" s="59" t="str">
        <f aca="false">IF($A11="","",IF(ISNUMBER(E11),E11-G11-H11,"-"))</f>
        <v/>
      </c>
    </row>
    <row r="12" customFormat="false" ht="15" hidden="false" customHeight="false" outlineLevel="0" collapsed="false">
      <c r="A12" s="50"/>
      <c r="B12" s="51"/>
      <c r="C12" s="38"/>
      <c r="D12" s="64"/>
      <c r="E12" s="65"/>
      <c r="F12" s="38"/>
      <c r="G12" s="59" t="str">
        <f aca="false">IF($A12="","",IFERROR(INDEX('Animal Register'!$J:$J,MATCH($A12,'Animal Register'!$A:$A,0)),0))</f>
        <v/>
      </c>
      <c r="H12" s="59" t="str">
        <f aca="false">IF($A12="","",ROUND(SUMIF('Cost Tracker'!$B:$B,$A12,'Cost Tracker'!$F:$F),0))</f>
        <v/>
      </c>
      <c r="I12" s="59" t="str">
        <f aca="false">IF($A12="","",IF(ISNUMBER(E12),E12-G12-H12,"-"))</f>
        <v/>
      </c>
    </row>
    <row r="13" customFormat="false" ht="15" hidden="false" customHeight="false" outlineLevel="0" collapsed="false">
      <c r="A13" s="50"/>
      <c r="B13" s="51"/>
      <c r="C13" s="38"/>
      <c r="D13" s="64"/>
      <c r="E13" s="65"/>
      <c r="F13" s="38"/>
      <c r="G13" s="59" t="str">
        <f aca="false">IF($A13="","",IFERROR(INDEX('Animal Register'!$J:$J,MATCH($A13,'Animal Register'!$A:$A,0)),0))</f>
        <v/>
      </c>
      <c r="H13" s="59" t="str">
        <f aca="false">IF($A13="","",ROUND(SUMIF('Cost Tracker'!$B:$B,$A13,'Cost Tracker'!$F:$F),0))</f>
        <v/>
      </c>
      <c r="I13" s="59" t="str">
        <f aca="false">IF($A13="","",IF(ISNUMBER(E13),E13-G13-H13,"-"))</f>
        <v/>
      </c>
    </row>
    <row r="14" customFormat="false" ht="15" hidden="false" customHeight="false" outlineLevel="0" collapsed="false">
      <c r="A14" s="50"/>
      <c r="B14" s="51"/>
      <c r="C14" s="38"/>
      <c r="D14" s="64"/>
      <c r="E14" s="65"/>
      <c r="F14" s="38"/>
      <c r="G14" s="59" t="str">
        <f aca="false">IF($A14="","",IFERROR(INDEX('Animal Register'!$J:$J,MATCH($A14,'Animal Register'!$A:$A,0)),0))</f>
        <v/>
      </c>
      <c r="H14" s="59" t="str">
        <f aca="false">IF($A14="","",ROUND(SUMIF('Cost Tracker'!$B:$B,$A14,'Cost Tracker'!$F:$F),0))</f>
        <v/>
      </c>
      <c r="I14" s="59" t="str">
        <f aca="false">IF($A14="","",IF(ISNUMBER(E14),E14-G14-H14,"-"))</f>
        <v/>
      </c>
    </row>
    <row r="15" customFormat="false" ht="15" hidden="false" customHeight="false" outlineLevel="0" collapsed="false">
      <c r="A15" s="50"/>
      <c r="B15" s="51"/>
      <c r="C15" s="38"/>
      <c r="D15" s="64"/>
      <c r="E15" s="65"/>
      <c r="F15" s="38"/>
      <c r="G15" s="59" t="str">
        <f aca="false">IF($A15="","",IFERROR(INDEX('Animal Register'!$J:$J,MATCH($A15,'Animal Register'!$A:$A,0)),0))</f>
        <v/>
      </c>
      <c r="H15" s="59" t="str">
        <f aca="false">IF($A15="","",ROUND(SUMIF('Cost Tracker'!$B:$B,$A15,'Cost Tracker'!$F:$F),0))</f>
        <v/>
      </c>
      <c r="I15" s="59" t="str">
        <f aca="false">IF($A15="","",IF(ISNUMBER(E15),E15-G15-H15,"-"))</f>
        <v/>
      </c>
    </row>
    <row r="16" customFormat="false" ht="15" hidden="false" customHeight="false" outlineLevel="0" collapsed="false">
      <c r="A16" s="50"/>
      <c r="B16" s="51"/>
      <c r="C16" s="38"/>
      <c r="D16" s="64"/>
      <c r="E16" s="65"/>
      <c r="F16" s="38"/>
      <c r="G16" s="59" t="str">
        <f aca="false">IF($A16="","",IFERROR(INDEX('Animal Register'!$J:$J,MATCH($A16,'Animal Register'!$A:$A,0)),0))</f>
        <v/>
      </c>
      <c r="H16" s="59" t="str">
        <f aca="false">IF($A16="","",ROUND(SUMIF('Cost Tracker'!$B:$B,$A16,'Cost Tracker'!$F:$F),0))</f>
        <v/>
      </c>
      <c r="I16" s="59" t="str">
        <f aca="false">IF($A16="","",IF(ISNUMBER(E16),E16-G16-H16,"-"))</f>
        <v/>
      </c>
    </row>
    <row r="17" customFormat="false" ht="15" hidden="false" customHeight="false" outlineLevel="0" collapsed="false">
      <c r="A17" s="50"/>
      <c r="B17" s="51"/>
      <c r="C17" s="38"/>
      <c r="D17" s="64"/>
      <c r="E17" s="65"/>
      <c r="F17" s="38"/>
      <c r="G17" s="59" t="str">
        <f aca="false">IF($A17="","",IFERROR(INDEX('Animal Register'!$J:$J,MATCH($A17,'Animal Register'!$A:$A,0)),0))</f>
        <v/>
      </c>
      <c r="H17" s="59" t="str">
        <f aca="false">IF($A17="","",ROUND(SUMIF('Cost Tracker'!$B:$B,$A17,'Cost Tracker'!$F:$F),0))</f>
        <v/>
      </c>
      <c r="I17" s="59" t="str">
        <f aca="false">IF($A17="","",IF(ISNUMBER(E17),E17-G17-H17,"-"))</f>
        <v/>
      </c>
    </row>
    <row r="18" customFormat="false" ht="15" hidden="false" customHeight="false" outlineLevel="0" collapsed="false">
      <c r="A18" s="50"/>
      <c r="B18" s="51"/>
      <c r="C18" s="38"/>
      <c r="D18" s="64"/>
      <c r="E18" s="65"/>
      <c r="F18" s="38"/>
      <c r="G18" s="59" t="str">
        <f aca="false">IF($A18="","",IFERROR(INDEX('Animal Register'!$J:$J,MATCH($A18,'Animal Register'!$A:$A,0)),0))</f>
        <v/>
      </c>
      <c r="H18" s="59" t="str">
        <f aca="false">IF($A18="","",ROUND(SUMIF('Cost Tracker'!$B:$B,$A18,'Cost Tracker'!$F:$F),0))</f>
        <v/>
      </c>
      <c r="I18" s="59" t="str">
        <f aca="false">IF($A18="","",IF(ISNUMBER(E18),E18-G18-H18,"-"))</f>
        <v/>
      </c>
    </row>
    <row r="19" customFormat="false" ht="15" hidden="false" customHeight="false" outlineLevel="0" collapsed="false">
      <c r="A19" s="50"/>
      <c r="B19" s="51"/>
      <c r="C19" s="38"/>
      <c r="D19" s="64"/>
      <c r="E19" s="65"/>
      <c r="F19" s="38"/>
      <c r="G19" s="59" t="str">
        <f aca="false">IF($A19="","",IFERROR(INDEX('Animal Register'!$J:$J,MATCH($A19,'Animal Register'!$A:$A,0)),0))</f>
        <v/>
      </c>
      <c r="H19" s="59" t="str">
        <f aca="false">IF($A19="","",ROUND(SUMIF('Cost Tracker'!$B:$B,$A19,'Cost Tracker'!$F:$F),0))</f>
        <v/>
      </c>
      <c r="I19" s="59" t="str">
        <f aca="false">IF($A19="","",IF(ISNUMBER(E19),E19-G19-H19,"-"))</f>
        <v/>
      </c>
    </row>
    <row r="20" customFormat="false" ht="15" hidden="false" customHeight="false" outlineLevel="0" collapsed="false">
      <c r="A20" s="50"/>
      <c r="B20" s="51"/>
      <c r="C20" s="38"/>
      <c r="D20" s="64"/>
      <c r="E20" s="65"/>
      <c r="F20" s="38"/>
      <c r="G20" s="59" t="str">
        <f aca="false">IF($A20="","",IFERROR(INDEX('Animal Register'!$J:$J,MATCH($A20,'Animal Register'!$A:$A,0)),0))</f>
        <v/>
      </c>
      <c r="H20" s="59" t="str">
        <f aca="false">IF($A20="","",ROUND(SUMIF('Cost Tracker'!$B:$B,$A20,'Cost Tracker'!$F:$F),0))</f>
        <v/>
      </c>
      <c r="I20" s="59" t="str">
        <f aca="false">IF($A20="","",IF(ISNUMBER(E20),E20-G20-H20,"-"))</f>
        <v/>
      </c>
    </row>
    <row r="21" customFormat="false" ht="15" hidden="false" customHeight="false" outlineLevel="0" collapsed="false">
      <c r="A21" s="50"/>
      <c r="B21" s="51"/>
      <c r="C21" s="38"/>
      <c r="D21" s="64"/>
      <c r="E21" s="65"/>
      <c r="F21" s="38"/>
      <c r="G21" s="59" t="str">
        <f aca="false">IF($A21="","",IFERROR(INDEX('Animal Register'!$J:$J,MATCH($A21,'Animal Register'!$A:$A,0)),0))</f>
        <v/>
      </c>
      <c r="H21" s="59" t="str">
        <f aca="false">IF($A21="","",ROUND(SUMIF('Cost Tracker'!$B:$B,$A21,'Cost Tracker'!$F:$F),0))</f>
        <v/>
      </c>
      <c r="I21" s="59" t="str">
        <f aca="false">IF($A21="","",IF(ISNUMBER(E21),E21-G21-H21,"-"))</f>
        <v/>
      </c>
    </row>
    <row r="22" customFormat="false" ht="15" hidden="false" customHeight="false" outlineLevel="0" collapsed="false">
      <c r="A22" s="50"/>
      <c r="B22" s="51"/>
      <c r="C22" s="38"/>
      <c r="D22" s="64"/>
      <c r="E22" s="65"/>
      <c r="F22" s="38"/>
      <c r="G22" s="59" t="str">
        <f aca="false">IF($A22="","",IFERROR(INDEX('Animal Register'!$J:$J,MATCH($A22,'Animal Register'!$A:$A,0)),0))</f>
        <v/>
      </c>
      <c r="H22" s="59" t="str">
        <f aca="false">IF($A22="","",ROUND(SUMIF('Cost Tracker'!$B:$B,$A22,'Cost Tracker'!$F:$F),0))</f>
        <v/>
      </c>
      <c r="I22" s="59" t="str">
        <f aca="false">IF($A22="","",IF(ISNUMBER(E22),E22-G22-H22,"-"))</f>
        <v/>
      </c>
    </row>
    <row r="23" customFormat="false" ht="15" hidden="false" customHeight="false" outlineLevel="0" collapsed="false">
      <c r="A23" s="50"/>
      <c r="B23" s="51"/>
      <c r="C23" s="38"/>
      <c r="D23" s="64"/>
      <c r="E23" s="65"/>
      <c r="F23" s="38"/>
      <c r="G23" s="59" t="str">
        <f aca="false">IF($A23="","",IFERROR(INDEX('Animal Register'!$J:$J,MATCH($A23,'Animal Register'!$A:$A,0)),0))</f>
        <v/>
      </c>
      <c r="H23" s="59" t="str">
        <f aca="false">IF($A23="","",ROUND(SUMIF('Cost Tracker'!$B:$B,$A23,'Cost Tracker'!$F:$F),0))</f>
        <v/>
      </c>
      <c r="I23" s="59" t="str">
        <f aca="false">IF($A23="","",IF(ISNUMBER(E23),E23-G23-H23,"-"))</f>
        <v/>
      </c>
    </row>
    <row r="24" customFormat="false" ht="15" hidden="false" customHeight="false" outlineLevel="0" collapsed="false">
      <c r="A24" s="50"/>
      <c r="B24" s="51"/>
      <c r="C24" s="38"/>
      <c r="D24" s="64"/>
      <c r="E24" s="65"/>
      <c r="F24" s="38"/>
      <c r="G24" s="59" t="str">
        <f aca="false">IF($A24="","",IFERROR(INDEX('Animal Register'!$J:$J,MATCH($A24,'Animal Register'!$A:$A,0)),0))</f>
        <v/>
      </c>
      <c r="H24" s="59" t="str">
        <f aca="false">IF($A24="","",ROUND(SUMIF('Cost Tracker'!$B:$B,$A24,'Cost Tracker'!$F:$F),0))</f>
        <v/>
      </c>
      <c r="I24" s="59" t="str">
        <f aca="false">IF($A24="","",IF(ISNUMBER(E24),E24-G24-H24,"-"))</f>
        <v/>
      </c>
    </row>
    <row r="25" customFormat="false" ht="15" hidden="false" customHeight="false" outlineLevel="0" collapsed="false">
      <c r="A25" s="50"/>
      <c r="B25" s="51"/>
      <c r="C25" s="38"/>
      <c r="D25" s="64"/>
      <c r="E25" s="65"/>
      <c r="F25" s="38"/>
      <c r="G25" s="59" t="str">
        <f aca="false">IF($A25="","",IFERROR(INDEX('Animal Register'!$J:$J,MATCH($A25,'Animal Register'!$A:$A,0)),0))</f>
        <v/>
      </c>
      <c r="H25" s="59" t="str">
        <f aca="false">IF($A25="","",ROUND(SUMIF('Cost Tracker'!$B:$B,$A25,'Cost Tracker'!$F:$F),0))</f>
        <v/>
      </c>
      <c r="I25" s="59" t="str">
        <f aca="false">IF($A25="","",IF(ISNUMBER(E25),E25-G25-H25,"-"))</f>
        <v/>
      </c>
    </row>
    <row r="26" customFormat="false" ht="15" hidden="false" customHeight="false" outlineLevel="0" collapsed="false">
      <c r="A26" s="50"/>
      <c r="B26" s="51"/>
      <c r="C26" s="38"/>
      <c r="D26" s="64"/>
      <c r="E26" s="65"/>
      <c r="F26" s="38"/>
      <c r="G26" s="59" t="str">
        <f aca="false">IF($A26="","",IFERROR(INDEX('Animal Register'!$J:$J,MATCH($A26,'Animal Register'!$A:$A,0)),0))</f>
        <v/>
      </c>
      <c r="H26" s="59" t="str">
        <f aca="false">IF($A26="","",ROUND(SUMIF('Cost Tracker'!$B:$B,$A26,'Cost Tracker'!$F:$F),0))</f>
        <v/>
      </c>
      <c r="I26" s="59" t="str">
        <f aca="false">IF($A26="","",IF(ISNUMBER(E26),E26-G26-H26,"-"))</f>
        <v/>
      </c>
    </row>
    <row r="27" customFormat="false" ht="15" hidden="false" customHeight="false" outlineLevel="0" collapsed="false">
      <c r="A27" s="50"/>
      <c r="B27" s="51"/>
      <c r="C27" s="38"/>
      <c r="D27" s="64"/>
      <c r="E27" s="65"/>
      <c r="F27" s="38"/>
      <c r="G27" s="59" t="str">
        <f aca="false">IF($A27="","",IFERROR(INDEX('Animal Register'!$J:$J,MATCH($A27,'Animal Register'!$A:$A,0)),0))</f>
        <v/>
      </c>
      <c r="H27" s="59" t="str">
        <f aca="false">IF($A27="","",ROUND(SUMIF('Cost Tracker'!$B:$B,$A27,'Cost Tracker'!$F:$F),0))</f>
        <v/>
      </c>
      <c r="I27" s="59" t="str">
        <f aca="false">IF($A27="","",IF(ISNUMBER(E27),E27-G27-H27,"-"))</f>
        <v/>
      </c>
    </row>
    <row r="28" customFormat="false" ht="15" hidden="false" customHeight="false" outlineLevel="0" collapsed="false">
      <c r="A28" s="50"/>
      <c r="B28" s="51"/>
      <c r="C28" s="38"/>
      <c r="D28" s="64"/>
      <c r="E28" s="65"/>
      <c r="F28" s="38"/>
      <c r="G28" s="59" t="str">
        <f aca="false">IF($A28="","",IFERROR(INDEX('Animal Register'!$J:$J,MATCH($A28,'Animal Register'!$A:$A,0)),0))</f>
        <v/>
      </c>
      <c r="H28" s="59" t="str">
        <f aca="false">IF($A28="","",ROUND(SUMIF('Cost Tracker'!$B:$B,$A28,'Cost Tracker'!$F:$F),0))</f>
        <v/>
      </c>
      <c r="I28" s="59" t="str">
        <f aca="false">IF($A28="","",IF(ISNUMBER(E28),E28-G28-H28,"-"))</f>
        <v/>
      </c>
    </row>
    <row r="29" customFormat="false" ht="15" hidden="false" customHeight="false" outlineLevel="0" collapsed="false">
      <c r="A29" s="50"/>
      <c r="B29" s="51"/>
      <c r="C29" s="38"/>
      <c r="D29" s="64"/>
      <c r="E29" s="65"/>
      <c r="F29" s="38"/>
      <c r="G29" s="59" t="str">
        <f aca="false">IF($A29="","",IFERROR(INDEX('Animal Register'!$J:$J,MATCH($A29,'Animal Register'!$A:$A,0)),0))</f>
        <v/>
      </c>
      <c r="H29" s="59" t="str">
        <f aca="false">IF($A29="","",ROUND(SUMIF('Cost Tracker'!$B:$B,$A29,'Cost Tracker'!$F:$F),0))</f>
        <v/>
      </c>
      <c r="I29" s="59" t="str">
        <f aca="false">IF($A29="","",IF(ISNUMBER(E29),E29-G29-H29,"-"))</f>
        <v/>
      </c>
    </row>
    <row r="30" customFormat="false" ht="15" hidden="false" customHeight="false" outlineLevel="0" collapsed="false">
      <c r="A30" s="50"/>
      <c r="B30" s="51"/>
      <c r="C30" s="38"/>
      <c r="D30" s="64"/>
      <c r="E30" s="65"/>
      <c r="F30" s="38"/>
      <c r="G30" s="59" t="str">
        <f aca="false">IF($A30="","",IFERROR(INDEX('Animal Register'!$J:$J,MATCH($A30,'Animal Register'!$A:$A,0)),0))</f>
        <v/>
      </c>
      <c r="H30" s="59" t="str">
        <f aca="false">IF($A30="","",ROUND(SUMIF('Cost Tracker'!$B:$B,$A30,'Cost Tracker'!$F:$F),0))</f>
        <v/>
      </c>
      <c r="I30" s="59" t="str">
        <f aca="false">IF($A30="","",IF(ISNUMBER(E30),E30-G30-H30,"-"))</f>
        <v/>
      </c>
    </row>
    <row r="31" customFormat="false" ht="15" hidden="false" customHeight="false" outlineLevel="0" collapsed="false">
      <c r="A31" s="50"/>
      <c r="B31" s="51"/>
      <c r="C31" s="38"/>
      <c r="D31" s="64"/>
      <c r="E31" s="65"/>
      <c r="F31" s="38"/>
      <c r="G31" s="59" t="str">
        <f aca="false">IF($A31="","",IFERROR(INDEX('Animal Register'!$J:$J,MATCH($A31,'Animal Register'!$A:$A,0)),0))</f>
        <v/>
      </c>
      <c r="H31" s="59" t="str">
        <f aca="false">IF($A31="","",ROUND(SUMIF('Cost Tracker'!$B:$B,$A31,'Cost Tracker'!$F:$F),0))</f>
        <v/>
      </c>
      <c r="I31" s="59" t="str">
        <f aca="false">IF($A31="","",IF(ISNUMBER(E31),E31-G31-H31,"-"))</f>
        <v/>
      </c>
    </row>
    <row r="32" customFormat="false" ht="15" hidden="false" customHeight="false" outlineLevel="0" collapsed="false">
      <c r="A32" s="50"/>
      <c r="B32" s="51"/>
      <c r="C32" s="38"/>
      <c r="D32" s="64"/>
      <c r="E32" s="65"/>
      <c r="F32" s="38"/>
      <c r="G32" s="59" t="str">
        <f aca="false">IF($A32="","",IFERROR(INDEX('Animal Register'!$J:$J,MATCH($A32,'Animal Register'!$A:$A,0)),0))</f>
        <v/>
      </c>
      <c r="H32" s="59" t="str">
        <f aca="false">IF($A32="","",ROUND(SUMIF('Cost Tracker'!$B:$B,$A32,'Cost Tracker'!$F:$F),0))</f>
        <v/>
      </c>
      <c r="I32" s="59" t="str">
        <f aca="false">IF($A32="","",IF(ISNUMBER(E32),E32-G32-H32,"-"))</f>
        <v/>
      </c>
    </row>
    <row r="33" customFormat="false" ht="15" hidden="false" customHeight="false" outlineLevel="0" collapsed="false">
      <c r="A33" s="50"/>
      <c r="B33" s="51"/>
      <c r="C33" s="38"/>
      <c r="D33" s="64"/>
      <c r="E33" s="65"/>
      <c r="F33" s="38"/>
      <c r="G33" s="59" t="str">
        <f aca="false">IF($A33="","",IFERROR(INDEX('Animal Register'!$J:$J,MATCH($A33,'Animal Register'!$A:$A,0)),0))</f>
        <v/>
      </c>
      <c r="H33" s="59" t="str">
        <f aca="false">IF($A33="","",ROUND(SUMIF('Cost Tracker'!$B:$B,$A33,'Cost Tracker'!$F:$F),0))</f>
        <v/>
      </c>
      <c r="I33" s="59" t="str">
        <f aca="false">IF($A33="","",IF(ISNUMBER(E33),E33-G33-H33,"-"))</f>
        <v/>
      </c>
    </row>
    <row r="34" customFormat="false" ht="15" hidden="false" customHeight="false" outlineLevel="0" collapsed="false">
      <c r="A34" s="50"/>
      <c r="B34" s="51"/>
      <c r="C34" s="38"/>
      <c r="D34" s="64"/>
      <c r="E34" s="65"/>
      <c r="F34" s="38"/>
      <c r="G34" s="59" t="str">
        <f aca="false">IF($A34="","",IFERROR(INDEX('Animal Register'!$J:$J,MATCH($A34,'Animal Register'!$A:$A,0)),0))</f>
        <v/>
      </c>
      <c r="H34" s="59" t="str">
        <f aca="false">IF($A34="","",ROUND(SUMIF('Cost Tracker'!$B:$B,$A34,'Cost Tracker'!$F:$F),0))</f>
        <v/>
      </c>
      <c r="I34" s="59" t="str">
        <f aca="false">IF($A34="","",IF(ISNUMBER(E34),E34-G34-H34,"-"))</f>
        <v/>
      </c>
    </row>
    <row r="35" customFormat="false" ht="15" hidden="false" customHeight="false" outlineLevel="0" collapsed="false">
      <c r="A35" s="50"/>
      <c r="B35" s="51"/>
      <c r="C35" s="38"/>
      <c r="D35" s="64"/>
      <c r="E35" s="65"/>
      <c r="F35" s="38"/>
      <c r="G35" s="59" t="str">
        <f aca="false">IF($A35="","",IFERROR(INDEX('Animal Register'!$J:$J,MATCH($A35,'Animal Register'!$A:$A,0)),0))</f>
        <v/>
      </c>
      <c r="H35" s="59" t="str">
        <f aca="false">IF($A35="","",ROUND(SUMIF('Cost Tracker'!$B:$B,$A35,'Cost Tracker'!$F:$F),0))</f>
        <v/>
      </c>
      <c r="I35" s="59" t="str">
        <f aca="false">IF($A35="","",IF(ISNUMBER(E35),E35-G35-H35,"-"))</f>
        <v/>
      </c>
    </row>
    <row r="36" customFormat="false" ht="15" hidden="false" customHeight="false" outlineLevel="0" collapsed="false">
      <c r="A36" s="50"/>
      <c r="B36" s="51"/>
      <c r="C36" s="38"/>
      <c r="D36" s="64"/>
      <c r="E36" s="65"/>
      <c r="F36" s="38"/>
      <c r="G36" s="59" t="str">
        <f aca="false">IF($A36="","",IFERROR(INDEX('Animal Register'!$J:$J,MATCH($A36,'Animal Register'!$A:$A,0)),0))</f>
        <v/>
      </c>
      <c r="H36" s="59" t="str">
        <f aca="false">IF($A36="","",ROUND(SUMIF('Cost Tracker'!$B:$B,$A36,'Cost Tracker'!$F:$F),0))</f>
        <v/>
      </c>
      <c r="I36" s="59" t="str">
        <f aca="false">IF($A36="","",IF(ISNUMBER(E36),E36-G36-H36,"-"))</f>
        <v/>
      </c>
    </row>
    <row r="37" customFormat="false" ht="15" hidden="false" customHeight="false" outlineLevel="0" collapsed="false">
      <c r="A37" s="50"/>
      <c r="B37" s="51"/>
      <c r="C37" s="38"/>
      <c r="D37" s="64"/>
      <c r="E37" s="65"/>
      <c r="F37" s="38"/>
      <c r="G37" s="59" t="str">
        <f aca="false">IF($A37="","",IFERROR(INDEX('Animal Register'!$J:$J,MATCH($A37,'Animal Register'!$A:$A,0)),0))</f>
        <v/>
      </c>
      <c r="H37" s="59" t="str">
        <f aca="false">IF($A37="","",ROUND(SUMIF('Cost Tracker'!$B:$B,$A37,'Cost Tracker'!$F:$F),0))</f>
        <v/>
      </c>
      <c r="I37" s="59" t="str">
        <f aca="false">IF($A37="","",IF(ISNUMBER(E37),E37-G37-H37,"-"))</f>
        <v/>
      </c>
    </row>
    <row r="38" customFormat="false" ht="15" hidden="false" customHeight="false" outlineLevel="0" collapsed="false">
      <c r="A38" s="50"/>
      <c r="B38" s="51"/>
      <c r="C38" s="38"/>
      <c r="D38" s="64"/>
      <c r="E38" s="65"/>
      <c r="F38" s="38"/>
      <c r="G38" s="59" t="str">
        <f aca="false">IF($A38="","",IFERROR(INDEX('Animal Register'!$J:$J,MATCH($A38,'Animal Register'!$A:$A,0)),0))</f>
        <v/>
      </c>
      <c r="H38" s="59" t="str">
        <f aca="false">IF($A38="","",ROUND(SUMIF('Cost Tracker'!$B:$B,$A38,'Cost Tracker'!$F:$F),0))</f>
        <v/>
      </c>
      <c r="I38" s="59" t="str">
        <f aca="false">IF($A38="","",IF(ISNUMBER(E38),E38-G38-H38,"-"))</f>
        <v/>
      </c>
    </row>
    <row r="39" customFormat="false" ht="15" hidden="false" customHeight="false" outlineLevel="0" collapsed="false">
      <c r="A39" s="50"/>
      <c r="B39" s="51"/>
      <c r="C39" s="38"/>
      <c r="D39" s="64"/>
      <c r="E39" s="65"/>
      <c r="F39" s="38"/>
      <c r="G39" s="59" t="str">
        <f aca="false">IF($A39="","",IFERROR(INDEX('Animal Register'!$J:$J,MATCH($A39,'Animal Register'!$A:$A,0)),0))</f>
        <v/>
      </c>
      <c r="H39" s="59" t="str">
        <f aca="false">IF($A39="","",ROUND(SUMIF('Cost Tracker'!$B:$B,$A39,'Cost Tracker'!$F:$F),0))</f>
        <v/>
      </c>
      <c r="I39" s="59" t="str">
        <f aca="false">IF($A39="","",IF(ISNUMBER(E39),E39-G39-H39,"-"))</f>
        <v/>
      </c>
    </row>
    <row r="40" customFormat="false" ht="15" hidden="false" customHeight="false" outlineLevel="0" collapsed="false">
      <c r="A40" s="50"/>
      <c r="B40" s="51"/>
      <c r="C40" s="38"/>
      <c r="D40" s="64"/>
      <c r="E40" s="65"/>
      <c r="F40" s="38"/>
      <c r="G40" s="59" t="str">
        <f aca="false">IF($A40="","",IFERROR(INDEX('Animal Register'!$J:$J,MATCH($A40,'Animal Register'!$A:$A,0)),0))</f>
        <v/>
      </c>
      <c r="H40" s="59" t="str">
        <f aca="false">IF($A40="","",ROUND(SUMIF('Cost Tracker'!$B:$B,$A40,'Cost Tracker'!$F:$F),0))</f>
        <v/>
      </c>
      <c r="I40" s="59" t="str">
        <f aca="false">IF($A40="","",IF(ISNUMBER(E40),E40-G40-H40,"-"))</f>
        <v/>
      </c>
    </row>
    <row r="41" customFormat="false" ht="15" hidden="false" customHeight="false" outlineLevel="0" collapsed="false">
      <c r="A41" s="50"/>
      <c r="B41" s="51"/>
      <c r="C41" s="38"/>
      <c r="D41" s="64"/>
      <c r="E41" s="65"/>
      <c r="F41" s="38"/>
      <c r="G41" s="59" t="str">
        <f aca="false">IF($A41="","",IFERROR(INDEX('Animal Register'!$J:$J,MATCH($A41,'Animal Register'!$A:$A,0)),0))</f>
        <v/>
      </c>
      <c r="H41" s="59" t="str">
        <f aca="false">IF($A41="","",ROUND(SUMIF('Cost Tracker'!$B:$B,$A41,'Cost Tracker'!$F:$F),0))</f>
        <v/>
      </c>
      <c r="I41" s="59" t="str">
        <f aca="false">IF($A41="","",IF(ISNUMBER(E41),E41-G41-H41,"-"))</f>
        <v/>
      </c>
    </row>
    <row r="42" customFormat="false" ht="15" hidden="false" customHeight="false" outlineLevel="0" collapsed="false">
      <c r="A42" s="50"/>
      <c r="B42" s="51"/>
      <c r="C42" s="38"/>
      <c r="D42" s="64"/>
      <c r="E42" s="65"/>
      <c r="F42" s="38"/>
      <c r="G42" s="59" t="str">
        <f aca="false">IF($A42="","",IFERROR(INDEX('Animal Register'!$J:$J,MATCH($A42,'Animal Register'!$A:$A,0)),0))</f>
        <v/>
      </c>
      <c r="H42" s="59" t="str">
        <f aca="false">IF($A42="","",ROUND(SUMIF('Cost Tracker'!$B:$B,$A42,'Cost Tracker'!$F:$F),0))</f>
        <v/>
      </c>
      <c r="I42" s="59" t="str">
        <f aca="false">IF($A42="","",IF(ISNUMBER(E42),E42-G42-H42,"-"))</f>
        <v/>
      </c>
    </row>
    <row r="43" customFormat="false" ht="15" hidden="false" customHeight="false" outlineLevel="0" collapsed="false">
      <c r="A43" s="50"/>
      <c r="B43" s="51"/>
      <c r="C43" s="38"/>
      <c r="D43" s="64"/>
      <c r="E43" s="65"/>
      <c r="F43" s="38"/>
      <c r="G43" s="59" t="str">
        <f aca="false">IF($A43="","",IFERROR(INDEX('Animal Register'!$J:$J,MATCH($A43,'Animal Register'!$A:$A,0)),0))</f>
        <v/>
      </c>
      <c r="H43" s="59" t="str">
        <f aca="false">IF($A43="","",ROUND(SUMIF('Cost Tracker'!$B:$B,$A43,'Cost Tracker'!$F:$F),0))</f>
        <v/>
      </c>
      <c r="I43" s="59" t="str">
        <f aca="false">IF($A43="","",IF(ISNUMBER(E43),E43-G43-H43,"-"))</f>
        <v/>
      </c>
    </row>
    <row r="44" customFormat="false" ht="15" hidden="false" customHeight="false" outlineLevel="0" collapsed="false">
      <c r="A44" s="50"/>
      <c r="B44" s="51"/>
      <c r="C44" s="38"/>
      <c r="D44" s="64"/>
      <c r="E44" s="65"/>
      <c r="F44" s="38"/>
      <c r="G44" s="59" t="str">
        <f aca="false">IF($A44="","",IFERROR(INDEX('Animal Register'!$J:$J,MATCH($A44,'Animal Register'!$A:$A,0)),0))</f>
        <v/>
      </c>
      <c r="H44" s="59" t="str">
        <f aca="false">IF($A44="","",ROUND(SUMIF('Cost Tracker'!$B:$B,$A44,'Cost Tracker'!$F:$F),0))</f>
        <v/>
      </c>
      <c r="I44" s="59" t="str">
        <f aca="false">IF($A44="","",IF(ISNUMBER(E44),E44-G44-H44,"-"))</f>
        <v/>
      </c>
    </row>
    <row r="45" customFormat="false" ht="15" hidden="false" customHeight="false" outlineLevel="0" collapsed="false">
      <c r="A45" s="50"/>
      <c r="B45" s="51"/>
      <c r="C45" s="38"/>
      <c r="D45" s="64"/>
      <c r="E45" s="65"/>
      <c r="F45" s="38"/>
      <c r="G45" s="59" t="str">
        <f aca="false">IF($A45="","",IFERROR(INDEX('Animal Register'!$J:$J,MATCH($A45,'Animal Register'!$A:$A,0)),0))</f>
        <v/>
      </c>
      <c r="H45" s="59" t="str">
        <f aca="false">IF($A45="","",ROUND(SUMIF('Cost Tracker'!$B:$B,$A45,'Cost Tracker'!$F:$F),0))</f>
        <v/>
      </c>
      <c r="I45" s="59" t="str">
        <f aca="false">IF($A45="","",IF(ISNUMBER(E45),E45-G45-H45,"-"))</f>
        <v/>
      </c>
    </row>
    <row r="46" customFormat="false" ht="15" hidden="false" customHeight="false" outlineLevel="0" collapsed="false">
      <c r="A46" s="50"/>
      <c r="B46" s="51"/>
      <c r="C46" s="38"/>
      <c r="D46" s="64"/>
      <c r="E46" s="65"/>
      <c r="F46" s="38"/>
      <c r="G46" s="59" t="str">
        <f aca="false">IF($A46="","",IFERROR(INDEX('Animal Register'!$J:$J,MATCH($A46,'Animal Register'!$A:$A,0)),0))</f>
        <v/>
      </c>
      <c r="H46" s="59" t="str">
        <f aca="false">IF($A46="","",ROUND(SUMIF('Cost Tracker'!$B:$B,$A46,'Cost Tracker'!$F:$F),0))</f>
        <v/>
      </c>
      <c r="I46" s="59" t="str">
        <f aca="false">IF($A46="","",IF(ISNUMBER(E46),E46-G46-H46,"-"))</f>
        <v/>
      </c>
    </row>
    <row r="47" customFormat="false" ht="15" hidden="false" customHeight="false" outlineLevel="0" collapsed="false">
      <c r="A47" s="50"/>
      <c r="B47" s="51"/>
      <c r="C47" s="38"/>
      <c r="D47" s="64"/>
      <c r="E47" s="65"/>
      <c r="F47" s="38"/>
      <c r="G47" s="59" t="str">
        <f aca="false">IF($A47="","",IFERROR(INDEX('Animal Register'!$J:$J,MATCH($A47,'Animal Register'!$A:$A,0)),0))</f>
        <v/>
      </c>
      <c r="H47" s="59" t="str">
        <f aca="false">IF($A47="","",ROUND(SUMIF('Cost Tracker'!$B:$B,$A47,'Cost Tracker'!$F:$F),0))</f>
        <v/>
      </c>
      <c r="I47" s="59" t="str">
        <f aca="false">IF($A47="","",IF(ISNUMBER(E47),E47-G47-H47,"-"))</f>
        <v/>
      </c>
    </row>
    <row r="48" customFormat="false" ht="15" hidden="false" customHeight="false" outlineLevel="0" collapsed="false">
      <c r="A48" s="50"/>
      <c r="B48" s="51"/>
      <c r="C48" s="38"/>
      <c r="D48" s="64"/>
      <c r="E48" s="65"/>
      <c r="F48" s="38"/>
      <c r="G48" s="59" t="str">
        <f aca="false">IF($A48="","",IFERROR(INDEX('Animal Register'!$J:$J,MATCH($A48,'Animal Register'!$A:$A,0)),0))</f>
        <v/>
      </c>
      <c r="H48" s="59" t="str">
        <f aca="false">IF($A48="","",ROUND(SUMIF('Cost Tracker'!$B:$B,$A48,'Cost Tracker'!$F:$F),0))</f>
        <v/>
      </c>
      <c r="I48" s="59" t="str">
        <f aca="false">IF($A48="","",IF(ISNUMBER(E48),E48-G48-H48,"-"))</f>
        <v/>
      </c>
    </row>
    <row r="49" customFormat="false" ht="15" hidden="false" customHeight="false" outlineLevel="0" collapsed="false">
      <c r="A49" s="50"/>
      <c r="B49" s="51"/>
      <c r="C49" s="38"/>
      <c r="D49" s="64"/>
      <c r="E49" s="65"/>
      <c r="F49" s="38"/>
      <c r="G49" s="59" t="str">
        <f aca="false">IF($A49="","",IFERROR(INDEX('Animal Register'!$J:$J,MATCH($A49,'Animal Register'!$A:$A,0)),0))</f>
        <v/>
      </c>
      <c r="H49" s="59" t="str">
        <f aca="false">IF($A49="","",ROUND(SUMIF('Cost Tracker'!$B:$B,$A49,'Cost Tracker'!$F:$F),0))</f>
        <v/>
      </c>
      <c r="I49" s="59" t="str">
        <f aca="false">IF($A49="","",IF(ISNUMBER(E49),E49-G49-H49,"-"))</f>
        <v/>
      </c>
    </row>
    <row r="50" customFormat="false" ht="15" hidden="false" customHeight="false" outlineLevel="0" collapsed="false">
      <c r="A50" s="50"/>
      <c r="B50" s="51"/>
      <c r="C50" s="38"/>
      <c r="D50" s="64"/>
      <c r="E50" s="65"/>
      <c r="F50" s="38"/>
      <c r="G50" s="59" t="str">
        <f aca="false">IF($A50="","",IFERROR(INDEX('Animal Register'!$J:$J,MATCH($A50,'Animal Register'!$A:$A,0)),0))</f>
        <v/>
      </c>
      <c r="H50" s="59" t="str">
        <f aca="false">IF($A50="","",ROUND(SUMIF('Cost Tracker'!$B:$B,$A50,'Cost Tracker'!$F:$F),0))</f>
        <v/>
      </c>
      <c r="I50" s="59" t="str">
        <f aca="false">IF($A50="","",IF(ISNUMBER(E50),E50-G50-H50,"-"))</f>
        <v/>
      </c>
    </row>
    <row r="51" customFormat="false" ht="15" hidden="false" customHeight="false" outlineLevel="0" collapsed="false">
      <c r="A51" s="50"/>
      <c r="B51" s="51"/>
      <c r="C51" s="38"/>
      <c r="D51" s="64"/>
      <c r="E51" s="65"/>
      <c r="F51" s="38"/>
      <c r="G51" s="59" t="str">
        <f aca="false">IF($A51="","",IFERROR(INDEX('Animal Register'!$J:$J,MATCH($A51,'Animal Register'!$A:$A,0)),0))</f>
        <v/>
      </c>
      <c r="H51" s="59" t="str">
        <f aca="false">IF($A51="","",ROUND(SUMIF('Cost Tracker'!$B:$B,$A51,'Cost Tracker'!$F:$F),0))</f>
        <v/>
      </c>
      <c r="I51" s="59" t="str">
        <f aca="false">IF($A51="","",IF(ISNUMBER(E51),E51-G51-H51,"-"))</f>
        <v/>
      </c>
    </row>
    <row r="52" customFormat="false" ht="15" hidden="false" customHeight="false" outlineLevel="0" collapsed="false">
      <c r="A52" s="50"/>
      <c r="B52" s="51"/>
      <c r="C52" s="38"/>
      <c r="D52" s="64"/>
      <c r="E52" s="65"/>
      <c r="F52" s="38"/>
      <c r="G52" s="59" t="str">
        <f aca="false">IF($A52="","",IFERROR(INDEX('Animal Register'!$J:$J,MATCH($A52,'Animal Register'!$A:$A,0)),0))</f>
        <v/>
      </c>
      <c r="H52" s="59" t="str">
        <f aca="false">IF($A52="","",ROUND(SUMIF('Cost Tracker'!$B:$B,$A52,'Cost Tracker'!$F:$F),0))</f>
        <v/>
      </c>
      <c r="I52" s="59" t="str">
        <f aca="false">IF($A52="","",IF(ISNUMBER(E52),E52-G52-H52,"-"))</f>
        <v/>
      </c>
    </row>
    <row r="53" customFormat="false" ht="15" hidden="false" customHeight="false" outlineLevel="0" collapsed="false">
      <c r="A53" s="50"/>
      <c r="B53" s="51"/>
      <c r="C53" s="38"/>
      <c r="D53" s="64"/>
      <c r="E53" s="65"/>
      <c r="F53" s="38"/>
      <c r="G53" s="59" t="str">
        <f aca="false">IF($A53="","",IFERROR(INDEX('Animal Register'!$J:$J,MATCH($A53,'Animal Register'!$A:$A,0)),0))</f>
        <v/>
      </c>
      <c r="H53" s="59" t="str">
        <f aca="false">IF($A53="","",ROUND(SUMIF('Cost Tracker'!$B:$B,$A53,'Cost Tracker'!$F:$F),0))</f>
        <v/>
      </c>
      <c r="I53" s="59" t="str">
        <f aca="false">IF($A53="","",IF(ISNUMBER(E53),E53-G53-H53,"-"))</f>
        <v/>
      </c>
    </row>
    <row r="54" customFormat="false" ht="15" hidden="false" customHeight="false" outlineLevel="0" collapsed="false">
      <c r="A54" s="50"/>
      <c r="B54" s="51"/>
      <c r="C54" s="38"/>
      <c r="D54" s="64"/>
      <c r="E54" s="65"/>
      <c r="F54" s="38"/>
      <c r="G54" s="59" t="str">
        <f aca="false">IF($A54="","",IFERROR(INDEX('Animal Register'!$J:$J,MATCH($A54,'Animal Register'!$A:$A,0)),0))</f>
        <v/>
      </c>
      <c r="H54" s="59" t="str">
        <f aca="false">IF($A54="","",ROUND(SUMIF('Cost Tracker'!$B:$B,$A54,'Cost Tracker'!$F:$F),0))</f>
        <v/>
      </c>
      <c r="I54" s="59" t="str">
        <f aca="false">IF($A54="","",IF(ISNUMBER(E54),E54-G54-H54,"-"))</f>
        <v/>
      </c>
    </row>
    <row r="55" customFormat="false" ht="15" hidden="false" customHeight="false" outlineLevel="0" collapsed="false">
      <c r="A55" s="50"/>
      <c r="B55" s="51"/>
      <c r="C55" s="38"/>
      <c r="D55" s="64"/>
      <c r="E55" s="65"/>
      <c r="F55" s="38"/>
      <c r="G55" s="59" t="str">
        <f aca="false">IF($A55="","",IFERROR(INDEX('Animal Register'!$J:$J,MATCH($A55,'Animal Register'!$A:$A,0)),0))</f>
        <v/>
      </c>
      <c r="H55" s="59" t="str">
        <f aca="false">IF($A55="","",ROUND(SUMIF('Cost Tracker'!$B:$B,$A55,'Cost Tracker'!$F:$F),0))</f>
        <v/>
      </c>
      <c r="I55" s="59" t="str">
        <f aca="false">IF($A55="","",IF(ISNUMBER(E55),E55-G55-H55,"-"))</f>
        <v/>
      </c>
    </row>
    <row r="56" customFormat="false" ht="15" hidden="false" customHeight="false" outlineLevel="0" collapsed="false">
      <c r="A56" s="50"/>
      <c r="B56" s="51"/>
      <c r="C56" s="38"/>
      <c r="D56" s="64"/>
      <c r="E56" s="65"/>
      <c r="F56" s="38"/>
      <c r="G56" s="59" t="str">
        <f aca="false">IF($A56="","",IFERROR(INDEX('Animal Register'!$J:$J,MATCH($A56,'Animal Register'!$A:$A,0)),0))</f>
        <v/>
      </c>
      <c r="H56" s="59" t="str">
        <f aca="false">IF($A56="","",ROUND(SUMIF('Cost Tracker'!$B:$B,$A56,'Cost Tracker'!$F:$F),0))</f>
        <v/>
      </c>
      <c r="I56" s="59" t="str">
        <f aca="false">IF($A56="","",IF(ISNUMBER(E56),E56-G56-H56,"-"))</f>
        <v/>
      </c>
    </row>
    <row r="57" customFormat="false" ht="15" hidden="false" customHeight="false" outlineLevel="0" collapsed="false">
      <c r="A57" s="50"/>
      <c r="B57" s="51"/>
      <c r="C57" s="38"/>
      <c r="D57" s="64"/>
      <c r="E57" s="65"/>
      <c r="F57" s="38"/>
      <c r="G57" s="59" t="str">
        <f aca="false">IF($A57="","",IFERROR(INDEX('Animal Register'!$J:$J,MATCH($A57,'Animal Register'!$A:$A,0)),0))</f>
        <v/>
      </c>
      <c r="H57" s="59" t="str">
        <f aca="false">IF($A57="","",ROUND(SUMIF('Cost Tracker'!$B:$B,$A57,'Cost Tracker'!$F:$F),0))</f>
        <v/>
      </c>
      <c r="I57" s="59" t="str">
        <f aca="false">IF($A57="","",IF(ISNUMBER(E57),E57-G57-H57,"-"))</f>
        <v/>
      </c>
    </row>
    <row r="58" customFormat="false" ht="15" hidden="false" customHeight="false" outlineLevel="0" collapsed="false">
      <c r="A58" s="50"/>
      <c r="B58" s="51"/>
      <c r="C58" s="38"/>
      <c r="D58" s="64"/>
      <c r="E58" s="65"/>
      <c r="F58" s="38"/>
      <c r="G58" s="59" t="str">
        <f aca="false">IF($A58="","",IFERROR(INDEX('Animal Register'!$J:$J,MATCH($A58,'Animal Register'!$A:$A,0)),0))</f>
        <v/>
      </c>
      <c r="H58" s="59" t="str">
        <f aca="false">IF($A58="","",ROUND(SUMIF('Cost Tracker'!$B:$B,$A58,'Cost Tracker'!$F:$F),0))</f>
        <v/>
      </c>
      <c r="I58" s="59" t="str">
        <f aca="false">IF($A58="","",IF(ISNUMBER(E58),E58-G58-H58,"-"))</f>
        <v/>
      </c>
    </row>
    <row r="59" customFormat="false" ht="15" hidden="false" customHeight="false" outlineLevel="0" collapsed="false">
      <c r="A59" s="50"/>
      <c r="B59" s="51"/>
      <c r="C59" s="38"/>
      <c r="D59" s="64"/>
      <c r="E59" s="65"/>
      <c r="F59" s="38"/>
      <c r="G59" s="59" t="str">
        <f aca="false">IF($A59="","",IFERROR(INDEX('Animal Register'!$J:$J,MATCH($A59,'Animal Register'!$A:$A,0)),0))</f>
        <v/>
      </c>
      <c r="H59" s="59" t="str">
        <f aca="false">IF($A59="","",ROUND(SUMIF('Cost Tracker'!$B:$B,$A59,'Cost Tracker'!$F:$F),0))</f>
        <v/>
      </c>
      <c r="I59" s="59" t="str">
        <f aca="false">IF($A59="","",IF(ISNUMBER(E59),E59-G59-H59,"-"))</f>
        <v/>
      </c>
    </row>
    <row r="60" customFormat="false" ht="15" hidden="false" customHeight="false" outlineLevel="0" collapsed="false">
      <c r="A60" s="50"/>
      <c r="B60" s="51"/>
      <c r="C60" s="38"/>
      <c r="D60" s="64"/>
      <c r="E60" s="65"/>
      <c r="F60" s="38"/>
      <c r="G60" s="59" t="str">
        <f aca="false">IF($A60="","",IFERROR(INDEX('Animal Register'!$J:$J,MATCH($A60,'Animal Register'!$A:$A,0)),0))</f>
        <v/>
      </c>
      <c r="H60" s="59" t="str">
        <f aca="false">IF($A60="","",ROUND(SUMIF('Cost Tracker'!$B:$B,$A60,'Cost Tracker'!$F:$F),0))</f>
        <v/>
      </c>
      <c r="I60" s="59" t="str">
        <f aca="false">IF($A60="","",IF(ISNUMBER(E60),E60-G60-H60,"-"))</f>
        <v/>
      </c>
    </row>
    <row r="61" customFormat="false" ht="15" hidden="false" customHeight="false" outlineLevel="0" collapsed="false">
      <c r="A61" s="50"/>
      <c r="B61" s="51"/>
      <c r="C61" s="38"/>
      <c r="D61" s="64"/>
      <c r="E61" s="65"/>
      <c r="F61" s="38"/>
      <c r="G61" s="59" t="str">
        <f aca="false">IF($A61="","",IFERROR(INDEX('Animal Register'!$J:$J,MATCH($A61,'Animal Register'!$A:$A,0)),0))</f>
        <v/>
      </c>
      <c r="H61" s="59" t="str">
        <f aca="false">IF($A61="","",ROUND(SUMIF('Cost Tracker'!$B:$B,$A61,'Cost Tracker'!$F:$F),0))</f>
        <v/>
      </c>
      <c r="I61" s="59" t="str">
        <f aca="false">IF($A61="","",IF(ISNUMBER(E61),E61-G61-H61,"-"))</f>
        <v/>
      </c>
    </row>
    <row r="62" customFormat="false" ht="15" hidden="false" customHeight="false" outlineLevel="0" collapsed="false">
      <c r="A62" s="50"/>
      <c r="B62" s="51"/>
      <c r="C62" s="38"/>
      <c r="D62" s="64"/>
      <c r="E62" s="65"/>
      <c r="F62" s="38"/>
      <c r="G62" s="59" t="str">
        <f aca="false">IF($A62="","",IFERROR(INDEX('Animal Register'!$J:$J,MATCH($A62,'Animal Register'!$A:$A,0)),0))</f>
        <v/>
      </c>
      <c r="H62" s="59" t="str">
        <f aca="false">IF($A62="","",ROUND(SUMIF('Cost Tracker'!$B:$B,$A62,'Cost Tracker'!$F:$F),0))</f>
        <v/>
      </c>
      <c r="I62" s="59" t="str">
        <f aca="false">IF($A62="","",IF(ISNUMBER(E62),E62-G62-H62,"-"))</f>
        <v/>
      </c>
    </row>
    <row r="63" customFormat="false" ht="15" hidden="false" customHeight="false" outlineLevel="0" collapsed="false">
      <c r="A63" s="50"/>
      <c r="B63" s="51"/>
      <c r="C63" s="38"/>
      <c r="D63" s="64"/>
      <c r="E63" s="65"/>
      <c r="F63" s="38"/>
      <c r="G63" s="59" t="str">
        <f aca="false">IF($A63="","",IFERROR(INDEX('Animal Register'!$J:$J,MATCH($A63,'Animal Register'!$A:$A,0)),0))</f>
        <v/>
      </c>
      <c r="H63" s="59" t="str">
        <f aca="false">IF($A63="","",ROUND(SUMIF('Cost Tracker'!$B:$B,$A63,'Cost Tracker'!$F:$F),0))</f>
        <v/>
      </c>
      <c r="I63" s="59" t="str">
        <f aca="false">IF($A63="","",IF(ISNUMBER(E63),E63-G63-H63,"-"))</f>
        <v/>
      </c>
    </row>
    <row r="64" customFormat="false" ht="15" hidden="false" customHeight="false" outlineLevel="0" collapsed="false">
      <c r="A64" s="50"/>
      <c r="B64" s="51"/>
      <c r="C64" s="38"/>
      <c r="D64" s="64"/>
      <c r="E64" s="65"/>
      <c r="F64" s="38"/>
      <c r="G64" s="59" t="str">
        <f aca="false">IF($A64="","",IFERROR(INDEX('Animal Register'!$J:$J,MATCH($A64,'Animal Register'!$A:$A,0)),0))</f>
        <v/>
      </c>
      <c r="H64" s="59" t="str">
        <f aca="false">IF($A64="","",ROUND(SUMIF('Cost Tracker'!$B:$B,$A64,'Cost Tracker'!$F:$F),0))</f>
        <v/>
      </c>
      <c r="I64" s="59" t="str">
        <f aca="false">IF($A64="","",IF(ISNUMBER(E64),E64-G64-H64,"-"))</f>
        <v/>
      </c>
    </row>
    <row r="65" customFormat="false" ht="15" hidden="false" customHeight="false" outlineLevel="0" collapsed="false">
      <c r="A65" s="50"/>
      <c r="B65" s="51"/>
      <c r="C65" s="38"/>
      <c r="D65" s="64"/>
      <c r="E65" s="65"/>
      <c r="F65" s="38"/>
      <c r="G65" s="59" t="str">
        <f aca="false">IF($A65="","",IFERROR(INDEX('Animal Register'!$J:$J,MATCH($A65,'Animal Register'!$A:$A,0)),0))</f>
        <v/>
      </c>
      <c r="H65" s="59" t="str">
        <f aca="false">IF($A65="","",ROUND(SUMIF('Cost Tracker'!$B:$B,$A65,'Cost Tracker'!$F:$F),0))</f>
        <v/>
      </c>
      <c r="I65" s="59" t="str">
        <f aca="false">IF($A65="","",IF(ISNUMBER(E65),E65-G65-H65,"-"))</f>
        <v/>
      </c>
    </row>
    <row r="66" customFormat="false" ht="15" hidden="false" customHeight="false" outlineLevel="0" collapsed="false">
      <c r="A66" s="50"/>
      <c r="B66" s="51"/>
      <c r="C66" s="38"/>
      <c r="D66" s="64"/>
      <c r="E66" s="65"/>
      <c r="F66" s="38"/>
      <c r="G66" s="59" t="str">
        <f aca="false">IF($A66="","",IFERROR(INDEX('Animal Register'!$J:$J,MATCH($A66,'Animal Register'!$A:$A,0)),0))</f>
        <v/>
      </c>
      <c r="H66" s="59" t="str">
        <f aca="false">IF($A66="","",ROUND(SUMIF('Cost Tracker'!$B:$B,$A66,'Cost Tracker'!$F:$F),0))</f>
        <v/>
      </c>
      <c r="I66" s="59" t="str">
        <f aca="false">IF($A66="","",IF(ISNUMBER(E66),E66-G66-H66,"-"))</f>
        <v/>
      </c>
    </row>
    <row r="67" customFormat="false" ht="15" hidden="false" customHeight="false" outlineLevel="0" collapsed="false">
      <c r="A67" s="50"/>
      <c r="B67" s="51"/>
      <c r="C67" s="38"/>
      <c r="D67" s="64"/>
      <c r="E67" s="65"/>
      <c r="F67" s="38"/>
      <c r="G67" s="59" t="str">
        <f aca="false">IF($A67="","",IFERROR(INDEX('Animal Register'!$J:$J,MATCH($A67,'Animal Register'!$A:$A,0)),0))</f>
        <v/>
      </c>
      <c r="H67" s="59" t="str">
        <f aca="false">IF($A67="","",ROUND(SUMIF('Cost Tracker'!$B:$B,$A67,'Cost Tracker'!$F:$F),0))</f>
        <v/>
      </c>
      <c r="I67" s="59" t="str">
        <f aca="false">IF($A67="","",IF(ISNUMBER(E67),E67-G67-H67,"-"))</f>
        <v/>
      </c>
    </row>
    <row r="68" customFormat="false" ht="15" hidden="false" customHeight="false" outlineLevel="0" collapsed="false">
      <c r="A68" s="50"/>
      <c r="B68" s="51"/>
      <c r="C68" s="38"/>
      <c r="D68" s="64"/>
      <c r="E68" s="65"/>
      <c r="F68" s="38"/>
      <c r="G68" s="59" t="str">
        <f aca="false">IF($A68="","",IFERROR(INDEX('Animal Register'!$J:$J,MATCH($A68,'Animal Register'!$A:$A,0)),0))</f>
        <v/>
      </c>
      <c r="H68" s="59" t="str">
        <f aca="false">IF($A68="","",ROUND(SUMIF('Cost Tracker'!$B:$B,$A68,'Cost Tracker'!$F:$F),0))</f>
        <v/>
      </c>
      <c r="I68" s="59" t="str">
        <f aca="false">IF($A68="","",IF(ISNUMBER(E68),E68-G68-H68,"-"))</f>
        <v/>
      </c>
    </row>
    <row r="69" customFormat="false" ht="15" hidden="false" customHeight="false" outlineLevel="0" collapsed="false">
      <c r="A69" s="50"/>
      <c r="B69" s="51"/>
      <c r="C69" s="38"/>
      <c r="D69" s="64"/>
      <c r="E69" s="65"/>
      <c r="F69" s="38"/>
      <c r="G69" s="59" t="str">
        <f aca="false">IF($A69="","",IFERROR(INDEX('Animal Register'!$J:$J,MATCH($A69,'Animal Register'!$A:$A,0)),0))</f>
        <v/>
      </c>
      <c r="H69" s="59" t="str">
        <f aca="false">IF($A69="","",ROUND(SUMIF('Cost Tracker'!$B:$B,$A69,'Cost Tracker'!$F:$F),0))</f>
        <v/>
      </c>
      <c r="I69" s="59" t="str">
        <f aca="false">IF($A69="","",IF(ISNUMBER(E69),E69-G69-H69,"-"))</f>
        <v/>
      </c>
    </row>
    <row r="70" customFormat="false" ht="15" hidden="false" customHeight="false" outlineLevel="0" collapsed="false">
      <c r="A70" s="50"/>
      <c r="B70" s="51"/>
      <c r="C70" s="38"/>
      <c r="D70" s="64"/>
      <c r="E70" s="65"/>
      <c r="F70" s="38"/>
      <c r="G70" s="59" t="str">
        <f aca="false">IF($A70="","",IFERROR(INDEX('Animal Register'!$J:$J,MATCH($A70,'Animal Register'!$A:$A,0)),0))</f>
        <v/>
      </c>
      <c r="H70" s="59" t="str">
        <f aca="false">IF($A70="","",ROUND(SUMIF('Cost Tracker'!$B:$B,$A70,'Cost Tracker'!$F:$F),0))</f>
        <v/>
      </c>
      <c r="I70" s="59" t="str">
        <f aca="false">IF($A70="","",IF(ISNUMBER(E70),E70-G70-H70,"-"))</f>
        <v/>
      </c>
    </row>
    <row r="71" customFormat="false" ht="15" hidden="false" customHeight="false" outlineLevel="0" collapsed="false">
      <c r="A71" s="50"/>
      <c r="B71" s="51"/>
      <c r="C71" s="38"/>
      <c r="D71" s="64"/>
      <c r="E71" s="65"/>
      <c r="F71" s="38"/>
      <c r="G71" s="59" t="str">
        <f aca="false">IF($A71="","",IFERROR(INDEX('Animal Register'!$J:$J,MATCH($A71,'Animal Register'!$A:$A,0)),0))</f>
        <v/>
      </c>
      <c r="H71" s="59" t="str">
        <f aca="false">IF($A71="","",ROUND(SUMIF('Cost Tracker'!$B:$B,$A71,'Cost Tracker'!$F:$F),0))</f>
        <v/>
      </c>
      <c r="I71" s="59" t="str">
        <f aca="false">IF($A71="","",IF(ISNUMBER(E71),E71-G71-H71,"-"))</f>
        <v/>
      </c>
    </row>
    <row r="72" customFormat="false" ht="15" hidden="false" customHeight="false" outlineLevel="0" collapsed="false">
      <c r="A72" s="50"/>
      <c r="B72" s="51"/>
      <c r="C72" s="38"/>
      <c r="D72" s="64"/>
      <c r="E72" s="65"/>
      <c r="F72" s="38"/>
      <c r="G72" s="59" t="str">
        <f aca="false">IF($A72="","",IFERROR(INDEX('Animal Register'!$J:$J,MATCH($A72,'Animal Register'!$A:$A,0)),0))</f>
        <v/>
      </c>
      <c r="H72" s="59" t="str">
        <f aca="false">IF($A72="","",ROUND(SUMIF('Cost Tracker'!$B:$B,$A72,'Cost Tracker'!$F:$F),0))</f>
        <v/>
      </c>
      <c r="I72" s="59" t="str">
        <f aca="false">IF($A72="","",IF(ISNUMBER(E72),E72-G72-H72,"-"))</f>
        <v/>
      </c>
    </row>
    <row r="73" customFormat="false" ht="15" hidden="false" customHeight="false" outlineLevel="0" collapsed="false">
      <c r="A73" s="50"/>
      <c r="B73" s="51"/>
      <c r="C73" s="38"/>
      <c r="D73" s="64"/>
      <c r="E73" s="65"/>
      <c r="F73" s="38"/>
      <c r="G73" s="59" t="str">
        <f aca="false">IF($A73="","",IFERROR(INDEX('Animal Register'!$J:$J,MATCH($A73,'Animal Register'!$A:$A,0)),0))</f>
        <v/>
      </c>
      <c r="H73" s="59" t="str">
        <f aca="false">IF($A73="","",ROUND(SUMIF('Cost Tracker'!$B:$B,$A73,'Cost Tracker'!$F:$F),0))</f>
        <v/>
      </c>
      <c r="I73" s="59" t="str">
        <f aca="false">IF($A73="","",IF(ISNUMBER(E73),E73-G73-H73,"-"))</f>
        <v/>
      </c>
    </row>
    <row r="74" customFormat="false" ht="15" hidden="false" customHeight="false" outlineLevel="0" collapsed="false">
      <c r="A74" s="50"/>
      <c r="B74" s="51"/>
      <c r="C74" s="38"/>
      <c r="D74" s="64"/>
      <c r="E74" s="65"/>
      <c r="F74" s="38"/>
      <c r="G74" s="59" t="str">
        <f aca="false">IF($A74="","",IFERROR(INDEX('Animal Register'!$J:$J,MATCH($A74,'Animal Register'!$A:$A,0)),0))</f>
        <v/>
      </c>
      <c r="H74" s="59" t="str">
        <f aca="false">IF($A74="","",ROUND(SUMIF('Cost Tracker'!$B:$B,$A74,'Cost Tracker'!$F:$F),0))</f>
        <v/>
      </c>
      <c r="I74" s="59" t="str">
        <f aca="false">IF($A74="","",IF(ISNUMBER(E74),E74-G74-H74,"-"))</f>
        <v/>
      </c>
    </row>
    <row r="75" customFormat="false" ht="15" hidden="false" customHeight="false" outlineLevel="0" collapsed="false">
      <c r="A75" s="50"/>
      <c r="B75" s="51"/>
      <c r="C75" s="38"/>
      <c r="D75" s="64"/>
      <c r="E75" s="65"/>
      <c r="F75" s="38"/>
      <c r="G75" s="59" t="str">
        <f aca="false">IF($A75="","",IFERROR(INDEX('Animal Register'!$J:$J,MATCH($A75,'Animal Register'!$A:$A,0)),0))</f>
        <v/>
      </c>
      <c r="H75" s="59" t="str">
        <f aca="false">IF($A75="","",ROUND(SUMIF('Cost Tracker'!$B:$B,$A75,'Cost Tracker'!$F:$F),0))</f>
        <v/>
      </c>
      <c r="I75" s="59" t="str">
        <f aca="false">IF($A75="","",IF(ISNUMBER(E75),E75-G75-H75,"-"))</f>
        <v/>
      </c>
    </row>
    <row r="76" customFormat="false" ht="15" hidden="false" customHeight="false" outlineLevel="0" collapsed="false">
      <c r="A76" s="50"/>
      <c r="B76" s="51"/>
      <c r="C76" s="38"/>
      <c r="D76" s="64"/>
      <c r="E76" s="65"/>
      <c r="F76" s="38"/>
      <c r="G76" s="59" t="str">
        <f aca="false">IF($A76="","",IFERROR(INDEX('Animal Register'!$J:$J,MATCH($A76,'Animal Register'!$A:$A,0)),0))</f>
        <v/>
      </c>
      <c r="H76" s="59" t="str">
        <f aca="false">IF($A76="","",ROUND(SUMIF('Cost Tracker'!$B:$B,$A76,'Cost Tracker'!$F:$F),0))</f>
        <v/>
      </c>
      <c r="I76" s="59" t="str">
        <f aca="false">IF($A76="","",IF(ISNUMBER(E76),E76-G76-H76,"-"))</f>
        <v/>
      </c>
    </row>
    <row r="77" customFormat="false" ht="15" hidden="false" customHeight="false" outlineLevel="0" collapsed="false">
      <c r="A77" s="50"/>
      <c r="B77" s="51"/>
      <c r="C77" s="38"/>
      <c r="D77" s="64"/>
      <c r="E77" s="65"/>
      <c r="F77" s="38"/>
      <c r="G77" s="59" t="str">
        <f aca="false">IF($A77="","",IFERROR(INDEX('Animal Register'!$J:$J,MATCH($A77,'Animal Register'!$A:$A,0)),0))</f>
        <v/>
      </c>
      <c r="H77" s="59" t="str">
        <f aca="false">IF($A77="","",ROUND(SUMIF('Cost Tracker'!$B:$B,$A77,'Cost Tracker'!$F:$F),0))</f>
        <v/>
      </c>
      <c r="I77" s="59" t="str">
        <f aca="false">IF($A77="","",IF(ISNUMBER(E77),E77-G77-H77,"-"))</f>
        <v/>
      </c>
    </row>
    <row r="78" customFormat="false" ht="15" hidden="false" customHeight="false" outlineLevel="0" collapsed="false">
      <c r="A78" s="50"/>
      <c r="B78" s="51"/>
      <c r="C78" s="38"/>
      <c r="D78" s="64"/>
      <c r="E78" s="65"/>
      <c r="F78" s="38"/>
      <c r="G78" s="59" t="str">
        <f aca="false">IF($A78="","",IFERROR(INDEX('Animal Register'!$J:$J,MATCH($A78,'Animal Register'!$A:$A,0)),0))</f>
        <v/>
      </c>
      <c r="H78" s="59" t="str">
        <f aca="false">IF($A78="","",ROUND(SUMIF('Cost Tracker'!$B:$B,$A78,'Cost Tracker'!$F:$F),0))</f>
        <v/>
      </c>
      <c r="I78" s="59" t="str">
        <f aca="false">IF($A78="","",IF(ISNUMBER(E78),E78-G78-H78,"-"))</f>
        <v/>
      </c>
    </row>
    <row r="79" customFormat="false" ht="15" hidden="false" customHeight="false" outlineLevel="0" collapsed="false">
      <c r="A79" s="50"/>
      <c r="B79" s="51"/>
      <c r="C79" s="38"/>
      <c r="D79" s="64"/>
      <c r="E79" s="65"/>
      <c r="F79" s="38"/>
      <c r="G79" s="59" t="str">
        <f aca="false">IF($A79="","",IFERROR(INDEX('Animal Register'!$J:$J,MATCH($A79,'Animal Register'!$A:$A,0)),0))</f>
        <v/>
      </c>
      <c r="H79" s="59" t="str">
        <f aca="false">IF($A79="","",ROUND(SUMIF('Cost Tracker'!$B:$B,$A79,'Cost Tracker'!$F:$F),0))</f>
        <v/>
      </c>
      <c r="I79" s="59" t="str">
        <f aca="false">IF($A79="","",IF(ISNUMBER(E79),E79-G79-H79,"-"))</f>
        <v/>
      </c>
    </row>
    <row r="80" customFormat="false" ht="15" hidden="false" customHeight="false" outlineLevel="0" collapsed="false">
      <c r="A80" s="50"/>
      <c r="B80" s="51"/>
      <c r="C80" s="38"/>
      <c r="D80" s="64"/>
      <c r="E80" s="65"/>
      <c r="F80" s="38"/>
      <c r="G80" s="59" t="str">
        <f aca="false">IF($A80="","",IFERROR(INDEX('Animal Register'!$J:$J,MATCH($A80,'Animal Register'!$A:$A,0)),0))</f>
        <v/>
      </c>
      <c r="H80" s="59" t="str">
        <f aca="false">IF($A80="","",ROUND(SUMIF('Cost Tracker'!$B:$B,$A80,'Cost Tracker'!$F:$F),0))</f>
        <v/>
      </c>
      <c r="I80" s="59" t="str">
        <f aca="false">IF($A80="","",IF(ISNUMBER(E80),E80-G80-H80,"-"))</f>
        <v/>
      </c>
    </row>
    <row r="81" customFormat="false" ht="15" hidden="false" customHeight="false" outlineLevel="0" collapsed="false">
      <c r="A81" s="50"/>
      <c r="B81" s="51"/>
      <c r="C81" s="38"/>
      <c r="D81" s="64"/>
      <c r="E81" s="65"/>
      <c r="F81" s="38"/>
      <c r="G81" s="59" t="str">
        <f aca="false">IF($A81="","",IFERROR(INDEX('Animal Register'!$J:$J,MATCH($A81,'Animal Register'!$A:$A,0)),0))</f>
        <v/>
      </c>
      <c r="H81" s="59" t="str">
        <f aca="false">IF($A81="","",ROUND(SUMIF('Cost Tracker'!$B:$B,$A81,'Cost Tracker'!$F:$F),0))</f>
        <v/>
      </c>
      <c r="I81" s="59" t="str">
        <f aca="false">IF($A81="","",IF(ISNUMBER(E81),E81-G81-H81,"-"))</f>
        <v/>
      </c>
    </row>
    <row r="82" customFormat="false" ht="15" hidden="false" customHeight="false" outlineLevel="0" collapsed="false">
      <c r="A82" s="50"/>
      <c r="B82" s="51"/>
      <c r="C82" s="38"/>
      <c r="D82" s="64"/>
      <c r="E82" s="65"/>
      <c r="F82" s="38"/>
      <c r="G82" s="59" t="str">
        <f aca="false">IF($A82="","",IFERROR(INDEX('Animal Register'!$J:$J,MATCH($A82,'Animal Register'!$A:$A,0)),0))</f>
        <v/>
      </c>
      <c r="H82" s="59" t="str">
        <f aca="false">IF($A82="","",ROUND(SUMIF('Cost Tracker'!$B:$B,$A82,'Cost Tracker'!$F:$F),0))</f>
        <v/>
      </c>
      <c r="I82" s="59" t="str">
        <f aca="false">IF($A82="","",IF(ISNUMBER(E82),E82-G82-H82,"-"))</f>
        <v/>
      </c>
    </row>
    <row r="83" customFormat="false" ht="15" hidden="false" customHeight="false" outlineLevel="0" collapsed="false">
      <c r="A83" s="50"/>
      <c r="B83" s="51"/>
      <c r="C83" s="38"/>
      <c r="D83" s="64"/>
      <c r="E83" s="65"/>
      <c r="F83" s="38"/>
      <c r="G83" s="59" t="str">
        <f aca="false">IF($A83="","",IFERROR(INDEX('Animal Register'!$J:$J,MATCH($A83,'Animal Register'!$A:$A,0)),0))</f>
        <v/>
      </c>
      <c r="H83" s="59" t="str">
        <f aca="false">IF($A83="","",ROUND(SUMIF('Cost Tracker'!$B:$B,$A83,'Cost Tracker'!$F:$F),0))</f>
        <v/>
      </c>
      <c r="I83" s="59" t="str">
        <f aca="false">IF($A83="","",IF(ISNUMBER(E83),E83-G83-H83,"-"))</f>
        <v/>
      </c>
    </row>
    <row r="84" customFormat="false" ht="15" hidden="false" customHeight="false" outlineLevel="0" collapsed="false">
      <c r="A84" s="50"/>
      <c r="B84" s="51"/>
      <c r="C84" s="38"/>
      <c r="D84" s="64"/>
      <c r="E84" s="65"/>
      <c r="F84" s="38"/>
      <c r="G84" s="59" t="str">
        <f aca="false">IF($A84="","",IFERROR(INDEX('Animal Register'!$J:$J,MATCH($A84,'Animal Register'!$A:$A,0)),0))</f>
        <v/>
      </c>
      <c r="H84" s="59" t="str">
        <f aca="false">IF($A84="","",ROUND(SUMIF('Cost Tracker'!$B:$B,$A84,'Cost Tracker'!$F:$F),0))</f>
        <v/>
      </c>
      <c r="I84" s="59" t="str">
        <f aca="false">IF($A84="","",IF(ISNUMBER(E84),E84-G84-H84,"-"))</f>
        <v/>
      </c>
    </row>
    <row r="85" customFormat="false" ht="15" hidden="false" customHeight="false" outlineLevel="0" collapsed="false">
      <c r="A85" s="50"/>
      <c r="B85" s="51"/>
      <c r="C85" s="38"/>
      <c r="D85" s="64"/>
      <c r="E85" s="65"/>
      <c r="F85" s="38"/>
      <c r="G85" s="59" t="str">
        <f aca="false">IF($A85="","",IFERROR(INDEX('Animal Register'!$J:$J,MATCH($A85,'Animal Register'!$A:$A,0)),0))</f>
        <v/>
      </c>
      <c r="H85" s="59" t="str">
        <f aca="false">IF($A85="","",ROUND(SUMIF('Cost Tracker'!$B:$B,$A85,'Cost Tracker'!$F:$F),0))</f>
        <v/>
      </c>
      <c r="I85" s="59" t="str">
        <f aca="false">IF($A85="","",IF(ISNUMBER(E85),E85-G85-H85,"-"))</f>
        <v/>
      </c>
    </row>
    <row r="86" customFormat="false" ht="15" hidden="false" customHeight="false" outlineLevel="0" collapsed="false">
      <c r="A86" s="50"/>
      <c r="B86" s="51"/>
      <c r="C86" s="38"/>
      <c r="D86" s="64"/>
      <c r="E86" s="65"/>
      <c r="F86" s="38"/>
      <c r="G86" s="59" t="str">
        <f aca="false">IF($A86="","",IFERROR(INDEX('Animal Register'!$J:$J,MATCH($A86,'Animal Register'!$A:$A,0)),0))</f>
        <v/>
      </c>
      <c r="H86" s="59" t="str">
        <f aca="false">IF($A86="","",ROUND(SUMIF('Cost Tracker'!$B:$B,$A86,'Cost Tracker'!$F:$F),0))</f>
        <v/>
      </c>
      <c r="I86" s="59" t="str">
        <f aca="false">IF($A86="","",IF(ISNUMBER(E86),E86-G86-H86,"-"))</f>
        <v/>
      </c>
    </row>
    <row r="87" customFormat="false" ht="15" hidden="false" customHeight="false" outlineLevel="0" collapsed="false">
      <c r="A87" s="50"/>
      <c r="B87" s="51"/>
      <c r="C87" s="38"/>
      <c r="D87" s="64"/>
      <c r="E87" s="65"/>
      <c r="F87" s="38"/>
      <c r="G87" s="59" t="str">
        <f aca="false">IF($A87="","",IFERROR(INDEX('Animal Register'!$J:$J,MATCH($A87,'Animal Register'!$A:$A,0)),0))</f>
        <v/>
      </c>
      <c r="H87" s="59" t="str">
        <f aca="false">IF($A87="","",ROUND(SUMIF('Cost Tracker'!$B:$B,$A87,'Cost Tracker'!$F:$F),0))</f>
        <v/>
      </c>
      <c r="I87" s="59" t="str">
        <f aca="false">IF($A87="","",IF(ISNUMBER(E87),E87-G87-H87,"-"))</f>
        <v/>
      </c>
    </row>
    <row r="88" customFormat="false" ht="15" hidden="false" customHeight="false" outlineLevel="0" collapsed="false">
      <c r="A88" s="50"/>
      <c r="B88" s="51"/>
      <c r="C88" s="38"/>
      <c r="D88" s="64"/>
      <c r="E88" s="65"/>
      <c r="F88" s="38"/>
      <c r="G88" s="59" t="str">
        <f aca="false">IF($A88="","",IFERROR(INDEX('Animal Register'!$J:$J,MATCH($A88,'Animal Register'!$A:$A,0)),0))</f>
        <v/>
      </c>
      <c r="H88" s="59" t="str">
        <f aca="false">IF($A88="","",ROUND(SUMIF('Cost Tracker'!$B:$B,$A88,'Cost Tracker'!$F:$F),0))</f>
        <v/>
      </c>
      <c r="I88" s="59" t="str">
        <f aca="false">IF($A88="","",IF(ISNUMBER(E88),E88-G88-H88,"-"))</f>
        <v/>
      </c>
    </row>
    <row r="89" customFormat="false" ht="15" hidden="false" customHeight="false" outlineLevel="0" collapsed="false">
      <c r="A89" s="50"/>
      <c r="B89" s="51"/>
      <c r="C89" s="38"/>
      <c r="D89" s="64"/>
      <c r="E89" s="65"/>
      <c r="F89" s="38"/>
      <c r="G89" s="59" t="str">
        <f aca="false">IF($A89="","",IFERROR(INDEX('Animal Register'!$J:$J,MATCH($A89,'Animal Register'!$A:$A,0)),0))</f>
        <v/>
      </c>
      <c r="H89" s="59" t="str">
        <f aca="false">IF($A89="","",ROUND(SUMIF('Cost Tracker'!$B:$B,$A89,'Cost Tracker'!$F:$F),0))</f>
        <v/>
      </c>
      <c r="I89" s="59" t="str">
        <f aca="false">IF($A89="","",IF(ISNUMBER(E89),E89-G89-H89,"-"))</f>
        <v/>
      </c>
    </row>
    <row r="90" customFormat="false" ht="15" hidden="false" customHeight="false" outlineLevel="0" collapsed="false">
      <c r="A90" s="50"/>
      <c r="B90" s="51"/>
      <c r="C90" s="38"/>
      <c r="D90" s="64"/>
      <c r="E90" s="65"/>
      <c r="F90" s="38"/>
      <c r="G90" s="59" t="str">
        <f aca="false">IF($A90="","",IFERROR(INDEX('Animal Register'!$J:$J,MATCH($A90,'Animal Register'!$A:$A,0)),0))</f>
        <v/>
      </c>
      <c r="H90" s="59" t="str">
        <f aca="false">IF($A90="","",ROUND(SUMIF('Cost Tracker'!$B:$B,$A90,'Cost Tracker'!$F:$F),0))</f>
        <v/>
      </c>
      <c r="I90" s="59" t="str">
        <f aca="false">IF($A90="","",IF(ISNUMBER(E90),E90-G90-H90,"-"))</f>
        <v/>
      </c>
    </row>
    <row r="91" customFormat="false" ht="15" hidden="false" customHeight="false" outlineLevel="0" collapsed="false">
      <c r="A91" s="50"/>
      <c r="B91" s="51"/>
      <c r="C91" s="38"/>
      <c r="D91" s="64"/>
      <c r="E91" s="65"/>
      <c r="F91" s="38"/>
      <c r="G91" s="59" t="str">
        <f aca="false">IF($A91="","",IFERROR(INDEX('Animal Register'!$J:$J,MATCH($A91,'Animal Register'!$A:$A,0)),0))</f>
        <v/>
      </c>
      <c r="H91" s="59" t="str">
        <f aca="false">IF($A91="","",ROUND(SUMIF('Cost Tracker'!$B:$B,$A91,'Cost Tracker'!$F:$F),0))</f>
        <v/>
      </c>
      <c r="I91" s="59" t="str">
        <f aca="false">IF($A91="","",IF(ISNUMBER(E91),E91-G91-H91,"-"))</f>
        <v/>
      </c>
    </row>
    <row r="92" customFormat="false" ht="15" hidden="false" customHeight="false" outlineLevel="0" collapsed="false">
      <c r="A92" s="50"/>
      <c r="B92" s="51"/>
      <c r="C92" s="38"/>
      <c r="D92" s="64"/>
      <c r="E92" s="65"/>
      <c r="F92" s="38"/>
      <c r="G92" s="59" t="str">
        <f aca="false">IF($A92="","",IFERROR(INDEX('Animal Register'!$J:$J,MATCH($A92,'Animal Register'!$A:$A,0)),0))</f>
        <v/>
      </c>
      <c r="H92" s="59" t="str">
        <f aca="false">IF($A92="","",ROUND(SUMIF('Cost Tracker'!$B:$B,$A92,'Cost Tracker'!$F:$F),0))</f>
        <v/>
      </c>
      <c r="I92" s="59" t="str">
        <f aca="false">IF($A92="","",IF(ISNUMBER(E92),E92-G92-H92,"-"))</f>
        <v/>
      </c>
    </row>
    <row r="93" customFormat="false" ht="15" hidden="false" customHeight="false" outlineLevel="0" collapsed="false">
      <c r="A93" s="50"/>
      <c r="B93" s="51"/>
      <c r="C93" s="38"/>
      <c r="D93" s="64"/>
      <c r="E93" s="65"/>
      <c r="F93" s="38"/>
      <c r="G93" s="59" t="str">
        <f aca="false">IF($A93="","",IFERROR(INDEX('Animal Register'!$J:$J,MATCH($A93,'Animal Register'!$A:$A,0)),0))</f>
        <v/>
      </c>
      <c r="H93" s="59" t="str">
        <f aca="false">IF($A93="","",ROUND(SUMIF('Cost Tracker'!$B:$B,$A93,'Cost Tracker'!$F:$F),0))</f>
        <v/>
      </c>
      <c r="I93" s="59" t="str">
        <f aca="false">IF($A93="","",IF(ISNUMBER(E93),E93-G93-H93,"-"))</f>
        <v/>
      </c>
    </row>
    <row r="94" customFormat="false" ht="15" hidden="false" customHeight="false" outlineLevel="0" collapsed="false">
      <c r="A94" s="50"/>
      <c r="B94" s="51"/>
      <c r="C94" s="38"/>
      <c r="D94" s="64"/>
      <c r="E94" s="65"/>
      <c r="F94" s="38"/>
      <c r="G94" s="59" t="str">
        <f aca="false">IF($A94="","",IFERROR(INDEX('Animal Register'!$J:$J,MATCH($A94,'Animal Register'!$A:$A,0)),0))</f>
        <v/>
      </c>
      <c r="H94" s="59" t="str">
        <f aca="false">IF($A94="","",ROUND(SUMIF('Cost Tracker'!$B:$B,$A94,'Cost Tracker'!$F:$F),0))</f>
        <v/>
      </c>
      <c r="I94" s="59" t="str">
        <f aca="false">IF($A94="","",IF(ISNUMBER(E94),E94-G94-H94,"-"))</f>
        <v/>
      </c>
    </row>
    <row r="95" customFormat="false" ht="15" hidden="false" customHeight="false" outlineLevel="0" collapsed="false">
      <c r="A95" s="50"/>
      <c r="B95" s="51"/>
      <c r="C95" s="38"/>
      <c r="D95" s="64"/>
      <c r="E95" s="65"/>
      <c r="F95" s="38"/>
      <c r="G95" s="59" t="str">
        <f aca="false">IF($A95="","",IFERROR(INDEX('Animal Register'!$J:$J,MATCH($A95,'Animal Register'!$A:$A,0)),0))</f>
        <v/>
      </c>
      <c r="H95" s="59" t="str">
        <f aca="false">IF($A95="","",ROUND(SUMIF('Cost Tracker'!$B:$B,$A95,'Cost Tracker'!$F:$F),0))</f>
        <v/>
      </c>
      <c r="I95" s="59" t="str">
        <f aca="false">IF($A95="","",IF(ISNUMBER(E95),E95-G95-H95,"-"))</f>
        <v/>
      </c>
    </row>
    <row r="96" customFormat="false" ht="15" hidden="false" customHeight="false" outlineLevel="0" collapsed="false">
      <c r="A96" s="50"/>
      <c r="B96" s="51"/>
      <c r="C96" s="38"/>
      <c r="D96" s="64"/>
      <c r="E96" s="65"/>
      <c r="F96" s="38"/>
      <c r="G96" s="59" t="str">
        <f aca="false">IF($A96="","",IFERROR(INDEX('Animal Register'!$J:$J,MATCH($A96,'Animal Register'!$A:$A,0)),0))</f>
        <v/>
      </c>
      <c r="H96" s="59" t="str">
        <f aca="false">IF($A96="","",ROUND(SUMIF('Cost Tracker'!$B:$B,$A96,'Cost Tracker'!$F:$F),0))</f>
        <v/>
      </c>
      <c r="I96" s="59" t="str">
        <f aca="false">IF($A96="","",IF(ISNUMBER(E96),E96-G96-H96,"-"))</f>
        <v/>
      </c>
    </row>
    <row r="97" customFormat="false" ht="15" hidden="false" customHeight="false" outlineLevel="0" collapsed="false">
      <c r="A97" s="50"/>
      <c r="B97" s="51"/>
      <c r="C97" s="38"/>
      <c r="D97" s="64"/>
      <c r="E97" s="65"/>
      <c r="F97" s="38"/>
      <c r="G97" s="59" t="str">
        <f aca="false">IF($A97="","",IFERROR(INDEX('Animal Register'!$J:$J,MATCH($A97,'Animal Register'!$A:$A,0)),0))</f>
        <v/>
      </c>
      <c r="H97" s="59" t="str">
        <f aca="false">IF($A97="","",ROUND(SUMIF('Cost Tracker'!$B:$B,$A97,'Cost Tracker'!$F:$F),0))</f>
        <v/>
      </c>
      <c r="I97" s="59" t="str">
        <f aca="false">IF($A97="","",IF(ISNUMBER(E97),E97-G97-H97,"-"))</f>
        <v/>
      </c>
    </row>
    <row r="98" customFormat="false" ht="15" hidden="false" customHeight="false" outlineLevel="0" collapsed="false">
      <c r="A98" s="50"/>
      <c r="B98" s="51"/>
      <c r="C98" s="38"/>
      <c r="D98" s="64"/>
      <c r="E98" s="65"/>
      <c r="F98" s="38"/>
      <c r="G98" s="59" t="str">
        <f aca="false">IF($A98="","",IFERROR(INDEX('Animal Register'!$J:$J,MATCH($A98,'Animal Register'!$A:$A,0)),0))</f>
        <v/>
      </c>
      <c r="H98" s="59" t="str">
        <f aca="false">IF($A98="","",ROUND(SUMIF('Cost Tracker'!$B:$B,$A98,'Cost Tracker'!$F:$F),0))</f>
        <v/>
      </c>
      <c r="I98" s="59" t="str">
        <f aca="false">IF($A98="","",IF(ISNUMBER(E98),E98-G98-H98,"-"))</f>
        <v/>
      </c>
    </row>
    <row r="99" customFormat="false" ht="15" hidden="false" customHeight="false" outlineLevel="0" collapsed="false">
      <c r="A99" s="50"/>
      <c r="B99" s="51"/>
      <c r="C99" s="38"/>
      <c r="D99" s="64"/>
      <c r="E99" s="65"/>
      <c r="F99" s="38"/>
      <c r="G99" s="59" t="str">
        <f aca="false">IF($A99="","",IFERROR(INDEX('Animal Register'!$J:$J,MATCH($A99,'Animal Register'!$A:$A,0)),0))</f>
        <v/>
      </c>
      <c r="H99" s="59" t="str">
        <f aca="false">IF($A99="","",ROUND(SUMIF('Cost Tracker'!$B:$B,$A99,'Cost Tracker'!$F:$F),0))</f>
        <v/>
      </c>
      <c r="I99" s="59" t="str">
        <f aca="false">IF($A99="","",IF(ISNUMBER(E99),E99-G99-H99,"-"))</f>
        <v/>
      </c>
    </row>
    <row r="100" customFormat="false" ht="15" hidden="false" customHeight="false" outlineLevel="0" collapsed="false">
      <c r="A100" s="50"/>
      <c r="B100" s="51"/>
      <c r="C100" s="38"/>
      <c r="D100" s="64"/>
      <c r="E100" s="65"/>
      <c r="F100" s="38"/>
      <c r="G100" s="59" t="str">
        <f aca="false">IF($A100="","",IFERROR(INDEX('Animal Register'!$J:$J,MATCH($A100,'Animal Register'!$A:$A,0)),0))</f>
        <v/>
      </c>
      <c r="H100" s="59" t="str">
        <f aca="false">IF($A100="","",ROUND(SUMIF('Cost Tracker'!$B:$B,$A100,'Cost Tracker'!$F:$F),0))</f>
        <v/>
      </c>
      <c r="I100" s="59" t="str">
        <f aca="false">IF($A100="","",IF(ISNUMBER(E100),E100-G100-H100,"-"))</f>
        <v/>
      </c>
    </row>
    <row r="101" customFormat="false" ht="15" hidden="false" customHeight="false" outlineLevel="0" collapsed="false">
      <c r="A101" s="50"/>
      <c r="B101" s="51"/>
      <c r="C101" s="38"/>
      <c r="D101" s="64"/>
      <c r="E101" s="65"/>
      <c r="F101" s="38"/>
      <c r="G101" s="59" t="str">
        <f aca="false">IF($A101="","",IFERROR(INDEX('Animal Register'!$J:$J,MATCH($A101,'Animal Register'!$A:$A,0)),0))</f>
        <v/>
      </c>
      <c r="H101" s="59" t="str">
        <f aca="false">IF($A101="","",ROUND(SUMIF('Cost Tracker'!$B:$B,$A101,'Cost Tracker'!$F:$F),0))</f>
        <v/>
      </c>
      <c r="I101" s="59" t="str">
        <f aca="false">IF($A101="","",IF(ISNUMBER(E101),E101-G101-H101,"-"))</f>
        <v/>
      </c>
    </row>
    <row r="102" customFormat="false" ht="15" hidden="false" customHeight="false" outlineLevel="0" collapsed="false">
      <c r="A102" s="50"/>
      <c r="B102" s="51"/>
      <c r="C102" s="38"/>
      <c r="D102" s="64"/>
      <c r="E102" s="65"/>
      <c r="F102" s="38"/>
      <c r="G102" s="59" t="str">
        <f aca="false">IF($A102="","",IFERROR(INDEX('Animal Register'!$J:$J,MATCH($A102,'Animal Register'!$A:$A,0)),0))</f>
        <v/>
      </c>
      <c r="H102" s="59" t="str">
        <f aca="false">IF($A102="","",ROUND(SUMIF('Cost Tracker'!$B:$B,$A102,'Cost Tracker'!$F:$F),0))</f>
        <v/>
      </c>
      <c r="I102" s="59" t="str">
        <f aca="false">IF($A102="","",IF(ISNUMBER(E102),E102-G102-H102,"-"))</f>
        <v/>
      </c>
    </row>
    <row r="103" customFormat="false" ht="15" hidden="false" customHeight="false" outlineLevel="0" collapsed="false">
      <c r="A103" s="50"/>
      <c r="B103" s="51"/>
      <c r="C103" s="38"/>
      <c r="D103" s="64"/>
      <c r="E103" s="65"/>
      <c r="F103" s="38"/>
      <c r="G103" s="59" t="str">
        <f aca="false">IF($A103="","",IFERROR(INDEX('Animal Register'!$J:$J,MATCH($A103,'Animal Register'!$A:$A,0)),0))</f>
        <v/>
      </c>
      <c r="H103" s="59" t="str">
        <f aca="false">IF($A103="","",ROUND(SUMIF('Cost Tracker'!$B:$B,$A103,'Cost Tracker'!$F:$F),0))</f>
        <v/>
      </c>
      <c r="I103" s="59" t="str">
        <f aca="false">IF($A103="","",IF(ISNUMBER(E103),E103-G103-H103,"-"))</f>
        <v/>
      </c>
    </row>
    <row r="104" customFormat="false" ht="15" hidden="false" customHeight="false" outlineLevel="0" collapsed="false">
      <c r="A104" s="50"/>
      <c r="B104" s="51"/>
      <c r="C104" s="38"/>
      <c r="D104" s="64"/>
      <c r="E104" s="65"/>
      <c r="F104" s="38"/>
      <c r="G104" s="59" t="str">
        <f aca="false">IF($A104="","",IFERROR(INDEX('Animal Register'!$J:$J,MATCH($A104,'Animal Register'!$A:$A,0)),0))</f>
        <v/>
      </c>
      <c r="H104" s="59" t="str">
        <f aca="false">IF($A104="","",ROUND(SUMIF('Cost Tracker'!$B:$B,$A104,'Cost Tracker'!$F:$F),0))</f>
        <v/>
      </c>
      <c r="I104" s="59" t="str">
        <f aca="false">IF($A104="","",IF(ISNUMBER(E104),E104-G104-H104,"-"))</f>
        <v/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A5:A104" type="list">
      <formula1>'Animal Register'!$A$5:$A$74</formula1>
      <formula2>0</formula2>
    </dataValidation>
    <dataValidation allowBlank="true" errorStyle="stop" operator="between" showDropDown="false" showErrorMessage="false" showInputMessage="false" sqref="C5:C104" type="list">
      <formula1>'Fattening Customers'!$A$4:$A$53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30" t="s">
        <v>399</v>
      </c>
      <c r="B1" s="30"/>
      <c r="C1" s="30"/>
      <c r="D1" s="30"/>
      <c r="E1" s="30"/>
      <c r="F1" s="30"/>
      <c r="G1" s="30"/>
      <c r="H1" s="30"/>
    </row>
    <row r="3" customFormat="false" ht="26.85" hidden="false" customHeight="false" outlineLevel="0" collapsed="false">
      <c r="A3" s="31" t="s">
        <v>400</v>
      </c>
      <c r="B3" s="31" t="s">
        <v>401</v>
      </c>
      <c r="C3" s="31" t="s">
        <v>295</v>
      </c>
      <c r="D3" s="31" t="s">
        <v>402</v>
      </c>
      <c r="E3" s="31" t="s">
        <v>403</v>
      </c>
      <c r="F3" s="31" t="s">
        <v>212</v>
      </c>
      <c r="G3" s="31" t="s">
        <v>404</v>
      </c>
      <c r="H3" s="31" t="s">
        <v>232</v>
      </c>
    </row>
    <row r="4" customFormat="false" ht="15" hidden="false" customHeight="false" outlineLevel="0" collapsed="false">
      <c r="A4" s="50"/>
      <c r="B4" s="38"/>
      <c r="C4" s="38"/>
      <c r="D4" s="49"/>
      <c r="E4" s="75"/>
      <c r="F4" s="38"/>
      <c r="G4" s="59" t="str">
        <f aca="false">IF($A4="","",ROUND(SUMIF('Salary Payments'!$A:$A,$A4,'Salary Payments'!$C:$C),0))</f>
        <v/>
      </c>
      <c r="H4" s="32"/>
    </row>
    <row r="5" customFormat="false" ht="15" hidden="false" customHeight="false" outlineLevel="0" collapsed="false">
      <c r="A5" s="50"/>
      <c r="B5" s="38"/>
      <c r="C5" s="38"/>
      <c r="D5" s="49"/>
      <c r="E5" s="75"/>
      <c r="F5" s="38"/>
      <c r="G5" s="59" t="str">
        <f aca="false">IF($A5="","",ROUND(SUMIF('Salary Payments'!$A:$A,$A5,'Salary Payments'!$C:$C),0))</f>
        <v/>
      </c>
      <c r="H5" s="32"/>
    </row>
    <row r="6" customFormat="false" ht="15" hidden="false" customHeight="false" outlineLevel="0" collapsed="false">
      <c r="A6" s="50"/>
      <c r="B6" s="38"/>
      <c r="C6" s="38"/>
      <c r="D6" s="49"/>
      <c r="E6" s="75"/>
      <c r="F6" s="38"/>
      <c r="G6" s="59" t="str">
        <f aca="false">IF($A6="","",ROUND(SUMIF('Salary Payments'!$A:$A,$A6,'Salary Payments'!$C:$C),0))</f>
        <v/>
      </c>
      <c r="H6" s="32"/>
    </row>
    <row r="7" customFormat="false" ht="15" hidden="false" customHeight="false" outlineLevel="0" collapsed="false">
      <c r="A7" s="50"/>
      <c r="B7" s="38"/>
      <c r="C7" s="38"/>
      <c r="D7" s="49"/>
      <c r="E7" s="75"/>
      <c r="F7" s="38"/>
      <c r="G7" s="59" t="str">
        <f aca="false">IF($A7="","",ROUND(SUMIF('Salary Payments'!$A:$A,$A7,'Salary Payments'!$C:$C),0))</f>
        <v/>
      </c>
      <c r="H7" s="32"/>
    </row>
    <row r="8" customFormat="false" ht="15" hidden="false" customHeight="false" outlineLevel="0" collapsed="false">
      <c r="A8" s="50"/>
      <c r="B8" s="38"/>
      <c r="C8" s="38"/>
      <c r="D8" s="49"/>
      <c r="E8" s="75"/>
      <c r="F8" s="38"/>
      <c r="G8" s="59" t="str">
        <f aca="false">IF($A8="","",ROUND(SUMIF('Salary Payments'!$A:$A,$A8,'Salary Payments'!$C:$C),0))</f>
        <v/>
      </c>
      <c r="H8" s="32"/>
    </row>
    <row r="9" customFormat="false" ht="15" hidden="false" customHeight="false" outlineLevel="0" collapsed="false">
      <c r="A9" s="50"/>
      <c r="B9" s="38"/>
      <c r="C9" s="38"/>
      <c r="D9" s="49"/>
      <c r="E9" s="75"/>
      <c r="F9" s="38"/>
      <c r="G9" s="59" t="str">
        <f aca="false">IF($A9="","",ROUND(SUMIF('Salary Payments'!$A:$A,$A9,'Salary Payments'!$C:$C),0))</f>
        <v/>
      </c>
      <c r="H9" s="32"/>
    </row>
    <row r="10" customFormat="false" ht="15" hidden="false" customHeight="false" outlineLevel="0" collapsed="false">
      <c r="A10" s="50"/>
      <c r="B10" s="38"/>
      <c r="C10" s="38"/>
      <c r="D10" s="49"/>
      <c r="E10" s="75"/>
      <c r="F10" s="38"/>
      <c r="G10" s="59" t="str">
        <f aca="false">IF($A10="","",ROUND(SUMIF('Salary Payments'!$A:$A,$A10,'Salary Payments'!$C:$C),0))</f>
        <v/>
      </c>
      <c r="H10" s="32"/>
    </row>
    <row r="11" customFormat="false" ht="15" hidden="false" customHeight="false" outlineLevel="0" collapsed="false">
      <c r="A11" s="50"/>
      <c r="B11" s="38"/>
      <c r="C11" s="38"/>
      <c r="D11" s="49"/>
      <c r="E11" s="75"/>
      <c r="F11" s="38"/>
      <c r="G11" s="59" t="str">
        <f aca="false">IF($A11="","",ROUND(SUMIF('Salary Payments'!$A:$A,$A11,'Salary Payments'!$C:$C),0))</f>
        <v/>
      </c>
      <c r="H11" s="32"/>
    </row>
    <row r="12" customFormat="false" ht="15" hidden="false" customHeight="false" outlineLevel="0" collapsed="false">
      <c r="A12" s="50"/>
      <c r="B12" s="38"/>
      <c r="C12" s="38"/>
      <c r="D12" s="49"/>
      <c r="E12" s="75"/>
      <c r="F12" s="38"/>
      <c r="G12" s="59" t="str">
        <f aca="false">IF($A12="","",ROUND(SUMIF('Salary Payments'!$A:$A,$A12,'Salary Payments'!$C:$C),0))</f>
        <v/>
      </c>
      <c r="H12" s="32"/>
    </row>
    <row r="13" customFormat="false" ht="15" hidden="false" customHeight="false" outlineLevel="0" collapsed="false">
      <c r="A13" s="50"/>
      <c r="B13" s="38"/>
      <c r="C13" s="38"/>
      <c r="D13" s="49"/>
      <c r="E13" s="75"/>
      <c r="F13" s="38"/>
      <c r="G13" s="59" t="str">
        <f aca="false">IF($A13="","",ROUND(SUMIF('Salary Payments'!$A:$A,$A13,'Salary Payments'!$C:$C),0))</f>
        <v/>
      </c>
      <c r="H13" s="32"/>
    </row>
    <row r="14" customFormat="false" ht="15" hidden="false" customHeight="false" outlineLevel="0" collapsed="false">
      <c r="A14" s="50"/>
      <c r="B14" s="38"/>
      <c r="C14" s="38"/>
      <c r="D14" s="49"/>
      <c r="E14" s="75"/>
      <c r="F14" s="38"/>
      <c r="G14" s="59" t="str">
        <f aca="false">IF($A14="","",ROUND(SUMIF('Salary Payments'!$A:$A,$A14,'Salary Payments'!$C:$C),0))</f>
        <v/>
      </c>
      <c r="H14" s="32"/>
    </row>
    <row r="15" customFormat="false" ht="15" hidden="false" customHeight="false" outlineLevel="0" collapsed="false">
      <c r="A15" s="50"/>
      <c r="B15" s="38"/>
      <c r="C15" s="38"/>
      <c r="D15" s="49"/>
      <c r="E15" s="75"/>
      <c r="F15" s="38"/>
      <c r="G15" s="59" t="str">
        <f aca="false">IF($A15="","",ROUND(SUMIF('Salary Payments'!$A:$A,$A15,'Salary Payments'!$C:$C),0))</f>
        <v/>
      </c>
      <c r="H15" s="32"/>
    </row>
    <row r="16" customFormat="false" ht="15" hidden="false" customHeight="false" outlineLevel="0" collapsed="false">
      <c r="A16" s="50"/>
      <c r="B16" s="38"/>
      <c r="C16" s="38"/>
      <c r="D16" s="49"/>
      <c r="E16" s="75"/>
      <c r="F16" s="38"/>
      <c r="G16" s="59" t="str">
        <f aca="false">IF($A16="","",ROUND(SUMIF('Salary Payments'!$A:$A,$A16,'Salary Payments'!$C:$C),0))</f>
        <v/>
      </c>
      <c r="H16" s="32"/>
    </row>
    <row r="17" customFormat="false" ht="15" hidden="false" customHeight="false" outlineLevel="0" collapsed="false">
      <c r="A17" s="50"/>
      <c r="B17" s="38"/>
      <c r="C17" s="38"/>
      <c r="D17" s="49"/>
      <c r="E17" s="75"/>
      <c r="F17" s="38"/>
      <c r="G17" s="59" t="str">
        <f aca="false">IF($A17="","",ROUND(SUMIF('Salary Payments'!$A:$A,$A17,'Salary Payments'!$C:$C),0))</f>
        <v/>
      </c>
      <c r="H17" s="32"/>
    </row>
    <row r="18" customFormat="false" ht="15" hidden="false" customHeight="false" outlineLevel="0" collapsed="false">
      <c r="A18" s="50"/>
      <c r="B18" s="38"/>
      <c r="C18" s="38"/>
      <c r="D18" s="49"/>
      <c r="E18" s="75"/>
      <c r="F18" s="38"/>
      <c r="G18" s="59" t="str">
        <f aca="false">IF($A18="","",ROUND(SUMIF('Salary Payments'!$A:$A,$A18,'Salary Payments'!$C:$C),0))</f>
        <v/>
      </c>
      <c r="H18" s="32"/>
    </row>
    <row r="19" customFormat="false" ht="15" hidden="false" customHeight="false" outlineLevel="0" collapsed="false">
      <c r="A19" s="50"/>
      <c r="B19" s="38"/>
      <c r="C19" s="38"/>
      <c r="D19" s="49"/>
      <c r="E19" s="75"/>
      <c r="F19" s="38"/>
      <c r="G19" s="59" t="str">
        <f aca="false">IF($A19="","",ROUND(SUMIF('Salary Payments'!$A:$A,$A19,'Salary Payments'!$C:$C),0))</f>
        <v/>
      </c>
      <c r="H19" s="32"/>
    </row>
    <row r="20" customFormat="false" ht="15" hidden="false" customHeight="false" outlineLevel="0" collapsed="false">
      <c r="A20" s="50"/>
      <c r="B20" s="38"/>
      <c r="C20" s="38"/>
      <c r="D20" s="49"/>
      <c r="E20" s="75"/>
      <c r="F20" s="38"/>
      <c r="G20" s="59" t="str">
        <f aca="false">IF($A20="","",ROUND(SUMIF('Salary Payments'!$A:$A,$A20,'Salary Payments'!$C:$C),0))</f>
        <v/>
      </c>
      <c r="H20" s="32"/>
    </row>
    <row r="21" customFormat="false" ht="15" hidden="false" customHeight="false" outlineLevel="0" collapsed="false">
      <c r="A21" s="50"/>
      <c r="B21" s="38"/>
      <c r="C21" s="38"/>
      <c r="D21" s="49"/>
      <c r="E21" s="75"/>
      <c r="F21" s="38"/>
      <c r="G21" s="59" t="str">
        <f aca="false">IF($A21="","",ROUND(SUMIF('Salary Payments'!$A:$A,$A21,'Salary Payments'!$C:$C),0))</f>
        <v/>
      </c>
      <c r="H21" s="32"/>
    </row>
    <row r="22" customFormat="false" ht="15" hidden="false" customHeight="false" outlineLevel="0" collapsed="false">
      <c r="A22" s="50"/>
      <c r="B22" s="38"/>
      <c r="C22" s="38"/>
      <c r="D22" s="49"/>
      <c r="E22" s="75"/>
      <c r="F22" s="38"/>
      <c r="G22" s="59" t="str">
        <f aca="false">IF($A22="","",ROUND(SUMIF('Salary Payments'!$A:$A,$A22,'Salary Payments'!$C:$C),0))</f>
        <v/>
      </c>
      <c r="H22" s="32"/>
    </row>
    <row r="23" customFormat="false" ht="15" hidden="false" customHeight="false" outlineLevel="0" collapsed="false">
      <c r="A23" s="50"/>
      <c r="B23" s="38"/>
      <c r="C23" s="38"/>
      <c r="D23" s="49"/>
      <c r="E23" s="75"/>
      <c r="F23" s="38"/>
      <c r="G23" s="59" t="str">
        <f aca="false">IF($A23="","",ROUND(SUMIF('Salary Payments'!$A:$A,$A23,'Salary Payments'!$C:$C),0))</f>
        <v/>
      </c>
      <c r="H23" s="32"/>
    </row>
    <row r="24" customFormat="false" ht="15" hidden="false" customHeight="false" outlineLevel="0" collapsed="false">
      <c r="A24" s="50"/>
      <c r="B24" s="38"/>
      <c r="C24" s="38"/>
      <c r="D24" s="49"/>
      <c r="E24" s="75"/>
      <c r="F24" s="38"/>
      <c r="G24" s="59" t="str">
        <f aca="false">IF($A24="","",ROUND(SUMIF('Salary Payments'!$A:$A,$A24,'Salary Payments'!$C:$C),0))</f>
        <v/>
      </c>
      <c r="H24" s="32"/>
    </row>
    <row r="25" customFormat="false" ht="15" hidden="false" customHeight="false" outlineLevel="0" collapsed="false">
      <c r="A25" s="50"/>
      <c r="B25" s="38"/>
      <c r="C25" s="38"/>
      <c r="D25" s="49"/>
      <c r="E25" s="75"/>
      <c r="F25" s="38"/>
      <c r="G25" s="59" t="str">
        <f aca="false">IF($A25="","",ROUND(SUMIF('Salary Payments'!$A:$A,$A25,'Salary Payments'!$C:$C),0))</f>
        <v/>
      </c>
      <c r="H25" s="32"/>
    </row>
    <row r="26" customFormat="false" ht="15" hidden="false" customHeight="false" outlineLevel="0" collapsed="false">
      <c r="A26" s="50"/>
      <c r="B26" s="38"/>
      <c r="C26" s="38"/>
      <c r="D26" s="49"/>
      <c r="E26" s="75"/>
      <c r="F26" s="38"/>
      <c r="G26" s="59" t="str">
        <f aca="false">IF($A26="","",ROUND(SUMIF('Salary Payments'!$A:$A,$A26,'Salary Payments'!$C:$C),0))</f>
        <v/>
      </c>
      <c r="H26" s="32"/>
    </row>
    <row r="27" customFormat="false" ht="15" hidden="false" customHeight="false" outlineLevel="0" collapsed="false">
      <c r="A27" s="50"/>
      <c r="B27" s="38"/>
      <c r="C27" s="38"/>
      <c r="D27" s="49"/>
      <c r="E27" s="75"/>
      <c r="F27" s="38"/>
      <c r="G27" s="59" t="str">
        <f aca="false">IF($A27="","",ROUND(SUMIF('Salary Payments'!$A:$A,$A27,'Salary Payments'!$C:$C),0))</f>
        <v/>
      </c>
      <c r="H27" s="32"/>
    </row>
    <row r="28" customFormat="false" ht="15" hidden="false" customHeight="false" outlineLevel="0" collapsed="false">
      <c r="A28" s="50"/>
      <c r="B28" s="38"/>
      <c r="C28" s="38"/>
      <c r="D28" s="49"/>
      <c r="E28" s="75"/>
      <c r="F28" s="38"/>
      <c r="G28" s="59" t="str">
        <f aca="false">IF($A28="","",ROUND(SUMIF('Salary Payments'!$A:$A,$A28,'Salary Payments'!$C:$C),0))</f>
        <v/>
      </c>
      <c r="H28" s="32"/>
    </row>
    <row r="29" customFormat="false" ht="15" hidden="false" customHeight="false" outlineLevel="0" collapsed="false">
      <c r="A29" s="50"/>
      <c r="B29" s="38"/>
      <c r="C29" s="38"/>
      <c r="D29" s="49"/>
      <c r="E29" s="75"/>
      <c r="F29" s="38"/>
      <c r="G29" s="59" t="str">
        <f aca="false">IF($A29="","",ROUND(SUMIF('Salary Payments'!$A:$A,$A29,'Salary Payments'!$C:$C),0))</f>
        <v/>
      </c>
      <c r="H29" s="32"/>
    </row>
    <row r="30" customFormat="false" ht="15" hidden="false" customHeight="false" outlineLevel="0" collapsed="false">
      <c r="A30" s="50"/>
      <c r="B30" s="38"/>
      <c r="C30" s="38"/>
      <c r="D30" s="49"/>
      <c r="E30" s="75"/>
      <c r="F30" s="38"/>
      <c r="G30" s="59" t="str">
        <f aca="false">IF($A30="","",ROUND(SUMIF('Salary Payments'!$A:$A,$A30,'Salary Payments'!$C:$C),0))</f>
        <v/>
      </c>
      <c r="H30" s="32"/>
    </row>
    <row r="31" customFormat="false" ht="15" hidden="false" customHeight="false" outlineLevel="0" collapsed="false">
      <c r="A31" s="50"/>
      <c r="B31" s="38"/>
      <c r="C31" s="38"/>
      <c r="D31" s="49"/>
      <c r="E31" s="75"/>
      <c r="F31" s="38"/>
      <c r="G31" s="59" t="str">
        <f aca="false">IF($A31="","",ROUND(SUMIF('Salary Payments'!$A:$A,$A31,'Salary Payments'!$C:$C),0))</f>
        <v/>
      </c>
      <c r="H31" s="32"/>
    </row>
    <row r="32" customFormat="false" ht="15" hidden="false" customHeight="false" outlineLevel="0" collapsed="false">
      <c r="A32" s="50"/>
      <c r="B32" s="38"/>
      <c r="C32" s="38"/>
      <c r="D32" s="49"/>
      <c r="E32" s="75"/>
      <c r="F32" s="38"/>
      <c r="G32" s="59" t="str">
        <f aca="false">IF($A32="","",ROUND(SUMIF('Salary Payments'!$A:$A,$A32,'Salary Payments'!$C:$C),0))</f>
        <v/>
      </c>
      <c r="H32" s="32"/>
    </row>
    <row r="33" customFormat="false" ht="15" hidden="false" customHeight="false" outlineLevel="0" collapsed="false">
      <c r="A33" s="50"/>
      <c r="B33" s="38"/>
      <c r="C33" s="38"/>
      <c r="D33" s="49"/>
      <c r="E33" s="75"/>
      <c r="F33" s="38"/>
      <c r="G33" s="59" t="str">
        <f aca="false">IF($A33="","",ROUND(SUMIF('Salary Payments'!$A:$A,$A33,'Salary Payments'!$C:$C),0))</f>
        <v/>
      </c>
      <c r="H33" s="32"/>
    </row>
    <row r="34" customFormat="false" ht="15" hidden="false" customHeight="false" outlineLevel="0" collapsed="false">
      <c r="A34" s="50"/>
      <c r="B34" s="38"/>
      <c r="C34" s="38"/>
      <c r="D34" s="49"/>
      <c r="E34" s="75"/>
      <c r="F34" s="38"/>
      <c r="G34" s="59" t="str">
        <f aca="false">IF($A34="","",ROUND(SUMIF('Salary Payments'!$A:$A,$A34,'Salary Payments'!$C:$C),0))</f>
        <v/>
      </c>
      <c r="H34" s="32"/>
    </row>
    <row r="35" customFormat="false" ht="15" hidden="false" customHeight="false" outlineLevel="0" collapsed="false">
      <c r="A35" s="50"/>
      <c r="B35" s="38"/>
      <c r="C35" s="38"/>
      <c r="D35" s="49"/>
      <c r="E35" s="75"/>
      <c r="F35" s="38"/>
      <c r="G35" s="59" t="str">
        <f aca="false">IF($A35="","",ROUND(SUMIF('Salary Payments'!$A:$A,$A35,'Salary Payments'!$C:$C),0))</f>
        <v/>
      </c>
      <c r="H35" s="32"/>
    </row>
    <row r="36" customFormat="false" ht="15" hidden="false" customHeight="false" outlineLevel="0" collapsed="false">
      <c r="A36" s="50"/>
      <c r="B36" s="38"/>
      <c r="C36" s="38"/>
      <c r="D36" s="49"/>
      <c r="E36" s="75"/>
      <c r="F36" s="38"/>
      <c r="G36" s="59" t="str">
        <f aca="false">IF($A36="","",ROUND(SUMIF('Salary Payments'!$A:$A,$A36,'Salary Payments'!$C:$C),0))</f>
        <v/>
      </c>
      <c r="H36" s="32"/>
    </row>
    <row r="37" customFormat="false" ht="15" hidden="false" customHeight="false" outlineLevel="0" collapsed="false">
      <c r="A37" s="50"/>
      <c r="B37" s="38"/>
      <c r="C37" s="38"/>
      <c r="D37" s="49"/>
      <c r="E37" s="75"/>
      <c r="F37" s="38"/>
      <c r="G37" s="59" t="str">
        <f aca="false">IF($A37="","",ROUND(SUMIF('Salary Payments'!$A:$A,$A37,'Salary Payments'!$C:$C),0))</f>
        <v/>
      </c>
      <c r="H37" s="32"/>
    </row>
    <row r="38" customFormat="false" ht="15" hidden="false" customHeight="false" outlineLevel="0" collapsed="false">
      <c r="A38" s="50"/>
      <c r="B38" s="38"/>
      <c r="C38" s="38"/>
      <c r="D38" s="49"/>
      <c r="E38" s="75"/>
      <c r="F38" s="38"/>
      <c r="G38" s="59" t="str">
        <f aca="false">IF($A38="","",ROUND(SUMIF('Salary Payments'!$A:$A,$A38,'Salary Payments'!$C:$C),0))</f>
        <v/>
      </c>
      <c r="H38" s="32"/>
    </row>
    <row r="39" customFormat="false" ht="15" hidden="false" customHeight="false" outlineLevel="0" collapsed="false">
      <c r="A39" s="50"/>
      <c r="B39" s="38"/>
      <c r="C39" s="38"/>
      <c r="D39" s="49"/>
      <c r="E39" s="75"/>
      <c r="F39" s="38"/>
      <c r="G39" s="59" t="str">
        <f aca="false">IF($A39="","",ROUND(SUMIF('Salary Payments'!$A:$A,$A39,'Salary Payments'!$C:$C),0))</f>
        <v/>
      </c>
      <c r="H39" s="32"/>
    </row>
    <row r="40" customFormat="false" ht="15" hidden="false" customHeight="false" outlineLevel="0" collapsed="false">
      <c r="A40" s="50"/>
      <c r="B40" s="38"/>
      <c r="C40" s="38"/>
      <c r="D40" s="49"/>
      <c r="E40" s="75"/>
      <c r="F40" s="38"/>
      <c r="G40" s="59" t="str">
        <f aca="false">IF($A40="","",ROUND(SUMIF('Salary Payments'!$A:$A,$A40,'Salary Payments'!$C:$C),0))</f>
        <v/>
      </c>
      <c r="H40" s="32"/>
    </row>
    <row r="41" customFormat="false" ht="15" hidden="false" customHeight="false" outlineLevel="0" collapsed="false">
      <c r="A41" s="50"/>
      <c r="B41" s="38"/>
      <c r="C41" s="38"/>
      <c r="D41" s="49"/>
      <c r="E41" s="75"/>
      <c r="F41" s="38"/>
      <c r="G41" s="59" t="str">
        <f aca="false">IF($A41="","",ROUND(SUMIF('Salary Payments'!$A:$A,$A41,'Salary Payments'!$C:$C),0))</f>
        <v/>
      </c>
      <c r="H41" s="32"/>
    </row>
    <row r="42" customFormat="false" ht="15" hidden="false" customHeight="false" outlineLevel="0" collapsed="false">
      <c r="A42" s="50"/>
      <c r="B42" s="38"/>
      <c r="C42" s="38"/>
      <c r="D42" s="49"/>
      <c r="E42" s="75"/>
      <c r="F42" s="38"/>
      <c r="G42" s="59" t="str">
        <f aca="false">IF($A42="","",ROUND(SUMIF('Salary Payments'!$A:$A,$A42,'Salary Payments'!$C:$C),0))</f>
        <v/>
      </c>
      <c r="H42" s="32"/>
    </row>
    <row r="43" customFormat="false" ht="15" hidden="false" customHeight="false" outlineLevel="0" collapsed="false">
      <c r="A43" s="50"/>
      <c r="B43" s="38"/>
      <c r="C43" s="38"/>
      <c r="D43" s="49"/>
      <c r="E43" s="75"/>
      <c r="F43" s="38"/>
      <c r="G43" s="59" t="str">
        <f aca="false">IF($A43="","",ROUND(SUMIF('Salary Payments'!$A:$A,$A43,'Salary Payments'!$C:$C),0))</f>
        <v/>
      </c>
      <c r="H43" s="32"/>
    </row>
    <row r="44" customFormat="false" ht="15" hidden="false" customHeight="false" outlineLevel="0" collapsed="false">
      <c r="A44" s="50"/>
      <c r="B44" s="38"/>
      <c r="C44" s="38"/>
      <c r="D44" s="49"/>
      <c r="E44" s="75"/>
      <c r="F44" s="38"/>
      <c r="G44" s="59" t="str">
        <f aca="false">IF($A44="","",ROUND(SUMIF('Salary Payments'!$A:$A,$A44,'Salary Payments'!$C:$C),0))</f>
        <v/>
      </c>
      <c r="H44" s="32"/>
    </row>
    <row r="45" customFormat="false" ht="15" hidden="false" customHeight="false" outlineLevel="0" collapsed="false">
      <c r="A45" s="50"/>
      <c r="B45" s="38"/>
      <c r="C45" s="38"/>
      <c r="D45" s="49"/>
      <c r="E45" s="75"/>
      <c r="F45" s="38"/>
      <c r="G45" s="59" t="str">
        <f aca="false">IF($A45="","",ROUND(SUMIF('Salary Payments'!$A:$A,$A45,'Salary Payments'!$C:$C),0))</f>
        <v/>
      </c>
      <c r="H45" s="32"/>
    </row>
    <row r="46" customFormat="false" ht="15" hidden="false" customHeight="false" outlineLevel="0" collapsed="false">
      <c r="A46" s="50"/>
      <c r="B46" s="38"/>
      <c r="C46" s="38"/>
      <c r="D46" s="49"/>
      <c r="E46" s="75"/>
      <c r="F46" s="38"/>
      <c r="G46" s="59" t="str">
        <f aca="false">IF($A46="","",ROUND(SUMIF('Salary Payments'!$A:$A,$A46,'Salary Payments'!$C:$C),0))</f>
        <v/>
      </c>
      <c r="H46" s="32"/>
    </row>
    <row r="47" customFormat="false" ht="15" hidden="false" customHeight="false" outlineLevel="0" collapsed="false">
      <c r="A47" s="50"/>
      <c r="B47" s="38"/>
      <c r="C47" s="38"/>
      <c r="D47" s="49"/>
      <c r="E47" s="75"/>
      <c r="F47" s="38"/>
      <c r="G47" s="59" t="str">
        <f aca="false">IF($A47="","",ROUND(SUMIF('Salary Payments'!$A:$A,$A47,'Salary Payments'!$C:$C),0))</f>
        <v/>
      </c>
      <c r="H47" s="32"/>
    </row>
    <row r="48" customFormat="false" ht="15" hidden="false" customHeight="false" outlineLevel="0" collapsed="false">
      <c r="A48" s="50"/>
      <c r="B48" s="38"/>
      <c r="C48" s="38"/>
      <c r="D48" s="49"/>
      <c r="E48" s="75"/>
      <c r="F48" s="38"/>
      <c r="G48" s="59" t="str">
        <f aca="false">IF($A48="","",ROUND(SUMIF('Salary Payments'!$A:$A,$A48,'Salary Payments'!$C:$C),0))</f>
        <v/>
      </c>
      <c r="H48" s="32"/>
    </row>
    <row r="49" customFormat="false" ht="15" hidden="false" customHeight="false" outlineLevel="0" collapsed="false">
      <c r="A49" s="50"/>
      <c r="B49" s="38"/>
      <c r="C49" s="38"/>
      <c r="D49" s="49"/>
      <c r="E49" s="75"/>
      <c r="F49" s="38"/>
      <c r="G49" s="59" t="str">
        <f aca="false">IF($A49="","",ROUND(SUMIF('Salary Payments'!$A:$A,$A49,'Salary Payments'!$C:$C),0))</f>
        <v/>
      </c>
      <c r="H49" s="32"/>
    </row>
    <row r="50" customFormat="false" ht="15" hidden="false" customHeight="false" outlineLevel="0" collapsed="false">
      <c r="A50" s="50"/>
      <c r="B50" s="38"/>
      <c r="C50" s="38"/>
      <c r="D50" s="49"/>
      <c r="E50" s="75"/>
      <c r="F50" s="38"/>
      <c r="G50" s="59" t="str">
        <f aca="false">IF($A50="","",ROUND(SUMIF('Salary Payments'!$A:$A,$A50,'Salary Payments'!$C:$C),0))</f>
        <v/>
      </c>
      <c r="H50" s="32"/>
    </row>
    <row r="51" customFormat="false" ht="15" hidden="false" customHeight="false" outlineLevel="0" collapsed="false">
      <c r="A51" s="50"/>
      <c r="B51" s="38"/>
      <c r="C51" s="38"/>
      <c r="D51" s="49"/>
      <c r="E51" s="75"/>
      <c r="F51" s="38"/>
      <c r="G51" s="59" t="str">
        <f aca="false">IF($A51="","",ROUND(SUMIF('Salary Payments'!$A:$A,$A51,'Salary Payments'!$C:$C),0))</f>
        <v/>
      </c>
      <c r="H51" s="32"/>
    </row>
    <row r="52" customFormat="false" ht="15" hidden="false" customHeight="false" outlineLevel="0" collapsed="false">
      <c r="A52" s="50"/>
      <c r="B52" s="38"/>
      <c r="C52" s="38"/>
      <c r="D52" s="49"/>
      <c r="E52" s="75"/>
      <c r="F52" s="38"/>
      <c r="G52" s="59" t="str">
        <f aca="false">IF($A52="","",ROUND(SUMIF('Salary Payments'!$A:$A,$A52,'Salary Payments'!$C:$C),0))</f>
        <v/>
      </c>
      <c r="H52" s="32"/>
    </row>
    <row r="53" customFormat="false" ht="15" hidden="false" customHeight="false" outlineLevel="0" collapsed="false">
      <c r="A53" s="50"/>
      <c r="B53" s="38"/>
      <c r="C53" s="38"/>
      <c r="D53" s="49"/>
      <c r="E53" s="75"/>
      <c r="F53" s="38"/>
      <c r="G53" s="59" t="str">
        <f aca="false">IF($A53="","",ROUND(SUMIF('Salary Payments'!$A:$A,$A53,'Salary Payments'!$C:$C),0))</f>
        <v/>
      </c>
      <c r="H53" s="32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F4:F53" type="list">
      <formula1>"Active,Left"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30" t="s">
        <v>405</v>
      </c>
      <c r="B1" s="30"/>
      <c r="C1" s="30"/>
      <c r="D1" s="30"/>
      <c r="E1" s="30"/>
    </row>
    <row r="3" customFormat="false" ht="26.85" hidden="false" customHeight="false" outlineLevel="0" collapsed="false">
      <c r="A3" s="31" t="s">
        <v>400</v>
      </c>
      <c r="B3" s="31" t="s">
        <v>406</v>
      </c>
      <c r="C3" s="31" t="s">
        <v>407</v>
      </c>
      <c r="D3" s="31" t="s">
        <v>408</v>
      </c>
      <c r="E3" s="31" t="s">
        <v>232</v>
      </c>
    </row>
    <row r="4" customFormat="false" ht="15" hidden="false" customHeight="false" outlineLevel="0" collapsed="false">
      <c r="A4" s="50"/>
      <c r="B4" s="51"/>
      <c r="C4" s="75"/>
      <c r="D4" s="38"/>
      <c r="E4" s="32"/>
    </row>
    <row r="5" customFormat="false" ht="15" hidden="false" customHeight="false" outlineLevel="0" collapsed="false">
      <c r="A5" s="50"/>
      <c r="B5" s="51"/>
      <c r="C5" s="75"/>
      <c r="D5" s="38"/>
      <c r="E5" s="32"/>
    </row>
    <row r="6" customFormat="false" ht="15" hidden="false" customHeight="false" outlineLevel="0" collapsed="false">
      <c r="A6" s="50"/>
      <c r="B6" s="51"/>
      <c r="C6" s="75"/>
      <c r="D6" s="38"/>
      <c r="E6" s="32"/>
    </row>
    <row r="7" customFormat="false" ht="15" hidden="false" customHeight="false" outlineLevel="0" collapsed="false">
      <c r="A7" s="50"/>
      <c r="B7" s="51"/>
      <c r="C7" s="75"/>
      <c r="D7" s="38"/>
      <c r="E7" s="32"/>
    </row>
    <row r="8" customFormat="false" ht="15" hidden="false" customHeight="false" outlineLevel="0" collapsed="false">
      <c r="A8" s="50"/>
      <c r="B8" s="51"/>
      <c r="C8" s="75"/>
      <c r="D8" s="38"/>
      <c r="E8" s="32"/>
    </row>
    <row r="9" customFormat="false" ht="15" hidden="false" customHeight="false" outlineLevel="0" collapsed="false">
      <c r="A9" s="50"/>
      <c r="B9" s="51"/>
      <c r="C9" s="75"/>
      <c r="D9" s="38"/>
      <c r="E9" s="32"/>
    </row>
    <row r="10" customFormat="false" ht="15" hidden="false" customHeight="false" outlineLevel="0" collapsed="false">
      <c r="A10" s="50"/>
      <c r="B10" s="51"/>
      <c r="C10" s="75"/>
      <c r="D10" s="38"/>
      <c r="E10" s="32"/>
    </row>
    <row r="11" customFormat="false" ht="15" hidden="false" customHeight="false" outlineLevel="0" collapsed="false">
      <c r="A11" s="50"/>
      <c r="B11" s="51"/>
      <c r="C11" s="75"/>
      <c r="D11" s="38"/>
      <c r="E11" s="32"/>
    </row>
    <row r="12" customFormat="false" ht="15" hidden="false" customHeight="false" outlineLevel="0" collapsed="false">
      <c r="A12" s="50"/>
      <c r="B12" s="51"/>
      <c r="C12" s="75"/>
      <c r="D12" s="38"/>
      <c r="E12" s="32"/>
    </row>
    <row r="13" customFormat="false" ht="15" hidden="false" customHeight="false" outlineLevel="0" collapsed="false">
      <c r="A13" s="50"/>
      <c r="B13" s="51"/>
      <c r="C13" s="75"/>
      <c r="D13" s="38"/>
      <c r="E13" s="32"/>
    </row>
    <row r="14" customFormat="false" ht="15" hidden="false" customHeight="false" outlineLevel="0" collapsed="false">
      <c r="A14" s="50"/>
      <c r="B14" s="51"/>
      <c r="C14" s="75"/>
      <c r="D14" s="38"/>
      <c r="E14" s="32"/>
    </row>
    <row r="15" customFormat="false" ht="15" hidden="false" customHeight="false" outlineLevel="0" collapsed="false">
      <c r="A15" s="50"/>
      <c r="B15" s="51"/>
      <c r="C15" s="75"/>
      <c r="D15" s="38"/>
      <c r="E15" s="32"/>
    </row>
    <row r="16" customFormat="false" ht="15" hidden="false" customHeight="false" outlineLevel="0" collapsed="false">
      <c r="A16" s="50"/>
      <c r="B16" s="51"/>
      <c r="C16" s="75"/>
      <c r="D16" s="38"/>
      <c r="E16" s="32"/>
    </row>
    <row r="17" customFormat="false" ht="15" hidden="false" customHeight="false" outlineLevel="0" collapsed="false">
      <c r="A17" s="50"/>
      <c r="B17" s="51"/>
      <c r="C17" s="75"/>
      <c r="D17" s="38"/>
      <c r="E17" s="32"/>
    </row>
    <row r="18" customFormat="false" ht="15" hidden="false" customHeight="false" outlineLevel="0" collapsed="false">
      <c r="A18" s="50"/>
      <c r="B18" s="51"/>
      <c r="C18" s="75"/>
      <c r="D18" s="38"/>
      <c r="E18" s="32"/>
    </row>
    <row r="19" customFormat="false" ht="15" hidden="false" customHeight="false" outlineLevel="0" collapsed="false">
      <c r="A19" s="50"/>
      <c r="B19" s="51"/>
      <c r="C19" s="75"/>
      <c r="D19" s="38"/>
      <c r="E19" s="32"/>
    </row>
    <row r="20" customFormat="false" ht="15" hidden="false" customHeight="false" outlineLevel="0" collapsed="false">
      <c r="A20" s="50"/>
      <c r="B20" s="51"/>
      <c r="C20" s="75"/>
      <c r="D20" s="38"/>
      <c r="E20" s="32"/>
    </row>
    <row r="21" customFormat="false" ht="15" hidden="false" customHeight="false" outlineLevel="0" collapsed="false">
      <c r="A21" s="50"/>
      <c r="B21" s="51"/>
      <c r="C21" s="75"/>
      <c r="D21" s="38"/>
      <c r="E21" s="32"/>
    </row>
    <row r="22" customFormat="false" ht="15" hidden="false" customHeight="false" outlineLevel="0" collapsed="false">
      <c r="A22" s="50"/>
      <c r="B22" s="51"/>
      <c r="C22" s="75"/>
      <c r="D22" s="38"/>
      <c r="E22" s="32"/>
    </row>
    <row r="23" customFormat="false" ht="15" hidden="false" customHeight="false" outlineLevel="0" collapsed="false">
      <c r="A23" s="50"/>
      <c r="B23" s="51"/>
      <c r="C23" s="75"/>
      <c r="D23" s="38"/>
      <c r="E23" s="32"/>
    </row>
    <row r="24" customFormat="false" ht="15" hidden="false" customHeight="false" outlineLevel="0" collapsed="false">
      <c r="A24" s="50"/>
      <c r="B24" s="51"/>
      <c r="C24" s="75"/>
      <c r="D24" s="38"/>
      <c r="E24" s="32"/>
    </row>
    <row r="25" customFormat="false" ht="15" hidden="false" customHeight="false" outlineLevel="0" collapsed="false">
      <c r="A25" s="50"/>
      <c r="B25" s="51"/>
      <c r="C25" s="75"/>
      <c r="D25" s="38"/>
      <c r="E25" s="32"/>
    </row>
    <row r="26" customFormat="false" ht="15" hidden="false" customHeight="false" outlineLevel="0" collapsed="false">
      <c r="A26" s="50"/>
      <c r="B26" s="51"/>
      <c r="C26" s="75"/>
      <c r="D26" s="38"/>
      <c r="E26" s="32"/>
    </row>
    <row r="27" customFormat="false" ht="15" hidden="false" customHeight="false" outlineLevel="0" collapsed="false">
      <c r="A27" s="50"/>
      <c r="B27" s="51"/>
      <c r="C27" s="75"/>
      <c r="D27" s="38"/>
      <c r="E27" s="32"/>
    </row>
    <row r="28" customFormat="false" ht="15" hidden="false" customHeight="false" outlineLevel="0" collapsed="false">
      <c r="A28" s="50"/>
      <c r="B28" s="51"/>
      <c r="C28" s="75"/>
      <c r="D28" s="38"/>
      <c r="E28" s="32"/>
    </row>
    <row r="29" customFormat="false" ht="15" hidden="false" customHeight="false" outlineLevel="0" collapsed="false">
      <c r="A29" s="50"/>
      <c r="B29" s="51"/>
      <c r="C29" s="75"/>
      <c r="D29" s="38"/>
      <c r="E29" s="32"/>
    </row>
    <row r="30" customFormat="false" ht="15" hidden="false" customHeight="false" outlineLevel="0" collapsed="false">
      <c r="A30" s="50"/>
      <c r="B30" s="51"/>
      <c r="C30" s="75"/>
      <c r="D30" s="38"/>
      <c r="E30" s="32"/>
    </row>
    <row r="31" customFormat="false" ht="15" hidden="false" customHeight="false" outlineLevel="0" collapsed="false">
      <c r="A31" s="50"/>
      <c r="B31" s="51"/>
      <c r="C31" s="75"/>
      <c r="D31" s="38"/>
      <c r="E31" s="32"/>
    </row>
    <row r="32" customFormat="false" ht="15" hidden="false" customHeight="false" outlineLevel="0" collapsed="false">
      <c r="A32" s="50"/>
      <c r="B32" s="51"/>
      <c r="C32" s="75"/>
      <c r="D32" s="38"/>
      <c r="E32" s="32"/>
    </row>
    <row r="33" customFormat="false" ht="15" hidden="false" customHeight="false" outlineLevel="0" collapsed="false">
      <c r="A33" s="50"/>
      <c r="B33" s="51"/>
      <c r="C33" s="75"/>
      <c r="D33" s="38"/>
      <c r="E33" s="32"/>
    </row>
    <row r="34" customFormat="false" ht="15" hidden="false" customHeight="false" outlineLevel="0" collapsed="false">
      <c r="A34" s="50"/>
      <c r="B34" s="51"/>
      <c r="C34" s="75"/>
      <c r="D34" s="38"/>
      <c r="E34" s="32"/>
    </row>
    <row r="35" customFormat="false" ht="15" hidden="false" customHeight="false" outlineLevel="0" collapsed="false">
      <c r="A35" s="50"/>
      <c r="B35" s="51"/>
      <c r="C35" s="75"/>
      <c r="D35" s="38"/>
      <c r="E35" s="32"/>
    </row>
    <row r="36" customFormat="false" ht="15" hidden="false" customHeight="false" outlineLevel="0" collapsed="false">
      <c r="A36" s="50"/>
      <c r="B36" s="51"/>
      <c r="C36" s="75"/>
      <c r="D36" s="38"/>
      <c r="E36" s="32"/>
    </row>
    <row r="37" customFormat="false" ht="15" hidden="false" customHeight="false" outlineLevel="0" collapsed="false">
      <c r="A37" s="50"/>
      <c r="B37" s="51"/>
      <c r="C37" s="75"/>
      <c r="D37" s="38"/>
      <c r="E37" s="32"/>
    </row>
    <row r="38" customFormat="false" ht="15" hidden="false" customHeight="false" outlineLevel="0" collapsed="false">
      <c r="A38" s="50"/>
      <c r="B38" s="51"/>
      <c r="C38" s="75"/>
      <c r="D38" s="38"/>
      <c r="E38" s="32"/>
    </row>
    <row r="39" customFormat="false" ht="15" hidden="false" customHeight="false" outlineLevel="0" collapsed="false">
      <c r="A39" s="50"/>
      <c r="B39" s="51"/>
      <c r="C39" s="75"/>
      <c r="D39" s="38"/>
      <c r="E39" s="32"/>
    </row>
    <row r="40" customFormat="false" ht="15" hidden="false" customHeight="false" outlineLevel="0" collapsed="false">
      <c r="A40" s="50"/>
      <c r="B40" s="51"/>
      <c r="C40" s="75"/>
      <c r="D40" s="38"/>
      <c r="E40" s="32"/>
    </row>
    <row r="41" customFormat="false" ht="15" hidden="false" customHeight="false" outlineLevel="0" collapsed="false">
      <c r="A41" s="50"/>
      <c r="B41" s="51"/>
      <c r="C41" s="75"/>
      <c r="D41" s="38"/>
      <c r="E41" s="32"/>
    </row>
    <row r="42" customFormat="false" ht="15" hidden="false" customHeight="false" outlineLevel="0" collapsed="false">
      <c r="A42" s="50"/>
      <c r="B42" s="51"/>
      <c r="C42" s="75"/>
      <c r="D42" s="38"/>
      <c r="E42" s="32"/>
    </row>
    <row r="43" customFormat="false" ht="15" hidden="false" customHeight="false" outlineLevel="0" collapsed="false">
      <c r="A43" s="50"/>
      <c r="B43" s="51"/>
      <c r="C43" s="75"/>
      <c r="D43" s="38"/>
      <c r="E43" s="32"/>
    </row>
    <row r="44" customFormat="false" ht="15" hidden="false" customHeight="false" outlineLevel="0" collapsed="false">
      <c r="A44" s="50"/>
      <c r="B44" s="51"/>
      <c r="C44" s="75"/>
      <c r="D44" s="38"/>
      <c r="E44" s="32"/>
    </row>
    <row r="45" customFormat="false" ht="15" hidden="false" customHeight="false" outlineLevel="0" collapsed="false">
      <c r="A45" s="50"/>
      <c r="B45" s="51"/>
      <c r="C45" s="75"/>
      <c r="D45" s="38"/>
      <c r="E45" s="32"/>
    </row>
    <row r="46" customFormat="false" ht="15" hidden="false" customHeight="false" outlineLevel="0" collapsed="false">
      <c r="A46" s="50"/>
      <c r="B46" s="51"/>
      <c r="C46" s="75"/>
      <c r="D46" s="38"/>
      <c r="E46" s="32"/>
    </row>
    <row r="47" customFormat="false" ht="15" hidden="false" customHeight="false" outlineLevel="0" collapsed="false">
      <c r="A47" s="50"/>
      <c r="B47" s="51"/>
      <c r="C47" s="75"/>
      <c r="D47" s="38"/>
      <c r="E47" s="32"/>
    </row>
    <row r="48" customFormat="false" ht="15" hidden="false" customHeight="false" outlineLevel="0" collapsed="false">
      <c r="A48" s="50"/>
      <c r="B48" s="51"/>
      <c r="C48" s="75"/>
      <c r="D48" s="38"/>
      <c r="E48" s="32"/>
    </row>
    <row r="49" customFormat="false" ht="15" hidden="false" customHeight="false" outlineLevel="0" collapsed="false">
      <c r="A49" s="50"/>
      <c r="B49" s="51"/>
      <c r="C49" s="75"/>
      <c r="D49" s="38"/>
      <c r="E49" s="32"/>
    </row>
    <row r="50" customFormat="false" ht="15" hidden="false" customHeight="false" outlineLevel="0" collapsed="false">
      <c r="A50" s="50"/>
      <c r="B50" s="51"/>
      <c r="C50" s="75"/>
      <c r="D50" s="38"/>
      <c r="E50" s="32"/>
    </row>
    <row r="51" customFormat="false" ht="15" hidden="false" customHeight="false" outlineLevel="0" collapsed="false">
      <c r="A51" s="50"/>
      <c r="B51" s="51"/>
      <c r="C51" s="75"/>
      <c r="D51" s="38"/>
      <c r="E51" s="32"/>
    </row>
    <row r="52" customFormat="false" ht="15" hidden="false" customHeight="false" outlineLevel="0" collapsed="false">
      <c r="A52" s="50"/>
      <c r="B52" s="51"/>
      <c r="C52" s="75"/>
      <c r="D52" s="38"/>
      <c r="E52" s="32"/>
    </row>
    <row r="53" customFormat="false" ht="15" hidden="false" customHeight="false" outlineLevel="0" collapsed="false">
      <c r="A53" s="50"/>
      <c r="B53" s="51"/>
      <c r="C53" s="75"/>
      <c r="D53" s="38"/>
      <c r="E53" s="32"/>
    </row>
    <row r="54" customFormat="false" ht="15" hidden="false" customHeight="false" outlineLevel="0" collapsed="false">
      <c r="A54" s="50"/>
      <c r="B54" s="51"/>
      <c r="C54" s="75"/>
      <c r="D54" s="38"/>
      <c r="E54" s="32"/>
    </row>
    <row r="55" customFormat="false" ht="15" hidden="false" customHeight="false" outlineLevel="0" collapsed="false">
      <c r="A55" s="50"/>
      <c r="B55" s="51"/>
      <c r="C55" s="75"/>
      <c r="D55" s="38"/>
      <c r="E55" s="32"/>
    </row>
    <row r="56" customFormat="false" ht="15" hidden="false" customHeight="false" outlineLevel="0" collapsed="false">
      <c r="A56" s="50"/>
      <c r="B56" s="51"/>
      <c r="C56" s="75"/>
      <c r="D56" s="38"/>
      <c r="E56" s="32"/>
    </row>
    <row r="57" customFormat="false" ht="15" hidden="false" customHeight="false" outlineLevel="0" collapsed="false">
      <c r="A57" s="50"/>
      <c r="B57" s="51"/>
      <c r="C57" s="75"/>
      <c r="D57" s="38"/>
      <c r="E57" s="32"/>
    </row>
    <row r="58" customFormat="false" ht="15" hidden="false" customHeight="false" outlineLevel="0" collapsed="false">
      <c r="A58" s="50"/>
      <c r="B58" s="51"/>
      <c r="C58" s="75"/>
      <c r="D58" s="38"/>
      <c r="E58" s="32"/>
    </row>
    <row r="59" customFormat="false" ht="15" hidden="false" customHeight="false" outlineLevel="0" collapsed="false">
      <c r="A59" s="50"/>
      <c r="B59" s="51"/>
      <c r="C59" s="75"/>
      <c r="D59" s="38"/>
      <c r="E59" s="32"/>
    </row>
    <row r="60" customFormat="false" ht="15" hidden="false" customHeight="false" outlineLevel="0" collapsed="false">
      <c r="A60" s="50"/>
      <c r="B60" s="51"/>
      <c r="C60" s="75"/>
      <c r="D60" s="38"/>
      <c r="E60" s="32"/>
    </row>
    <row r="61" customFormat="false" ht="15" hidden="false" customHeight="false" outlineLevel="0" collapsed="false">
      <c r="A61" s="50"/>
      <c r="B61" s="51"/>
      <c r="C61" s="75"/>
      <c r="D61" s="38"/>
      <c r="E61" s="32"/>
    </row>
    <row r="62" customFormat="false" ht="15" hidden="false" customHeight="false" outlineLevel="0" collapsed="false">
      <c r="A62" s="50"/>
      <c r="B62" s="51"/>
      <c r="C62" s="75"/>
      <c r="D62" s="38"/>
      <c r="E62" s="32"/>
    </row>
    <row r="63" customFormat="false" ht="15" hidden="false" customHeight="false" outlineLevel="0" collapsed="false">
      <c r="A63" s="50"/>
      <c r="B63" s="51"/>
      <c r="C63" s="75"/>
      <c r="D63" s="38"/>
      <c r="E63" s="32"/>
    </row>
    <row r="64" customFormat="false" ht="15" hidden="false" customHeight="false" outlineLevel="0" collapsed="false">
      <c r="A64" s="50"/>
      <c r="B64" s="51"/>
      <c r="C64" s="75"/>
      <c r="D64" s="38"/>
      <c r="E64" s="32"/>
    </row>
    <row r="65" customFormat="false" ht="15" hidden="false" customHeight="false" outlineLevel="0" collapsed="false">
      <c r="A65" s="50"/>
      <c r="B65" s="51"/>
      <c r="C65" s="75"/>
      <c r="D65" s="38"/>
      <c r="E65" s="32"/>
    </row>
    <row r="66" customFormat="false" ht="15" hidden="false" customHeight="false" outlineLevel="0" collapsed="false">
      <c r="A66" s="50"/>
      <c r="B66" s="51"/>
      <c r="C66" s="75"/>
      <c r="D66" s="38"/>
      <c r="E66" s="32"/>
    </row>
    <row r="67" customFormat="false" ht="15" hidden="false" customHeight="false" outlineLevel="0" collapsed="false">
      <c r="A67" s="50"/>
      <c r="B67" s="51"/>
      <c r="C67" s="75"/>
      <c r="D67" s="38"/>
      <c r="E67" s="32"/>
    </row>
    <row r="68" customFormat="false" ht="15" hidden="false" customHeight="false" outlineLevel="0" collapsed="false">
      <c r="A68" s="50"/>
      <c r="B68" s="51"/>
      <c r="C68" s="75"/>
      <c r="D68" s="38"/>
      <c r="E68" s="32"/>
    </row>
    <row r="69" customFormat="false" ht="15" hidden="false" customHeight="false" outlineLevel="0" collapsed="false">
      <c r="A69" s="50"/>
      <c r="B69" s="51"/>
      <c r="C69" s="75"/>
      <c r="D69" s="38"/>
      <c r="E69" s="32"/>
    </row>
    <row r="70" customFormat="false" ht="15" hidden="false" customHeight="false" outlineLevel="0" collapsed="false">
      <c r="A70" s="50"/>
      <c r="B70" s="51"/>
      <c r="C70" s="75"/>
      <c r="D70" s="38"/>
      <c r="E70" s="32"/>
    </row>
    <row r="71" customFormat="false" ht="15" hidden="false" customHeight="false" outlineLevel="0" collapsed="false">
      <c r="A71" s="50"/>
      <c r="B71" s="51"/>
      <c r="C71" s="75"/>
      <c r="D71" s="38"/>
      <c r="E71" s="32"/>
    </row>
    <row r="72" customFormat="false" ht="15" hidden="false" customHeight="false" outlineLevel="0" collapsed="false">
      <c r="A72" s="50"/>
      <c r="B72" s="51"/>
      <c r="C72" s="75"/>
      <c r="D72" s="38"/>
      <c r="E72" s="32"/>
    </row>
    <row r="73" customFormat="false" ht="15" hidden="false" customHeight="false" outlineLevel="0" collapsed="false">
      <c r="A73" s="50"/>
      <c r="B73" s="51"/>
      <c r="C73" s="75"/>
      <c r="D73" s="38"/>
      <c r="E73" s="32"/>
    </row>
    <row r="74" customFormat="false" ht="15" hidden="false" customHeight="false" outlineLevel="0" collapsed="false">
      <c r="A74" s="50"/>
      <c r="B74" s="51"/>
      <c r="C74" s="75"/>
      <c r="D74" s="38"/>
      <c r="E74" s="32"/>
    </row>
    <row r="75" customFormat="false" ht="15" hidden="false" customHeight="false" outlineLevel="0" collapsed="false">
      <c r="A75" s="50"/>
      <c r="B75" s="51"/>
      <c r="C75" s="75"/>
      <c r="D75" s="38"/>
      <c r="E75" s="32"/>
    </row>
    <row r="76" customFormat="false" ht="15" hidden="false" customHeight="false" outlineLevel="0" collapsed="false">
      <c r="A76" s="50"/>
      <c r="B76" s="51"/>
      <c r="C76" s="75"/>
      <c r="D76" s="38"/>
      <c r="E76" s="32"/>
    </row>
    <row r="77" customFormat="false" ht="15" hidden="false" customHeight="false" outlineLevel="0" collapsed="false">
      <c r="A77" s="50"/>
      <c r="B77" s="51"/>
      <c r="C77" s="75"/>
      <c r="D77" s="38"/>
      <c r="E77" s="32"/>
    </row>
    <row r="78" customFormat="false" ht="15" hidden="false" customHeight="false" outlineLevel="0" collapsed="false">
      <c r="A78" s="50"/>
      <c r="B78" s="51"/>
      <c r="C78" s="75"/>
      <c r="D78" s="38"/>
      <c r="E78" s="32"/>
    </row>
    <row r="79" customFormat="false" ht="15" hidden="false" customHeight="false" outlineLevel="0" collapsed="false">
      <c r="A79" s="50"/>
      <c r="B79" s="51"/>
      <c r="C79" s="75"/>
      <c r="D79" s="38"/>
      <c r="E79" s="32"/>
    </row>
    <row r="80" customFormat="false" ht="15" hidden="false" customHeight="false" outlineLevel="0" collapsed="false">
      <c r="A80" s="50"/>
      <c r="B80" s="51"/>
      <c r="C80" s="75"/>
      <c r="D80" s="38"/>
      <c r="E80" s="32"/>
    </row>
    <row r="81" customFormat="false" ht="15" hidden="false" customHeight="false" outlineLevel="0" collapsed="false">
      <c r="A81" s="50"/>
      <c r="B81" s="51"/>
      <c r="C81" s="75"/>
      <c r="D81" s="38"/>
      <c r="E81" s="32"/>
    </row>
    <row r="82" customFormat="false" ht="15" hidden="false" customHeight="false" outlineLevel="0" collapsed="false">
      <c r="A82" s="50"/>
      <c r="B82" s="51"/>
      <c r="C82" s="75"/>
      <c r="D82" s="38"/>
      <c r="E82" s="32"/>
    </row>
    <row r="83" customFormat="false" ht="15" hidden="false" customHeight="false" outlineLevel="0" collapsed="false">
      <c r="A83" s="50"/>
      <c r="B83" s="51"/>
      <c r="C83" s="75"/>
      <c r="D83" s="38"/>
      <c r="E83" s="32"/>
    </row>
    <row r="84" customFormat="false" ht="15" hidden="false" customHeight="false" outlineLevel="0" collapsed="false">
      <c r="A84" s="50"/>
      <c r="B84" s="51"/>
      <c r="C84" s="75"/>
      <c r="D84" s="38"/>
      <c r="E84" s="32"/>
    </row>
    <row r="85" customFormat="false" ht="15" hidden="false" customHeight="false" outlineLevel="0" collapsed="false">
      <c r="A85" s="50"/>
      <c r="B85" s="51"/>
      <c r="C85" s="75"/>
      <c r="D85" s="38"/>
      <c r="E85" s="32"/>
    </row>
    <row r="86" customFormat="false" ht="15" hidden="false" customHeight="false" outlineLevel="0" collapsed="false">
      <c r="A86" s="50"/>
      <c r="B86" s="51"/>
      <c r="C86" s="75"/>
      <c r="D86" s="38"/>
      <c r="E86" s="32"/>
    </row>
    <row r="87" customFormat="false" ht="15" hidden="false" customHeight="false" outlineLevel="0" collapsed="false">
      <c r="A87" s="50"/>
      <c r="B87" s="51"/>
      <c r="C87" s="75"/>
      <c r="D87" s="38"/>
      <c r="E87" s="32"/>
    </row>
    <row r="88" customFormat="false" ht="15" hidden="false" customHeight="false" outlineLevel="0" collapsed="false">
      <c r="A88" s="50"/>
      <c r="B88" s="51"/>
      <c r="C88" s="75"/>
      <c r="D88" s="38"/>
      <c r="E88" s="32"/>
    </row>
    <row r="89" customFormat="false" ht="15" hidden="false" customHeight="false" outlineLevel="0" collapsed="false">
      <c r="A89" s="50"/>
      <c r="B89" s="51"/>
      <c r="C89" s="75"/>
      <c r="D89" s="38"/>
      <c r="E89" s="32"/>
    </row>
    <row r="90" customFormat="false" ht="15" hidden="false" customHeight="false" outlineLevel="0" collapsed="false">
      <c r="A90" s="50"/>
      <c r="B90" s="51"/>
      <c r="C90" s="75"/>
      <c r="D90" s="38"/>
      <c r="E90" s="32"/>
    </row>
    <row r="91" customFormat="false" ht="15" hidden="false" customHeight="false" outlineLevel="0" collapsed="false">
      <c r="A91" s="50"/>
      <c r="B91" s="51"/>
      <c r="C91" s="75"/>
      <c r="D91" s="38"/>
      <c r="E91" s="32"/>
    </row>
    <row r="92" customFormat="false" ht="15" hidden="false" customHeight="false" outlineLevel="0" collapsed="false">
      <c r="A92" s="50"/>
      <c r="B92" s="51"/>
      <c r="C92" s="75"/>
      <c r="D92" s="38"/>
      <c r="E92" s="32"/>
    </row>
    <row r="93" customFormat="false" ht="15" hidden="false" customHeight="false" outlineLevel="0" collapsed="false">
      <c r="A93" s="50"/>
      <c r="B93" s="51"/>
      <c r="C93" s="75"/>
      <c r="D93" s="38"/>
      <c r="E93" s="32"/>
    </row>
    <row r="94" customFormat="false" ht="15" hidden="false" customHeight="false" outlineLevel="0" collapsed="false">
      <c r="A94" s="50"/>
      <c r="B94" s="51"/>
      <c r="C94" s="75"/>
      <c r="D94" s="38"/>
      <c r="E94" s="32"/>
    </row>
    <row r="95" customFormat="false" ht="15" hidden="false" customHeight="false" outlineLevel="0" collapsed="false">
      <c r="A95" s="50"/>
      <c r="B95" s="51"/>
      <c r="C95" s="75"/>
      <c r="D95" s="38"/>
      <c r="E95" s="32"/>
    </row>
    <row r="96" customFormat="false" ht="15" hidden="false" customHeight="false" outlineLevel="0" collapsed="false">
      <c r="A96" s="50"/>
      <c r="B96" s="51"/>
      <c r="C96" s="75"/>
      <c r="D96" s="38"/>
      <c r="E96" s="32"/>
    </row>
    <row r="97" customFormat="false" ht="15" hidden="false" customHeight="false" outlineLevel="0" collapsed="false">
      <c r="A97" s="50"/>
      <c r="B97" s="51"/>
      <c r="C97" s="75"/>
      <c r="D97" s="38"/>
      <c r="E97" s="32"/>
    </row>
    <row r="98" customFormat="false" ht="15" hidden="false" customHeight="false" outlineLevel="0" collapsed="false">
      <c r="A98" s="50"/>
      <c r="B98" s="51"/>
      <c r="C98" s="75"/>
      <c r="D98" s="38"/>
      <c r="E98" s="32"/>
    </row>
    <row r="99" customFormat="false" ht="15" hidden="false" customHeight="false" outlineLevel="0" collapsed="false">
      <c r="A99" s="50"/>
      <c r="B99" s="51"/>
      <c r="C99" s="75"/>
      <c r="D99" s="38"/>
      <c r="E99" s="32"/>
    </row>
    <row r="100" customFormat="false" ht="15" hidden="false" customHeight="false" outlineLevel="0" collapsed="false">
      <c r="A100" s="50"/>
      <c r="B100" s="51"/>
      <c r="C100" s="75"/>
      <c r="D100" s="38"/>
      <c r="E100" s="32"/>
    </row>
    <row r="101" customFormat="false" ht="15" hidden="false" customHeight="false" outlineLevel="0" collapsed="false">
      <c r="A101" s="50"/>
      <c r="B101" s="51"/>
      <c r="C101" s="75"/>
      <c r="D101" s="38"/>
      <c r="E101" s="32"/>
    </row>
    <row r="102" customFormat="false" ht="15" hidden="false" customHeight="false" outlineLevel="0" collapsed="false">
      <c r="A102" s="50"/>
      <c r="B102" s="51"/>
      <c r="C102" s="75"/>
      <c r="D102" s="38"/>
      <c r="E102" s="32"/>
    </row>
    <row r="103" customFormat="false" ht="15" hidden="false" customHeight="false" outlineLevel="0" collapsed="false">
      <c r="A103" s="50"/>
      <c r="B103" s="51"/>
      <c r="C103" s="75"/>
      <c r="D103" s="38"/>
      <c r="E103" s="32"/>
    </row>
    <row r="104" customFormat="false" ht="15" hidden="false" customHeight="false" outlineLevel="0" collapsed="false">
      <c r="A104" s="50"/>
      <c r="B104" s="51"/>
      <c r="C104" s="75"/>
      <c r="D104" s="38"/>
      <c r="E104" s="32"/>
    </row>
    <row r="105" customFormat="false" ht="15" hidden="false" customHeight="false" outlineLevel="0" collapsed="false">
      <c r="A105" s="50"/>
      <c r="B105" s="51"/>
      <c r="C105" s="75"/>
      <c r="D105" s="38"/>
      <c r="E105" s="32"/>
    </row>
    <row r="106" customFormat="false" ht="15" hidden="false" customHeight="false" outlineLevel="0" collapsed="false">
      <c r="A106" s="50"/>
      <c r="B106" s="51"/>
      <c r="C106" s="75"/>
      <c r="D106" s="38"/>
      <c r="E106" s="32"/>
    </row>
    <row r="107" customFormat="false" ht="15" hidden="false" customHeight="false" outlineLevel="0" collapsed="false">
      <c r="A107" s="50"/>
      <c r="B107" s="51"/>
      <c r="C107" s="75"/>
      <c r="D107" s="38"/>
      <c r="E107" s="32"/>
    </row>
    <row r="108" customFormat="false" ht="15" hidden="false" customHeight="false" outlineLevel="0" collapsed="false">
      <c r="A108" s="50"/>
      <c r="B108" s="51"/>
      <c r="C108" s="75"/>
      <c r="D108" s="38"/>
      <c r="E108" s="32"/>
    </row>
    <row r="109" customFormat="false" ht="15" hidden="false" customHeight="false" outlineLevel="0" collapsed="false">
      <c r="A109" s="50"/>
      <c r="B109" s="51"/>
      <c r="C109" s="75"/>
      <c r="D109" s="38"/>
      <c r="E109" s="32"/>
    </row>
    <row r="110" customFormat="false" ht="15" hidden="false" customHeight="false" outlineLevel="0" collapsed="false">
      <c r="A110" s="50"/>
      <c r="B110" s="51"/>
      <c r="C110" s="75"/>
      <c r="D110" s="38"/>
      <c r="E110" s="32"/>
    </row>
    <row r="111" customFormat="false" ht="15" hidden="false" customHeight="false" outlineLevel="0" collapsed="false">
      <c r="A111" s="50"/>
      <c r="B111" s="51"/>
      <c r="C111" s="75"/>
      <c r="D111" s="38"/>
      <c r="E111" s="32"/>
    </row>
    <row r="112" customFormat="false" ht="15" hidden="false" customHeight="false" outlineLevel="0" collapsed="false">
      <c r="A112" s="50"/>
      <c r="B112" s="51"/>
      <c r="C112" s="75"/>
      <c r="D112" s="38"/>
      <c r="E112" s="32"/>
    </row>
    <row r="113" customFormat="false" ht="15" hidden="false" customHeight="false" outlineLevel="0" collapsed="false">
      <c r="A113" s="50"/>
      <c r="B113" s="51"/>
      <c r="C113" s="75"/>
      <c r="D113" s="38"/>
      <c r="E113" s="32"/>
    </row>
    <row r="114" customFormat="false" ht="15" hidden="false" customHeight="false" outlineLevel="0" collapsed="false">
      <c r="A114" s="50"/>
      <c r="B114" s="51"/>
      <c r="C114" s="75"/>
      <c r="D114" s="38"/>
      <c r="E114" s="32"/>
    </row>
    <row r="115" customFormat="false" ht="15" hidden="false" customHeight="false" outlineLevel="0" collapsed="false">
      <c r="A115" s="50"/>
      <c r="B115" s="51"/>
      <c r="C115" s="75"/>
      <c r="D115" s="38"/>
      <c r="E115" s="32"/>
    </row>
    <row r="116" customFormat="false" ht="15" hidden="false" customHeight="false" outlineLevel="0" collapsed="false">
      <c r="A116" s="50"/>
      <c r="B116" s="51"/>
      <c r="C116" s="75"/>
      <c r="D116" s="38"/>
      <c r="E116" s="32"/>
    </row>
    <row r="117" customFormat="false" ht="15" hidden="false" customHeight="false" outlineLevel="0" collapsed="false">
      <c r="A117" s="50"/>
      <c r="B117" s="51"/>
      <c r="C117" s="75"/>
      <c r="D117" s="38"/>
      <c r="E117" s="32"/>
    </row>
    <row r="118" customFormat="false" ht="15" hidden="false" customHeight="false" outlineLevel="0" collapsed="false">
      <c r="A118" s="50"/>
      <c r="B118" s="51"/>
      <c r="C118" s="75"/>
      <c r="D118" s="38"/>
      <c r="E118" s="32"/>
    </row>
    <row r="119" customFormat="false" ht="15" hidden="false" customHeight="false" outlineLevel="0" collapsed="false">
      <c r="A119" s="50"/>
      <c r="B119" s="51"/>
      <c r="C119" s="75"/>
      <c r="D119" s="38"/>
      <c r="E119" s="32"/>
    </row>
    <row r="120" customFormat="false" ht="15" hidden="false" customHeight="false" outlineLevel="0" collapsed="false">
      <c r="A120" s="50"/>
      <c r="B120" s="51"/>
      <c r="C120" s="75"/>
      <c r="D120" s="38"/>
      <c r="E120" s="32"/>
    </row>
    <row r="121" customFormat="false" ht="15" hidden="false" customHeight="false" outlineLevel="0" collapsed="false">
      <c r="A121" s="50"/>
      <c r="B121" s="51"/>
      <c r="C121" s="75"/>
      <c r="D121" s="38"/>
      <c r="E121" s="32"/>
    </row>
    <row r="122" customFormat="false" ht="15" hidden="false" customHeight="false" outlineLevel="0" collapsed="false">
      <c r="A122" s="50"/>
      <c r="B122" s="51"/>
      <c r="C122" s="75"/>
      <c r="D122" s="38"/>
      <c r="E122" s="32"/>
    </row>
    <row r="123" customFormat="false" ht="15" hidden="false" customHeight="false" outlineLevel="0" collapsed="false">
      <c r="A123" s="50"/>
      <c r="B123" s="51"/>
      <c r="C123" s="75"/>
      <c r="D123" s="38"/>
      <c r="E123" s="32"/>
    </row>
    <row r="124" customFormat="false" ht="15" hidden="false" customHeight="false" outlineLevel="0" collapsed="false">
      <c r="A124" s="50"/>
      <c r="B124" s="51"/>
      <c r="C124" s="75"/>
      <c r="D124" s="38"/>
      <c r="E124" s="32"/>
    </row>
    <row r="125" customFormat="false" ht="15" hidden="false" customHeight="false" outlineLevel="0" collapsed="false">
      <c r="A125" s="50"/>
      <c r="B125" s="51"/>
      <c r="C125" s="75"/>
      <c r="D125" s="38"/>
      <c r="E125" s="32"/>
    </row>
    <row r="126" customFormat="false" ht="15" hidden="false" customHeight="false" outlineLevel="0" collapsed="false">
      <c r="A126" s="50"/>
      <c r="B126" s="51"/>
      <c r="C126" s="75"/>
      <c r="D126" s="38"/>
      <c r="E126" s="32"/>
    </row>
    <row r="127" customFormat="false" ht="15" hidden="false" customHeight="false" outlineLevel="0" collapsed="false">
      <c r="A127" s="50"/>
      <c r="B127" s="51"/>
      <c r="C127" s="75"/>
      <c r="D127" s="38"/>
      <c r="E127" s="32"/>
    </row>
    <row r="128" customFormat="false" ht="15" hidden="false" customHeight="false" outlineLevel="0" collapsed="false">
      <c r="A128" s="50"/>
      <c r="B128" s="51"/>
      <c r="C128" s="75"/>
      <c r="D128" s="38"/>
      <c r="E128" s="32"/>
    </row>
    <row r="129" customFormat="false" ht="15" hidden="false" customHeight="false" outlineLevel="0" collapsed="false">
      <c r="A129" s="50"/>
      <c r="B129" s="51"/>
      <c r="C129" s="75"/>
      <c r="D129" s="38"/>
      <c r="E129" s="32"/>
    </row>
    <row r="130" customFormat="false" ht="15" hidden="false" customHeight="false" outlineLevel="0" collapsed="false">
      <c r="A130" s="50"/>
      <c r="B130" s="51"/>
      <c r="C130" s="75"/>
      <c r="D130" s="38"/>
      <c r="E130" s="32"/>
    </row>
    <row r="131" customFormat="false" ht="15" hidden="false" customHeight="false" outlineLevel="0" collapsed="false">
      <c r="A131" s="50"/>
      <c r="B131" s="51"/>
      <c r="C131" s="75"/>
      <c r="D131" s="38"/>
      <c r="E131" s="32"/>
    </row>
    <row r="132" customFormat="false" ht="15" hidden="false" customHeight="false" outlineLevel="0" collapsed="false">
      <c r="A132" s="50"/>
      <c r="B132" s="51"/>
      <c r="C132" s="75"/>
      <c r="D132" s="38"/>
      <c r="E132" s="32"/>
    </row>
    <row r="133" customFormat="false" ht="15" hidden="false" customHeight="false" outlineLevel="0" collapsed="false">
      <c r="A133" s="50"/>
      <c r="B133" s="51"/>
      <c r="C133" s="75"/>
      <c r="D133" s="38"/>
      <c r="E133" s="32"/>
    </row>
    <row r="134" customFormat="false" ht="15" hidden="false" customHeight="false" outlineLevel="0" collapsed="false">
      <c r="A134" s="50"/>
      <c r="B134" s="51"/>
      <c r="C134" s="75"/>
      <c r="D134" s="38"/>
      <c r="E134" s="32"/>
    </row>
    <row r="135" customFormat="false" ht="15" hidden="false" customHeight="false" outlineLevel="0" collapsed="false">
      <c r="A135" s="50"/>
      <c r="B135" s="51"/>
      <c r="C135" s="75"/>
      <c r="D135" s="38"/>
      <c r="E135" s="32"/>
    </row>
    <row r="136" customFormat="false" ht="15" hidden="false" customHeight="false" outlineLevel="0" collapsed="false">
      <c r="A136" s="50"/>
      <c r="B136" s="51"/>
      <c r="C136" s="75"/>
      <c r="D136" s="38"/>
      <c r="E136" s="32"/>
    </row>
    <row r="137" customFormat="false" ht="15" hidden="false" customHeight="false" outlineLevel="0" collapsed="false">
      <c r="A137" s="50"/>
      <c r="B137" s="51"/>
      <c r="C137" s="75"/>
      <c r="D137" s="38"/>
      <c r="E137" s="32"/>
    </row>
    <row r="138" customFormat="false" ht="15" hidden="false" customHeight="false" outlineLevel="0" collapsed="false">
      <c r="A138" s="50"/>
      <c r="B138" s="51"/>
      <c r="C138" s="75"/>
      <c r="D138" s="38"/>
      <c r="E138" s="32"/>
    </row>
    <row r="139" customFormat="false" ht="15" hidden="false" customHeight="false" outlineLevel="0" collapsed="false">
      <c r="A139" s="50"/>
      <c r="B139" s="51"/>
      <c r="C139" s="75"/>
      <c r="D139" s="38"/>
      <c r="E139" s="32"/>
    </row>
    <row r="140" customFormat="false" ht="15" hidden="false" customHeight="false" outlineLevel="0" collapsed="false">
      <c r="A140" s="50"/>
      <c r="B140" s="51"/>
      <c r="C140" s="75"/>
      <c r="D140" s="38"/>
      <c r="E140" s="32"/>
    </row>
    <row r="141" customFormat="false" ht="15" hidden="false" customHeight="false" outlineLevel="0" collapsed="false">
      <c r="A141" s="50"/>
      <c r="B141" s="51"/>
      <c r="C141" s="75"/>
      <c r="D141" s="38"/>
      <c r="E141" s="32"/>
    </row>
    <row r="142" customFormat="false" ht="15" hidden="false" customHeight="false" outlineLevel="0" collapsed="false">
      <c r="A142" s="50"/>
      <c r="B142" s="51"/>
      <c r="C142" s="75"/>
      <c r="D142" s="38"/>
      <c r="E142" s="32"/>
    </row>
    <row r="143" customFormat="false" ht="15" hidden="false" customHeight="false" outlineLevel="0" collapsed="false">
      <c r="A143" s="50"/>
      <c r="B143" s="51"/>
      <c r="C143" s="75"/>
      <c r="D143" s="38"/>
      <c r="E143" s="32"/>
    </row>
    <row r="144" customFormat="false" ht="15" hidden="false" customHeight="false" outlineLevel="0" collapsed="false">
      <c r="A144" s="50"/>
      <c r="B144" s="51"/>
      <c r="C144" s="75"/>
      <c r="D144" s="38"/>
      <c r="E144" s="32"/>
    </row>
    <row r="145" customFormat="false" ht="15" hidden="false" customHeight="false" outlineLevel="0" collapsed="false">
      <c r="A145" s="50"/>
      <c r="B145" s="51"/>
      <c r="C145" s="75"/>
      <c r="D145" s="38"/>
      <c r="E145" s="32"/>
    </row>
    <row r="146" customFormat="false" ht="15" hidden="false" customHeight="false" outlineLevel="0" collapsed="false">
      <c r="A146" s="50"/>
      <c r="B146" s="51"/>
      <c r="C146" s="75"/>
      <c r="D146" s="38"/>
      <c r="E146" s="32"/>
    </row>
    <row r="147" customFormat="false" ht="15" hidden="false" customHeight="false" outlineLevel="0" collapsed="false">
      <c r="A147" s="50"/>
      <c r="B147" s="51"/>
      <c r="C147" s="75"/>
      <c r="D147" s="38"/>
      <c r="E147" s="32"/>
    </row>
    <row r="148" customFormat="false" ht="15" hidden="false" customHeight="false" outlineLevel="0" collapsed="false">
      <c r="A148" s="50"/>
      <c r="B148" s="51"/>
      <c r="C148" s="75"/>
      <c r="D148" s="38"/>
      <c r="E148" s="32"/>
    </row>
    <row r="149" customFormat="false" ht="15" hidden="false" customHeight="false" outlineLevel="0" collapsed="false">
      <c r="A149" s="50"/>
      <c r="B149" s="51"/>
      <c r="C149" s="75"/>
      <c r="D149" s="38"/>
      <c r="E149" s="32"/>
    </row>
    <row r="150" customFormat="false" ht="15" hidden="false" customHeight="false" outlineLevel="0" collapsed="false">
      <c r="A150" s="50"/>
      <c r="B150" s="51"/>
      <c r="C150" s="75"/>
      <c r="D150" s="38"/>
      <c r="E150" s="32"/>
    </row>
    <row r="151" customFormat="false" ht="15" hidden="false" customHeight="false" outlineLevel="0" collapsed="false">
      <c r="A151" s="50"/>
      <c r="B151" s="51"/>
      <c r="C151" s="75"/>
      <c r="D151" s="38"/>
      <c r="E151" s="32"/>
    </row>
    <row r="152" customFormat="false" ht="15" hidden="false" customHeight="false" outlineLevel="0" collapsed="false">
      <c r="A152" s="50"/>
      <c r="B152" s="51"/>
      <c r="C152" s="75"/>
      <c r="D152" s="38"/>
      <c r="E152" s="32"/>
    </row>
    <row r="153" customFormat="false" ht="15" hidden="false" customHeight="false" outlineLevel="0" collapsed="false">
      <c r="A153" s="50"/>
      <c r="B153" s="51"/>
      <c r="C153" s="75"/>
      <c r="D153" s="38"/>
      <c r="E153" s="32"/>
    </row>
    <row r="154" customFormat="false" ht="15" hidden="false" customHeight="false" outlineLevel="0" collapsed="false">
      <c r="A154" s="50"/>
      <c r="B154" s="51"/>
      <c r="C154" s="75"/>
      <c r="D154" s="38"/>
      <c r="E154" s="32"/>
    </row>
    <row r="155" customFormat="false" ht="15" hidden="false" customHeight="false" outlineLevel="0" collapsed="false">
      <c r="A155" s="50"/>
      <c r="B155" s="51"/>
      <c r="C155" s="75"/>
      <c r="D155" s="38"/>
      <c r="E155" s="32"/>
    </row>
    <row r="156" customFormat="false" ht="15" hidden="false" customHeight="false" outlineLevel="0" collapsed="false">
      <c r="A156" s="50"/>
      <c r="B156" s="51"/>
      <c r="C156" s="75"/>
      <c r="D156" s="38"/>
      <c r="E156" s="32"/>
    </row>
    <row r="157" customFormat="false" ht="15" hidden="false" customHeight="false" outlineLevel="0" collapsed="false">
      <c r="A157" s="50"/>
      <c r="B157" s="51"/>
      <c r="C157" s="75"/>
      <c r="D157" s="38"/>
      <c r="E157" s="32"/>
    </row>
    <row r="158" customFormat="false" ht="15" hidden="false" customHeight="false" outlineLevel="0" collapsed="false">
      <c r="A158" s="50"/>
      <c r="B158" s="51"/>
      <c r="C158" s="75"/>
      <c r="D158" s="38"/>
      <c r="E158" s="32"/>
    </row>
    <row r="159" customFormat="false" ht="15" hidden="false" customHeight="false" outlineLevel="0" collapsed="false">
      <c r="A159" s="50"/>
      <c r="B159" s="51"/>
      <c r="C159" s="75"/>
      <c r="D159" s="38"/>
      <c r="E159" s="32"/>
    </row>
    <row r="160" customFormat="false" ht="15" hidden="false" customHeight="false" outlineLevel="0" collapsed="false">
      <c r="A160" s="50"/>
      <c r="B160" s="51"/>
      <c r="C160" s="75"/>
      <c r="D160" s="38"/>
      <c r="E160" s="32"/>
    </row>
    <row r="161" customFormat="false" ht="15" hidden="false" customHeight="false" outlineLevel="0" collapsed="false">
      <c r="A161" s="50"/>
      <c r="B161" s="51"/>
      <c r="C161" s="75"/>
      <c r="D161" s="38"/>
      <c r="E161" s="32"/>
    </row>
    <row r="162" customFormat="false" ht="15" hidden="false" customHeight="false" outlineLevel="0" collapsed="false">
      <c r="A162" s="50"/>
      <c r="B162" s="51"/>
      <c r="C162" s="75"/>
      <c r="D162" s="38"/>
      <c r="E162" s="32"/>
    </row>
    <row r="163" customFormat="false" ht="15" hidden="false" customHeight="false" outlineLevel="0" collapsed="false">
      <c r="A163" s="50"/>
      <c r="B163" s="51"/>
      <c r="C163" s="75"/>
      <c r="D163" s="38"/>
      <c r="E163" s="32"/>
    </row>
    <row r="164" customFormat="false" ht="15" hidden="false" customHeight="false" outlineLevel="0" collapsed="false">
      <c r="A164" s="50"/>
      <c r="B164" s="51"/>
      <c r="C164" s="75"/>
      <c r="D164" s="38"/>
      <c r="E164" s="32"/>
    </row>
    <row r="165" customFormat="false" ht="15" hidden="false" customHeight="false" outlineLevel="0" collapsed="false">
      <c r="A165" s="50"/>
      <c r="B165" s="51"/>
      <c r="C165" s="75"/>
      <c r="D165" s="38"/>
      <c r="E165" s="32"/>
    </row>
    <row r="166" customFormat="false" ht="15" hidden="false" customHeight="false" outlineLevel="0" collapsed="false">
      <c r="A166" s="50"/>
      <c r="B166" s="51"/>
      <c r="C166" s="75"/>
      <c r="D166" s="38"/>
      <c r="E166" s="32"/>
    </row>
    <row r="167" customFormat="false" ht="15" hidden="false" customHeight="false" outlineLevel="0" collapsed="false">
      <c r="A167" s="50"/>
      <c r="B167" s="51"/>
      <c r="C167" s="75"/>
      <c r="D167" s="38"/>
      <c r="E167" s="32"/>
    </row>
    <row r="168" customFormat="false" ht="15" hidden="false" customHeight="false" outlineLevel="0" collapsed="false">
      <c r="A168" s="50"/>
      <c r="B168" s="51"/>
      <c r="C168" s="75"/>
      <c r="D168" s="38"/>
      <c r="E168" s="32"/>
    </row>
    <row r="169" customFormat="false" ht="15" hidden="false" customHeight="false" outlineLevel="0" collapsed="false">
      <c r="A169" s="50"/>
      <c r="B169" s="51"/>
      <c r="C169" s="75"/>
      <c r="D169" s="38"/>
      <c r="E169" s="32"/>
    </row>
    <row r="170" customFormat="false" ht="15" hidden="false" customHeight="false" outlineLevel="0" collapsed="false">
      <c r="A170" s="50"/>
      <c r="B170" s="51"/>
      <c r="C170" s="75"/>
      <c r="D170" s="38"/>
      <c r="E170" s="32"/>
    </row>
    <row r="171" customFormat="false" ht="15" hidden="false" customHeight="false" outlineLevel="0" collapsed="false">
      <c r="A171" s="50"/>
      <c r="B171" s="51"/>
      <c r="C171" s="75"/>
      <c r="D171" s="38"/>
      <c r="E171" s="32"/>
    </row>
    <row r="172" customFormat="false" ht="15" hidden="false" customHeight="false" outlineLevel="0" collapsed="false">
      <c r="A172" s="50"/>
      <c r="B172" s="51"/>
      <c r="C172" s="75"/>
      <c r="D172" s="38"/>
      <c r="E172" s="32"/>
    </row>
    <row r="173" customFormat="false" ht="15" hidden="false" customHeight="false" outlineLevel="0" collapsed="false">
      <c r="A173" s="50"/>
      <c r="B173" s="51"/>
      <c r="C173" s="75"/>
      <c r="D173" s="38"/>
      <c r="E173" s="32"/>
    </row>
    <row r="174" customFormat="false" ht="15" hidden="false" customHeight="false" outlineLevel="0" collapsed="false">
      <c r="A174" s="50"/>
      <c r="B174" s="51"/>
      <c r="C174" s="75"/>
      <c r="D174" s="38"/>
      <c r="E174" s="32"/>
    </row>
    <row r="175" customFormat="false" ht="15" hidden="false" customHeight="false" outlineLevel="0" collapsed="false">
      <c r="A175" s="50"/>
      <c r="B175" s="51"/>
      <c r="C175" s="75"/>
      <c r="D175" s="38"/>
      <c r="E175" s="32"/>
    </row>
    <row r="176" customFormat="false" ht="15" hidden="false" customHeight="false" outlineLevel="0" collapsed="false">
      <c r="A176" s="50"/>
      <c r="B176" s="51"/>
      <c r="C176" s="75"/>
      <c r="D176" s="38"/>
      <c r="E176" s="32"/>
    </row>
    <row r="177" customFormat="false" ht="15" hidden="false" customHeight="false" outlineLevel="0" collapsed="false">
      <c r="A177" s="50"/>
      <c r="B177" s="51"/>
      <c r="C177" s="75"/>
      <c r="D177" s="38"/>
      <c r="E177" s="32"/>
    </row>
    <row r="178" customFormat="false" ht="15" hidden="false" customHeight="false" outlineLevel="0" collapsed="false">
      <c r="A178" s="50"/>
      <c r="B178" s="51"/>
      <c r="C178" s="75"/>
      <c r="D178" s="38"/>
      <c r="E178" s="32"/>
    </row>
    <row r="179" customFormat="false" ht="15" hidden="false" customHeight="false" outlineLevel="0" collapsed="false">
      <c r="A179" s="50"/>
      <c r="B179" s="51"/>
      <c r="C179" s="75"/>
      <c r="D179" s="38"/>
      <c r="E179" s="32"/>
    </row>
    <row r="180" customFormat="false" ht="15" hidden="false" customHeight="false" outlineLevel="0" collapsed="false">
      <c r="A180" s="50"/>
      <c r="B180" s="51"/>
      <c r="C180" s="75"/>
      <c r="D180" s="38"/>
      <c r="E180" s="32"/>
    </row>
    <row r="181" customFormat="false" ht="15" hidden="false" customHeight="false" outlineLevel="0" collapsed="false">
      <c r="A181" s="50"/>
      <c r="B181" s="51"/>
      <c r="C181" s="75"/>
      <c r="D181" s="38"/>
      <c r="E181" s="32"/>
    </row>
    <row r="182" customFormat="false" ht="15" hidden="false" customHeight="false" outlineLevel="0" collapsed="false">
      <c r="A182" s="50"/>
      <c r="B182" s="51"/>
      <c r="C182" s="75"/>
      <c r="D182" s="38"/>
      <c r="E182" s="32"/>
    </row>
    <row r="183" customFormat="false" ht="15" hidden="false" customHeight="false" outlineLevel="0" collapsed="false">
      <c r="A183" s="50"/>
      <c r="B183" s="51"/>
      <c r="C183" s="75"/>
      <c r="D183" s="38"/>
      <c r="E183" s="32"/>
    </row>
    <row r="184" customFormat="false" ht="15" hidden="false" customHeight="false" outlineLevel="0" collapsed="false">
      <c r="A184" s="50"/>
      <c r="B184" s="51"/>
      <c r="C184" s="75"/>
      <c r="D184" s="38"/>
      <c r="E184" s="32"/>
    </row>
    <row r="185" customFormat="false" ht="15" hidden="false" customHeight="false" outlineLevel="0" collapsed="false">
      <c r="A185" s="50"/>
      <c r="B185" s="51"/>
      <c r="C185" s="75"/>
      <c r="D185" s="38"/>
      <c r="E185" s="32"/>
    </row>
    <row r="186" customFormat="false" ht="15" hidden="false" customHeight="false" outlineLevel="0" collapsed="false">
      <c r="A186" s="50"/>
      <c r="B186" s="51"/>
      <c r="C186" s="75"/>
      <c r="D186" s="38"/>
      <c r="E186" s="32"/>
    </row>
    <row r="187" customFormat="false" ht="15" hidden="false" customHeight="false" outlineLevel="0" collapsed="false">
      <c r="A187" s="50"/>
      <c r="B187" s="51"/>
      <c r="C187" s="75"/>
      <c r="D187" s="38"/>
      <c r="E187" s="32"/>
    </row>
    <row r="188" customFormat="false" ht="15" hidden="false" customHeight="false" outlineLevel="0" collapsed="false">
      <c r="A188" s="50"/>
      <c r="B188" s="51"/>
      <c r="C188" s="75"/>
      <c r="D188" s="38"/>
      <c r="E188" s="32"/>
    </row>
    <row r="189" customFormat="false" ht="15" hidden="false" customHeight="false" outlineLevel="0" collapsed="false">
      <c r="A189" s="50"/>
      <c r="B189" s="51"/>
      <c r="C189" s="75"/>
      <c r="D189" s="38"/>
      <c r="E189" s="32"/>
    </row>
    <row r="190" customFormat="false" ht="15" hidden="false" customHeight="false" outlineLevel="0" collapsed="false">
      <c r="A190" s="50"/>
      <c r="B190" s="51"/>
      <c r="C190" s="75"/>
      <c r="D190" s="38"/>
      <c r="E190" s="32"/>
    </row>
    <row r="191" customFormat="false" ht="15" hidden="false" customHeight="false" outlineLevel="0" collapsed="false">
      <c r="A191" s="50"/>
      <c r="B191" s="51"/>
      <c r="C191" s="75"/>
      <c r="D191" s="38"/>
      <c r="E191" s="32"/>
    </row>
    <row r="192" customFormat="false" ht="15" hidden="false" customHeight="false" outlineLevel="0" collapsed="false">
      <c r="A192" s="50"/>
      <c r="B192" s="51"/>
      <c r="C192" s="75"/>
      <c r="D192" s="38"/>
      <c r="E192" s="32"/>
    </row>
    <row r="193" customFormat="false" ht="15" hidden="false" customHeight="false" outlineLevel="0" collapsed="false">
      <c r="A193" s="50"/>
      <c r="B193" s="51"/>
      <c r="C193" s="75"/>
      <c r="D193" s="38"/>
      <c r="E193" s="32"/>
    </row>
    <row r="194" customFormat="false" ht="15" hidden="false" customHeight="false" outlineLevel="0" collapsed="false">
      <c r="A194" s="50"/>
      <c r="B194" s="51"/>
      <c r="C194" s="75"/>
      <c r="D194" s="38"/>
      <c r="E194" s="32"/>
    </row>
    <row r="195" customFormat="false" ht="15" hidden="false" customHeight="false" outlineLevel="0" collapsed="false">
      <c r="A195" s="50"/>
      <c r="B195" s="51"/>
      <c r="C195" s="75"/>
      <c r="D195" s="38"/>
      <c r="E195" s="32"/>
    </row>
    <row r="196" customFormat="false" ht="15" hidden="false" customHeight="false" outlineLevel="0" collapsed="false">
      <c r="A196" s="50"/>
      <c r="B196" s="51"/>
      <c r="C196" s="75"/>
      <c r="D196" s="38"/>
      <c r="E196" s="32"/>
    </row>
    <row r="197" customFormat="false" ht="15" hidden="false" customHeight="false" outlineLevel="0" collapsed="false">
      <c r="A197" s="50"/>
      <c r="B197" s="51"/>
      <c r="C197" s="75"/>
      <c r="D197" s="38"/>
      <c r="E197" s="32"/>
    </row>
    <row r="198" customFormat="false" ht="15" hidden="false" customHeight="false" outlineLevel="0" collapsed="false">
      <c r="A198" s="50"/>
      <c r="B198" s="51"/>
      <c r="C198" s="75"/>
      <c r="D198" s="38"/>
      <c r="E198" s="32"/>
    </row>
    <row r="199" customFormat="false" ht="15" hidden="false" customHeight="false" outlineLevel="0" collapsed="false">
      <c r="A199" s="50"/>
      <c r="B199" s="51"/>
      <c r="C199" s="75"/>
      <c r="D199" s="38"/>
      <c r="E199" s="32"/>
    </row>
    <row r="200" customFormat="false" ht="15" hidden="false" customHeight="false" outlineLevel="0" collapsed="false">
      <c r="A200" s="50"/>
      <c r="B200" s="51"/>
      <c r="C200" s="75"/>
      <c r="D200" s="38"/>
      <c r="E200" s="32"/>
    </row>
    <row r="201" customFormat="false" ht="15" hidden="false" customHeight="false" outlineLevel="0" collapsed="false">
      <c r="A201" s="50"/>
      <c r="B201" s="51"/>
      <c r="C201" s="75"/>
      <c r="D201" s="38"/>
      <c r="E201" s="32"/>
    </row>
    <row r="202" customFormat="false" ht="15" hidden="false" customHeight="false" outlineLevel="0" collapsed="false">
      <c r="A202" s="50"/>
      <c r="B202" s="51"/>
      <c r="C202" s="75"/>
      <c r="D202" s="38"/>
      <c r="E202" s="32"/>
    </row>
    <row r="203" customFormat="false" ht="15" hidden="false" customHeight="false" outlineLevel="0" collapsed="false">
      <c r="A203" s="50"/>
      <c r="B203" s="51"/>
      <c r="C203" s="75"/>
      <c r="D203" s="38"/>
      <c r="E203" s="32"/>
    </row>
    <row r="204" customFormat="false" ht="15" hidden="false" customHeight="false" outlineLevel="0" collapsed="false">
      <c r="A204" s="50"/>
      <c r="B204" s="51"/>
      <c r="C204" s="75"/>
      <c r="D204" s="38"/>
      <c r="E204" s="32"/>
    </row>
    <row r="205" customFormat="false" ht="15" hidden="false" customHeight="false" outlineLevel="0" collapsed="false">
      <c r="A205" s="50"/>
      <c r="B205" s="51"/>
      <c r="C205" s="75"/>
      <c r="D205" s="38"/>
      <c r="E205" s="32"/>
    </row>
    <row r="206" customFormat="false" ht="15" hidden="false" customHeight="false" outlineLevel="0" collapsed="false">
      <c r="A206" s="50"/>
      <c r="B206" s="51"/>
      <c r="C206" s="75"/>
      <c r="D206" s="38"/>
      <c r="E206" s="32"/>
    </row>
    <row r="207" customFormat="false" ht="15" hidden="false" customHeight="false" outlineLevel="0" collapsed="false">
      <c r="A207" s="50"/>
      <c r="B207" s="51"/>
      <c r="C207" s="75"/>
      <c r="D207" s="38"/>
      <c r="E207" s="32"/>
    </row>
    <row r="208" customFormat="false" ht="15" hidden="false" customHeight="false" outlineLevel="0" collapsed="false">
      <c r="A208" s="50"/>
      <c r="B208" s="51"/>
      <c r="C208" s="75"/>
      <c r="D208" s="38"/>
      <c r="E208" s="32"/>
    </row>
    <row r="209" customFormat="false" ht="15" hidden="false" customHeight="false" outlineLevel="0" collapsed="false">
      <c r="A209" s="50"/>
      <c r="B209" s="51"/>
      <c r="C209" s="75"/>
      <c r="D209" s="38"/>
      <c r="E209" s="32"/>
    </row>
    <row r="210" customFormat="false" ht="15" hidden="false" customHeight="false" outlineLevel="0" collapsed="false">
      <c r="A210" s="50"/>
      <c r="B210" s="51"/>
      <c r="C210" s="75"/>
      <c r="D210" s="38"/>
      <c r="E210" s="32"/>
    </row>
    <row r="211" customFormat="false" ht="15" hidden="false" customHeight="false" outlineLevel="0" collapsed="false">
      <c r="A211" s="50"/>
      <c r="B211" s="51"/>
      <c r="C211" s="75"/>
      <c r="D211" s="38"/>
      <c r="E211" s="32"/>
    </row>
    <row r="212" customFormat="false" ht="15" hidden="false" customHeight="false" outlineLevel="0" collapsed="false">
      <c r="A212" s="50"/>
      <c r="B212" s="51"/>
      <c r="C212" s="75"/>
      <c r="D212" s="38"/>
      <c r="E212" s="32"/>
    </row>
    <row r="213" customFormat="false" ht="15" hidden="false" customHeight="false" outlineLevel="0" collapsed="false">
      <c r="A213" s="50"/>
      <c r="B213" s="51"/>
      <c r="C213" s="75"/>
      <c r="D213" s="38"/>
      <c r="E213" s="32"/>
    </row>
    <row r="214" customFormat="false" ht="15" hidden="false" customHeight="false" outlineLevel="0" collapsed="false">
      <c r="A214" s="50"/>
      <c r="B214" s="51"/>
      <c r="C214" s="75"/>
      <c r="D214" s="38"/>
      <c r="E214" s="32"/>
    </row>
    <row r="215" customFormat="false" ht="15" hidden="false" customHeight="false" outlineLevel="0" collapsed="false">
      <c r="A215" s="50"/>
      <c r="B215" s="51"/>
      <c r="C215" s="75"/>
      <c r="D215" s="38"/>
      <c r="E215" s="32"/>
    </row>
    <row r="216" customFormat="false" ht="15" hidden="false" customHeight="false" outlineLevel="0" collapsed="false">
      <c r="A216" s="50"/>
      <c r="B216" s="51"/>
      <c r="C216" s="75"/>
      <c r="D216" s="38"/>
      <c r="E216" s="32"/>
    </row>
    <row r="217" customFormat="false" ht="15" hidden="false" customHeight="false" outlineLevel="0" collapsed="false">
      <c r="A217" s="50"/>
      <c r="B217" s="51"/>
      <c r="C217" s="75"/>
      <c r="D217" s="38"/>
      <c r="E217" s="32"/>
    </row>
    <row r="218" customFormat="false" ht="15" hidden="false" customHeight="false" outlineLevel="0" collapsed="false">
      <c r="A218" s="50"/>
      <c r="B218" s="51"/>
      <c r="C218" s="75"/>
      <c r="D218" s="38"/>
      <c r="E218" s="32"/>
    </row>
    <row r="219" customFormat="false" ht="15" hidden="false" customHeight="false" outlineLevel="0" collapsed="false">
      <c r="A219" s="50"/>
      <c r="B219" s="51"/>
      <c r="C219" s="75"/>
      <c r="D219" s="38"/>
      <c r="E219" s="32"/>
    </row>
    <row r="220" customFormat="false" ht="15" hidden="false" customHeight="false" outlineLevel="0" collapsed="false">
      <c r="A220" s="50"/>
      <c r="B220" s="51"/>
      <c r="C220" s="75"/>
      <c r="D220" s="38"/>
      <c r="E220" s="32"/>
    </row>
    <row r="221" customFormat="false" ht="15" hidden="false" customHeight="false" outlineLevel="0" collapsed="false">
      <c r="A221" s="50"/>
      <c r="B221" s="51"/>
      <c r="C221" s="75"/>
      <c r="D221" s="38"/>
      <c r="E221" s="32"/>
    </row>
    <row r="222" customFormat="false" ht="15" hidden="false" customHeight="false" outlineLevel="0" collapsed="false">
      <c r="A222" s="50"/>
      <c r="B222" s="51"/>
      <c r="C222" s="75"/>
      <c r="D222" s="38"/>
      <c r="E222" s="32"/>
    </row>
    <row r="223" customFormat="false" ht="15" hidden="false" customHeight="false" outlineLevel="0" collapsed="false">
      <c r="A223" s="50"/>
      <c r="B223" s="51"/>
      <c r="C223" s="75"/>
      <c r="D223" s="38"/>
      <c r="E223" s="32"/>
    </row>
    <row r="224" customFormat="false" ht="15" hidden="false" customHeight="false" outlineLevel="0" collapsed="false">
      <c r="A224" s="50"/>
      <c r="B224" s="51"/>
      <c r="C224" s="75"/>
      <c r="D224" s="38"/>
      <c r="E224" s="32"/>
    </row>
    <row r="225" customFormat="false" ht="15" hidden="false" customHeight="false" outlineLevel="0" collapsed="false">
      <c r="A225" s="50"/>
      <c r="B225" s="51"/>
      <c r="C225" s="75"/>
      <c r="D225" s="38"/>
      <c r="E225" s="32"/>
    </row>
    <row r="226" customFormat="false" ht="15" hidden="false" customHeight="false" outlineLevel="0" collapsed="false">
      <c r="A226" s="50"/>
      <c r="B226" s="51"/>
      <c r="C226" s="75"/>
      <c r="D226" s="38"/>
      <c r="E226" s="32"/>
    </row>
    <row r="227" customFormat="false" ht="15" hidden="false" customHeight="false" outlineLevel="0" collapsed="false">
      <c r="A227" s="50"/>
      <c r="B227" s="51"/>
      <c r="C227" s="75"/>
      <c r="D227" s="38"/>
      <c r="E227" s="32"/>
    </row>
    <row r="228" customFormat="false" ht="15" hidden="false" customHeight="false" outlineLevel="0" collapsed="false">
      <c r="A228" s="50"/>
      <c r="B228" s="51"/>
      <c r="C228" s="75"/>
      <c r="D228" s="38"/>
      <c r="E228" s="32"/>
    </row>
    <row r="229" customFormat="false" ht="15" hidden="false" customHeight="false" outlineLevel="0" collapsed="false">
      <c r="A229" s="50"/>
      <c r="B229" s="51"/>
      <c r="C229" s="75"/>
      <c r="D229" s="38"/>
      <c r="E229" s="32"/>
    </row>
    <row r="230" customFormat="false" ht="15" hidden="false" customHeight="false" outlineLevel="0" collapsed="false">
      <c r="A230" s="50"/>
      <c r="B230" s="51"/>
      <c r="C230" s="75"/>
      <c r="D230" s="38"/>
      <c r="E230" s="32"/>
    </row>
    <row r="231" customFormat="false" ht="15" hidden="false" customHeight="false" outlineLevel="0" collapsed="false">
      <c r="A231" s="50"/>
      <c r="B231" s="51"/>
      <c r="C231" s="75"/>
      <c r="D231" s="38"/>
      <c r="E231" s="32"/>
    </row>
    <row r="232" customFormat="false" ht="15" hidden="false" customHeight="false" outlineLevel="0" collapsed="false">
      <c r="A232" s="50"/>
      <c r="B232" s="51"/>
      <c r="C232" s="75"/>
      <c r="D232" s="38"/>
      <c r="E232" s="32"/>
    </row>
    <row r="233" customFormat="false" ht="15" hidden="false" customHeight="false" outlineLevel="0" collapsed="false">
      <c r="A233" s="50"/>
      <c r="B233" s="51"/>
      <c r="C233" s="75"/>
      <c r="D233" s="38"/>
      <c r="E233" s="32"/>
    </row>
    <row r="234" customFormat="false" ht="15" hidden="false" customHeight="false" outlineLevel="0" collapsed="false">
      <c r="A234" s="50"/>
      <c r="B234" s="51"/>
      <c r="C234" s="75"/>
      <c r="D234" s="38"/>
      <c r="E234" s="32"/>
    </row>
    <row r="235" customFormat="false" ht="15" hidden="false" customHeight="false" outlineLevel="0" collapsed="false">
      <c r="A235" s="50"/>
      <c r="B235" s="51"/>
      <c r="C235" s="75"/>
      <c r="D235" s="38"/>
      <c r="E235" s="32"/>
    </row>
    <row r="236" customFormat="false" ht="15" hidden="false" customHeight="false" outlineLevel="0" collapsed="false">
      <c r="A236" s="50"/>
      <c r="B236" s="51"/>
      <c r="C236" s="75"/>
      <c r="D236" s="38"/>
      <c r="E236" s="32"/>
    </row>
    <row r="237" customFormat="false" ht="15" hidden="false" customHeight="false" outlineLevel="0" collapsed="false">
      <c r="A237" s="50"/>
      <c r="B237" s="51"/>
      <c r="C237" s="75"/>
      <c r="D237" s="38"/>
      <c r="E237" s="32"/>
    </row>
    <row r="238" customFormat="false" ht="15" hidden="false" customHeight="false" outlineLevel="0" collapsed="false">
      <c r="A238" s="50"/>
      <c r="B238" s="51"/>
      <c r="C238" s="75"/>
      <c r="D238" s="38"/>
      <c r="E238" s="32"/>
    </row>
    <row r="239" customFormat="false" ht="15" hidden="false" customHeight="false" outlineLevel="0" collapsed="false">
      <c r="A239" s="50"/>
      <c r="B239" s="51"/>
      <c r="C239" s="75"/>
      <c r="D239" s="38"/>
      <c r="E239" s="32"/>
    </row>
    <row r="240" customFormat="false" ht="15" hidden="false" customHeight="false" outlineLevel="0" collapsed="false">
      <c r="A240" s="50"/>
      <c r="B240" s="51"/>
      <c r="C240" s="75"/>
      <c r="D240" s="38"/>
      <c r="E240" s="32"/>
    </row>
    <row r="241" customFormat="false" ht="15" hidden="false" customHeight="false" outlineLevel="0" collapsed="false">
      <c r="A241" s="50"/>
      <c r="B241" s="51"/>
      <c r="C241" s="75"/>
      <c r="D241" s="38"/>
      <c r="E241" s="32"/>
    </row>
    <row r="242" customFormat="false" ht="15" hidden="false" customHeight="false" outlineLevel="0" collapsed="false">
      <c r="A242" s="50"/>
      <c r="B242" s="51"/>
      <c r="C242" s="75"/>
      <c r="D242" s="38"/>
      <c r="E242" s="32"/>
    </row>
    <row r="243" customFormat="false" ht="15" hidden="false" customHeight="false" outlineLevel="0" collapsed="false">
      <c r="A243" s="50"/>
      <c r="B243" s="51"/>
      <c r="C243" s="75"/>
      <c r="D243" s="38"/>
      <c r="E243" s="32"/>
    </row>
    <row r="244" customFormat="false" ht="15" hidden="false" customHeight="false" outlineLevel="0" collapsed="false">
      <c r="A244" s="50"/>
      <c r="B244" s="51"/>
      <c r="C244" s="75"/>
      <c r="D244" s="38"/>
      <c r="E244" s="32"/>
    </row>
    <row r="245" customFormat="false" ht="15" hidden="false" customHeight="false" outlineLevel="0" collapsed="false">
      <c r="A245" s="50"/>
      <c r="B245" s="51"/>
      <c r="C245" s="75"/>
      <c r="D245" s="38"/>
      <c r="E245" s="32"/>
    </row>
    <row r="246" customFormat="false" ht="15" hidden="false" customHeight="false" outlineLevel="0" collapsed="false">
      <c r="A246" s="50"/>
      <c r="B246" s="51"/>
      <c r="C246" s="75"/>
      <c r="D246" s="38"/>
      <c r="E246" s="32"/>
    </row>
    <row r="247" customFormat="false" ht="15" hidden="false" customHeight="false" outlineLevel="0" collapsed="false">
      <c r="A247" s="50"/>
      <c r="B247" s="51"/>
      <c r="C247" s="75"/>
      <c r="D247" s="38"/>
      <c r="E247" s="32"/>
    </row>
    <row r="248" customFormat="false" ht="15" hidden="false" customHeight="false" outlineLevel="0" collapsed="false">
      <c r="A248" s="50"/>
      <c r="B248" s="51"/>
      <c r="C248" s="75"/>
      <c r="D248" s="38"/>
      <c r="E248" s="32"/>
    </row>
    <row r="249" customFormat="false" ht="15" hidden="false" customHeight="false" outlineLevel="0" collapsed="false">
      <c r="A249" s="50"/>
      <c r="B249" s="51"/>
      <c r="C249" s="75"/>
      <c r="D249" s="38"/>
      <c r="E249" s="32"/>
    </row>
    <row r="250" customFormat="false" ht="15" hidden="false" customHeight="false" outlineLevel="0" collapsed="false">
      <c r="A250" s="50"/>
      <c r="B250" s="51"/>
      <c r="C250" s="75"/>
      <c r="D250" s="38"/>
      <c r="E250" s="32"/>
    </row>
    <row r="251" customFormat="false" ht="15" hidden="false" customHeight="false" outlineLevel="0" collapsed="false">
      <c r="A251" s="50"/>
      <c r="B251" s="51"/>
      <c r="C251" s="75"/>
      <c r="D251" s="38"/>
      <c r="E251" s="32"/>
    </row>
    <row r="252" customFormat="false" ht="15" hidden="false" customHeight="false" outlineLevel="0" collapsed="false">
      <c r="A252" s="50"/>
      <c r="B252" s="51"/>
      <c r="C252" s="75"/>
      <c r="D252" s="38"/>
      <c r="E252" s="32"/>
    </row>
    <row r="253" customFormat="false" ht="15" hidden="false" customHeight="false" outlineLevel="0" collapsed="false">
      <c r="A253" s="50"/>
      <c r="B253" s="51"/>
      <c r="C253" s="75"/>
      <c r="D253" s="38"/>
      <c r="E253" s="32"/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A4:A253" type="list">
      <formula1>'Staff Module'!$A$4:$A$53</formula1>
      <formula2>0</formula2>
    </dataValidation>
    <dataValidation allowBlank="true" errorStyle="stop" operator="between" showDropDown="false" showErrorMessage="false" showInputMessage="false" sqref="D4:D253" type="list">
      <formula1>"Cash,Bank Transfer,Cheque"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30" t="s">
        <v>409</v>
      </c>
      <c r="B1" s="30"/>
      <c r="C1" s="30"/>
    </row>
    <row r="2" customFormat="false" ht="15" hidden="false" customHeight="false" outlineLevel="0" collapsed="false">
      <c r="A2" s="48" t="s">
        <v>410</v>
      </c>
      <c r="B2" s="48"/>
      <c r="C2" s="48"/>
    </row>
    <row r="4" customFormat="false" ht="15" hidden="false" customHeight="false" outlineLevel="0" collapsed="false">
      <c r="A4" s="9" t="s">
        <v>411</v>
      </c>
      <c r="B4" s="9"/>
      <c r="C4" s="9"/>
    </row>
    <row r="5" customFormat="false" ht="15" hidden="false" customHeight="false" outlineLevel="0" collapsed="false">
      <c r="A5" s="32" t="s">
        <v>412</v>
      </c>
      <c r="B5" s="32"/>
      <c r="C5" s="76" t="n">
        <f aca="false">SUM('Qurbani Module'!L5:L74)</f>
        <v>0</v>
      </c>
    </row>
    <row r="6" customFormat="false" ht="15" hidden="false" customHeight="false" outlineLevel="0" collapsed="false">
      <c r="A6" s="32" t="s">
        <v>413</v>
      </c>
      <c r="B6" s="32"/>
      <c r="C6" s="76" t="n">
        <f aca="false">SUM('Fattening Sales Log'!E5:E104)</f>
        <v>0</v>
      </c>
    </row>
    <row r="7" customFormat="false" ht="15" hidden="false" customHeight="false" outlineLevel="0" collapsed="false">
      <c r="A7" s="32" t="s">
        <v>414</v>
      </c>
      <c r="B7" s="32"/>
      <c r="C7" s="76" t="n">
        <f aca="false">'Milk Customers'!K4*30</f>
        <v>0</v>
      </c>
    </row>
    <row r="8" customFormat="false" ht="15" hidden="false" customHeight="false" outlineLevel="0" collapsed="false">
      <c r="A8" s="77" t="s">
        <v>415</v>
      </c>
      <c r="B8" s="77"/>
      <c r="C8" s="78" t="n">
        <f aca="false">SUM(C5:C7)</f>
        <v>0</v>
      </c>
    </row>
    <row r="10" customFormat="false" ht="15" hidden="false" customHeight="false" outlineLevel="0" collapsed="false">
      <c r="A10" s="9" t="s">
        <v>416</v>
      </c>
      <c r="B10" s="9"/>
      <c r="C10" s="9"/>
    </row>
    <row r="11" customFormat="false" ht="15" hidden="false" customHeight="false" outlineLevel="0" collapsed="false">
      <c r="A11" s="32" t="s">
        <v>417</v>
      </c>
      <c r="B11" s="32"/>
      <c r="C11" s="79" t="n">
        <f aca="false">'Feed Purchase Log'!B3</f>
        <v>4750</v>
      </c>
    </row>
    <row r="12" customFormat="false" ht="15" hidden="false" customHeight="false" outlineLevel="0" collapsed="false">
      <c r="A12" s="32" t="s">
        <v>418</v>
      </c>
      <c r="B12" s="32"/>
      <c r="C12" s="79" t="n">
        <f aca="false">'Cost Tracker'!J4</f>
        <v>0</v>
      </c>
    </row>
    <row r="13" customFormat="false" ht="15" hidden="false" customHeight="false" outlineLevel="0" collapsed="false">
      <c r="A13" s="32" t="s">
        <v>419</v>
      </c>
      <c r="B13" s="32"/>
      <c r="C13" s="79" t="n">
        <f aca="false">SUM('Salary Payments'!C4:C253)</f>
        <v>0</v>
      </c>
    </row>
    <row r="14" customFormat="false" ht="15" hidden="false" customHeight="false" outlineLevel="0" collapsed="false">
      <c r="A14" s="32" t="s">
        <v>420</v>
      </c>
      <c r="B14" s="32"/>
      <c r="C14" s="79" t="n">
        <f aca="false">SUM('Qurbani Module'!E5:E74)</f>
        <v>0</v>
      </c>
    </row>
    <row r="15" customFormat="false" ht="15" hidden="false" customHeight="false" outlineLevel="0" collapsed="false">
      <c r="A15" s="77" t="s">
        <v>421</v>
      </c>
      <c r="B15" s="77"/>
      <c r="C15" s="80" t="n">
        <f aca="false">SUM(C11:C14)</f>
        <v>4750</v>
      </c>
    </row>
    <row r="17" customFormat="false" ht="15" hidden="false" customHeight="false" outlineLevel="0" collapsed="false">
      <c r="A17" s="9" t="s">
        <v>422</v>
      </c>
      <c r="B17" s="9"/>
      <c r="C17" s="9"/>
    </row>
    <row r="18" customFormat="false" ht="24" hidden="false" customHeight="true" outlineLevel="0" collapsed="false">
      <c r="A18" s="81" t="s">
        <v>423</v>
      </c>
      <c r="B18" s="81"/>
      <c r="C18" s="82" t="n">
        <f aca="false">C8-C15</f>
        <v>-4750</v>
      </c>
    </row>
    <row r="20" customFormat="false" ht="15" hidden="false" customHeight="false" outlineLevel="0" collapsed="false">
      <c r="A20" s="48" t="s">
        <v>424</v>
      </c>
      <c r="B20" s="48"/>
      <c r="C20" s="48"/>
      <c r="D20" s="48"/>
      <c r="E20" s="48"/>
    </row>
  </sheetData>
  <mergeCells count="16">
    <mergeCell ref="A1:C1"/>
    <mergeCell ref="A2:C2"/>
    <mergeCell ref="A4:C4"/>
    <mergeCell ref="A5:B5"/>
    <mergeCell ref="A6:B6"/>
    <mergeCell ref="A7:B7"/>
    <mergeCell ref="A8:B8"/>
    <mergeCell ref="A10:C10"/>
    <mergeCell ref="A11:B11"/>
    <mergeCell ref="A12:B12"/>
    <mergeCell ref="A13:B13"/>
    <mergeCell ref="A14:B14"/>
    <mergeCell ref="A15:B15"/>
    <mergeCell ref="A17:C17"/>
    <mergeCell ref="A18:B18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2026-08-15T11:38:10Z</dcterms:created>
  <dc:creator>openpyxl</dc:creator>
  <dc:description/>
  <dc:language>en-US</dc:language>
  <cp:lastModifiedBy/>
  <dcterms:modified xsi:type="dcterms:W3CDTF">2026-08-15T11:38:15Z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